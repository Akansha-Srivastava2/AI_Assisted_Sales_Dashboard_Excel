
<file path=[Content_Types].xml><?xml version="1.0" encoding="utf-8"?>
<Types xmlns="http://schemas.openxmlformats.org/package/2006/content-type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Ex3.xml" ContentType="application/vnd.ms-office.chartex+xml"/>
  <Override PartName="/xl/charts/style17.xml" ContentType="application/vnd.ms-office.chartstyle+xml"/>
  <Override PartName="/xl/charts/colors17.xml" ContentType="application/vnd.ms-office.chartcolorstyle+xml"/>
  <Override PartName="/xl/charts/chartEx4.xml" ContentType="application/vnd.ms-office.chartex+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91950\Downloads\"/>
    </mc:Choice>
  </mc:AlternateContent>
  <xr:revisionPtr revIDLastSave="0" documentId="8_{99C35E94-8BBE-4AE2-84B9-2E6B6188408E}" xr6:coauthVersionLast="47" xr6:coauthVersionMax="47" xr10:uidLastSave="{00000000-0000-0000-0000-000000000000}"/>
  <bookViews>
    <workbookView xWindow="-108" yWindow="-108" windowWidth="23256" windowHeight="12456" activeTab="2" xr2:uid="{00000000-000D-0000-FFFF-FFFF00000000}"/>
  </bookViews>
  <sheets>
    <sheet name="SalesData" sheetId="1" r:id="rId1"/>
    <sheet name="Sheet1" sheetId="2" r:id="rId2"/>
    <sheet name="Sheet2" sheetId="3" r:id="rId3"/>
  </sheets>
  <definedNames>
    <definedName name="_xlchart.v1.0" hidden="1">SalesData!$K$1</definedName>
    <definedName name="_xlchart.v1.1" hidden="1">SalesData!$K$2:$K$1001</definedName>
    <definedName name="_xlchart.v1.10" hidden="1">SalesData!$I$1</definedName>
    <definedName name="_xlchart.v1.11" hidden="1">SalesData!$I$2:$I$1001</definedName>
    <definedName name="_xlchart.v1.12" hidden="1">SalesData!$V$1</definedName>
    <definedName name="_xlchart.v1.13" hidden="1">SalesData!$V$2:$V$1001</definedName>
    <definedName name="_xlchart.v1.14" hidden="1">SalesData!$K$1</definedName>
    <definedName name="_xlchart.v1.15" hidden="1">SalesData!$K$2:$K$1001</definedName>
    <definedName name="_xlchart.v1.16" hidden="1">SalesData!$L$1</definedName>
    <definedName name="_xlchart.v1.17" hidden="1">SalesData!$L$2:$L$1001</definedName>
    <definedName name="_xlchart.v1.18" hidden="1">SalesData!$H$2:$H$1001</definedName>
    <definedName name="_xlchart.v1.19" hidden="1">SalesData!$I$1</definedName>
    <definedName name="_xlchart.v1.2" hidden="1">SalesData!$L$1</definedName>
    <definedName name="_xlchart.v1.20" hidden="1">SalesData!$I$2:$I$1001</definedName>
    <definedName name="_xlchart.v1.21" hidden="1">SalesData!$V$1</definedName>
    <definedName name="_xlchart.v1.22" hidden="1">SalesData!$V$2:$V$1001</definedName>
    <definedName name="_xlchart.v1.3" hidden="1">SalesData!$L$2:$L$1001</definedName>
    <definedName name="_xlchart.v1.4" hidden="1">SalesData!$H$2:$H$1001</definedName>
    <definedName name="_xlchart.v1.5" hidden="1">SalesData!$I$1</definedName>
    <definedName name="_xlchart.v1.6" hidden="1">SalesData!$I$2:$I$1001</definedName>
    <definedName name="_xlchart.v1.7" hidden="1">SalesData!$V$1</definedName>
    <definedName name="_xlchart.v1.8" hidden="1">SalesData!$V$2:$V$1001</definedName>
    <definedName name="_xlchart.v1.9" hidden="1">SalesData!$H$2:$H$1001</definedName>
    <definedName name="Slicer_Category">#N/A</definedName>
    <definedName name="Slicer_Region">#N/A</definedName>
    <definedName name="Slicer_Sales_Person">#N/A</definedName>
    <definedName name="Slicer_Segment">#N/A</definedName>
    <definedName name="Slicer_State">#N/A</definedName>
    <definedName name="Slicer_Sub_Category">#N/A</definedName>
    <definedName name="Slicer_year">#N/A</definedName>
  </definedNames>
  <calcPr calcId="191029"/>
  <pivotCaches>
    <pivotCache cacheId="39" r:id="rId4"/>
  </pivotCaches>
  <extLst>
    <ext xmlns:x14="http://schemas.microsoft.com/office/spreadsheetml/2009/9/main" uri="{BBE1A952-AA13-448e-AADC-164F8A28A991}">
      <x14:slicerCaches>
        <x14:slicerCache r:id="rId5"/>
        <x14:slicerCache r:id="rId6"/>
        <x14:slicerCache r:id="rId7"/>
        <x14:slicerCache r:id="rId8"/>
        <x14:slicerCache r:id="rId9"/>
        <x14:slicerCache r:id="rId10"/>
        <x14:slicerCache r:id="rId11"/>
      </x14:slicerCaches>
    </ext>
    <ext xmlns:x14="http://schemas.microsoft.com/office/spreadsheetml/2009/9/main" uri="{79F54976-1DA5-4618-B147-4CDE4B953A38}">
      <x14:workbookPr/>
    </ext>
  </extLst>
</workbook>
</file>

<file path=xl/calcChain.xml><?xml version="1.0" encoding="utf-8"?>
<calcChain xmlns="http://schemas.openxmlformats.org/spreadsheetml/2006/main">
  <c r="A1" i="3" l="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U2" i="1"/>
  <c r="V2" i="1" s="1"/>
  <c r="U3" i="1"/>
  <c r="V3" i="1" s="1"/>
  <c r="U4" i="1"/>
  <c r="V4" i="1" s="1"/>
  <c r="U5" i="1"/>
  <c r="V5" i="1" s="1"/>
  <c r="U6" i="1"/>
  <c r="V6" i="1" s="1"/>
  <c r="U7" i="1"/>
  <c r="V7" i="1" s="1"/>
  <c r="U8" i="1"/>
  <c r="V8" i="1" s="1"/>
  <c r="U9" i="1"/>
  <c r="V9" i="1" s="1"/>
  <c r="U10" i="1"/>
  <c r="V10" i="1" s="1"/>
  <c r="U11" i="1"/>
  <c r="V11" i="1" s="1"/>
  <c r="U12" i="1"/>
  <c r="V12" i="1" s="1"/>
  <c r="U13" i="1"/>
  <c r="V13" i="1" s="1"/>
  <c r="U14" i="1"/>
  <c r="V14" i="1" s="1"/>
  <c r="U15" i="1"/>
  <c r="V15" i="1" s="1"/>
  <c r="U16" i="1"/>
  <c r="V16" i="1" s="1"/>
  <c r="U17" i="1"/>
  <c r="V17" i="1" s="1"/>
  <c r="U18" i="1"/>
  <c r="V18" i="1" s="1"/>
  <c r="U19" i="1"/>
  <c r="V19" i="1" s="1"/>
  <c r="U20" i="1"/>
  <c r="V20" i="1" s="1"/>
  <c r="U21" i="1"/>
  <c r="V21" i="1" s="1"/>
  <c r="U22" i="1"/>
  <c r="V22" i="1" s="1"/>
  <c r="U23" i="1"/>
  <c r="V23" i="1" s="1"/>
  <c r="U24" i="1"/>
  <c r="V24" i="1" s="1"/>
  <c r="U25" i="1"/>
  <c r="V25" i="1" s="1"/>
  <c r="U26" i="1"/>
  <c r="V26" i="1" s="1"/>
  <c r="U27" i="1"/>
  <c r="V27" i="1" s="1"/>
  <c r="U28" i="1"/>
  <c r="V28" i="1" s="1"/>
  <c r="U29" i="1"/>
  <c r="V29" i="1" s="1"/>
  <c r="U30" i="1"/>
  <c r="V30" i="1" s="1"/>
  <c r="U31" i="1"/>
  <c r="V31" i="1" s="1"/>
  <c r="U32" i="1"/>
  <c r="V32" i="1" s="1"/>
  <c r="U33" i="1"/>
  <c r="V33" i="1" s="1"/>
  <c r="U34" i="1"/>
  <c r="V34" i="1" s="1"/>
  <c r="U35" i="1"/>
  <c r="V35" i="1" s="1"/>
  <c r="U36" i="1"/>
  <c r="V36" i="1" s="1"/>
  <c r="U37" i="1"/>
  <c r="V37" i="1" s="1"/>
  <c r="U38" i="1"/>
  <c r="V38" i="1" s="1"/>
  <c r="U39" i="1"/>
  <c r="V39" i="1" s="1"/>
  <c r="U40" i="1"/>
  <c r="V40" i="1" s="1"/>
  <c r="U41" i="1"/>
  <c r="V41" i="1" s="1"/>
  <c r="U42" i="1"/>
  <c r="V42" i="1" s="1"/>
  <c r="U43" i="1"/>
  <c r="V43" i="1" s="1"/>
  <c r="U44" i="1"/>
  <c r="V44" i="1" s="1"/>
  <c r="U45" i="1"/>
  <c r="V45" i="1" s="1"/>
  <c r="U46" i="1"/>
  <c r="V46" i="1" s="1"/>
  <c r="U47" i="1"/>
  <c r="V47" i="1" s="1"/>
  <c r="U48" i="1"/>
  <c r="V48" i="1" s="1"/>
  <c r="U49" i="1"/>
  <c r="V49" i="1" s="1"/>
  <c r="U50" i="1"/>
  <c r="V50" i="1" s="1"/>
  <c r="U51" i="1"/>
  <c r="V51" i="1" s="1"/>
  <c r="U52" i="1"/>
  <c r="V52" i="1" s="1"/>
  <c r="U53" i="1"/>
  <c r="V53" i="1" s="1"/>
  <c r="U54" i="1"/>
  <c r="V54" i="1" s="1"/>
  <c r="U55" i="1"/>
  <c r="V55" i="1" s="1"/>
  <c r="U56" i="1"/>
  <c r="V56" i="1" s="1"/>
  <c r="U57" i="1"/>
  <c r="V57" i="1" s="1"/>
  <c r="U58" i="1"/>
  <c r="V58" i="1" s="1"/>
  <c r="U59" i="1"/>
  <c r="V59" i="1" s="1"/>
  <c r="U60" i="1"/>
  <c r="V60" i="1" s="1"/>
  <c r="U61" i="1"/>
  <c r="V61" i="1" s="1"/>
  <c r="U62" i="1"/>
  <c r="V62" i="1" s="1"/>
  <c r="U63" i="1"/>
  <c r="V63" i="1" s="1"/>
  <c r="U64" i="1"/>
  <c r="V64" i="1" s="1"/>
  <c r="U65" i="1"/>
  <c r="V65" i="1" s="1"/>
  <c r="U66" i="1"/>
  <c r="V66" i="1" s="1"/>
  <c r="U67" i="1"/>
  <c r="V67" i="1" s="1"/>
  <c r="U68" i="1"/>
  <c r="V68" i="1" s="1"/>
  <c r="U69" i="1"/>
  <c r="V69" i="1" s="1"/>
  <c r="U70" i="1"/>
  <c r="V70" i="1" s="1"/>
  <c r="U71" i="1"/>
  <c r="V71" i="1" s="1"/>
  <c r="U72" i="1"/>
  <c r="V72" i="1" s="1"/>
  <c r="U73" i="1"/>
  <c r="V73" i="1" s="1"/>
  <c r="U74" i="1"/>
  <c r="V74" i="1" s="1"/>
  <c r="U75" i="1"/>
  <c r="V75" i="1" s="1"/>
  <c r="U76" i="1"/>
  <c r="V76" i="1" s="1"/>
  <c r="U77" i="1"/>
  <c r="V77" i="1" s="1"/>
  <c r="U78" i="1"/>
  <c r="V78" i="1" s="1"/>
  <c r="U79" i="1"/>
  <c r="V79" i="1" s="1"/>
  <c r="U80" i="1"/>
  <c r="V80" i="1" s="1"/>
  <c r="U81" i="1"/>
  <c r="V81" i="1" s="1"/>
  <c r="U82" i="1"/>
  <c r="V82" i="1" s="1"/>
  <c r="U83" i="1"/>
  <c r="V83" i="1" s="1"/>
  <c r="U84" i="1"/>
  <c r="V84" i="1" s="1"/>
  <c r="U85" i="1"/>
  <c r="V85" i="1" s="1"/>
  <c r="U86" i="1"/>
  <c r="V86" i="1" s="1"/>
  <c r="U87" i="1"/>
  <c r="V87" i="1" s="1"/>
  <c r="U88" i="1"/>
  <c r="V88" i="1" s="1"/>
  <c r="U89" i="1"/>
  <c r="V89" i="1" s="1"/>
  <c r="U90" i="1"/>
  <c r="V90" i="1" s="1"/>
  <c r="U91" i="1"/>
  <c r="V91" i="1" s="1"/>
  <c r="U92" i="1"/>
  <c r="V92" i="1" s="1"/>
  <c r="U93" i="1"/>
  <c r="V93" i="1" s="1"/>
  <c r="U94" i="1"/>
  <c r="V94" i="1" s="1"/>
  <c r="U95" i="1"/>
  <c r="V95" i="1" s="1"/>
  <c r="U96" i="1"/>
  <c r="V96" i="1" s="1"/>
  <c r="U97" i="1"/>
  <c r="V97" i="1" s="1"/>
  <c r="U98" i="1"/>
  <c r="V98" i="1" s="1"/>
  <c r="U99" i="1"/>
  <c r="V99" i="1" s="1"/>
  <c r="U100" i="1"/>
  <c r="V100" i="1" s="1"/>
  <c r="U101" i="1"/>
  <c r="V101" i="1" s="1"/>
  <c r="U102" i="1"/>
  <c r="V102" i="1" s="1"/>
  <c r="U103" i="1"/>
  <c r="V103" i="1" s="1"/>
  <c r="U104" i="1"/>
  <c r="V104" i="1" s="1"/>
  <c r="U105" i="1"/>
  <c r="V105" i="1" s="1"/>
  <c r="U106" i="1"/>
  <c r="V106" i="1" s="1"/>
  <c r="U107" i="1"/>
  <c r="V107" i="1" s="1"/>
  <c r="U108" i="1"/>
  <c r="V108" i="1" s="1"/>
  <c r="U109" i="1"/>
  <c r="V109" i="1" s="1"/>
  <c r="U110" i="1"/>
  <c r="V110" i="1" s="1"/>
  <c r="U111" i="1"/>
  <c r="V111" i="1" s="1"/>
  <c r="U112" i="1"/>
  <c r="V112" i="1" s="1"/>
  <c r="U113" i="1"/>
  <c r="V113" i="1" s="1"/>
  <c r="U114" i="1"/>
  <c r="V114" i="1" s="1"/>
  <c r="U115" i="1"/>
  <c r="V115" i="1" s="1"/>
  <c r="U116" i="1"/>
  <c r="V116" i="1" s="1"/>
  <c r="U117" i="1"/>
  <c r="V117" i="1" s="1"/>
  <c r="U118" i="1"/>
  <c r="V118" i="1" s="1"/>
  <c r="U119" i="1"/>
  <c r="V119" i="1" s="1"/>
  <c r="U120" i="1"/>
  <c r="V120" i="1" s="1"/>
  <c r="U121" i="1"/>
  <c r="V121" i="1" s="1"/>
  <c r="U122" i="1"/>
  <c r="V122" i="1" s="1"/>
  <c r="U123" i="1"/>
  <c r="V123" i="1" s="1"/>
  <c r="U124" i="1"/>
  <c r="V124" i="1" s="1"/>
  <c r="U125" i="1"/>
  <c r="V125" i="1" s="1"/>
  <c r="U126" i="1"/>
  <c r="V126" i="1" s="1"/>
  <c r="U127" i="1"/>
  <c r="V127" i="1" s="1"/>
  <c r="U128" i="1"/>
  <c r="V128" i="1" s="1"/>
  <c r="U129" i="1"/>
  <c r="V129" i="1" s="1"/>
  <c r="U130" i="1"/>
  <c r="V130" i="1" s="1"/>
  <c r="U131" i="1"/>
  <c r="V131" i="1" s="1"/>
  <c r="U132" i="1"/>
  <c r="V132" i="1" s="1"/>
  <c r="U133" i="1"/>
  <c r="V133" i="1" s="1"/>
  <c r="U134" i="1"/>
  <c r="V134" i="1" s="1"/>
  <c r="U135" i="1"/>
  <c r="V135" i="1" s="1"/>
  <c r="U136" i="1"/>
  <c r="V136" i="1" s="1"/>
  <c r="U137" i="1"/>
  <c r="V137" i="1" s="1"/>
  <c r="U138" i="1"/>
  <c r="V138" i="1" s="1"/>
  <c r="U139" i="1"/>
  <c r="V139" i="1" s="1"/>
  <c r="U140" i="1"/>
  <c r="V140" i="1" s="1"/>
  <c r="U141" i="1"/>
  <c r="V141" i="1" s="1"/>
  <c r="U142" i="1"/>
  <c r="V142" i="1" s="1"/>
  <c r="U143" i="1"/>
  <c r="V143" i="1" s="1"/>
  <c r="U144" i="1"/>
  <c r="V144" i="1" s="1"/>
  <c r="U145" i="1"/>
  <c r="V145" i="1" s="1"/>
  <c r="U146" i="1"/>
  <c r="V146" i="1" s="1"/>
  <c r="U147" i="1"/>
  <c r="V147" i="1" s="1"/>
  <c r="U148" i="1"/>
  <c r="V148" i="1" s="1"/>
  <c r="U149" i="1"/>
  <c r="V149" i="1" s="1"/>
  <c r="U150" i="1"/>
  <c r="V150" i="1" s="1"/>
  <c r="U151" i="1"/>
  <c r="V151" i="1" s="1"/>
  <c r="U152" i="1"/>
  <c r="V152" i="1" s="1"/>
  <c r="U153" i="1"/>
  <c r="V153" i="1" s="1"/>
  <c r="U154" i="1"/>
  <c r="V154" i="1" s="1"/>
  <c r="U155" i="1"/>
  <c r="V155" i="1" s="1"/>
  <c r="U156" i="1"/>
  <c r="V156" i="1" s="1"/>
  <c r="U157" i="1"/>
  <c r="V157" i="1" s="1"/>
  <c r="U158" i="1"/>
  <c r="V158" i="1" s="1"/>
  <c r="U159" i="1"/>
  <c r="V159" i="1" s="1"/>
  <c r="U160" i="1"/>
  <c r="V160" i="1" s="1"/>
  <c r="U161" i="1"/>
  <c r="V161" i="1" s="1"/>
  <c r="U162" i="1"/>
  <c r="V162" i="1" s="1"/>
  <c r="U163" i="1"/>
  <c r="V163" i="1" s="1"/>
  <c r="U164" i="1"/>
  <c r="V164" i="1" s="1"/>
  <c r="U165" i="1"/>
  <c r="V165" i="1" s="1"/>
  <c r="U166" i="1"/>
  <c r="V166" i="1" s="1"/>
  <c r="U167" i="1"/>
  <c r="V167" i="1" s="1"/>
  <c r="U168" i="1"/>
  <c r="V168" i="1" s="1"/>
  <c r="U169" i="1"/>
  <c r="V169" i="1" s="1"/>
  <c r="U170" i="1"/>
  <c r="V170" i="1" s="1"/>
  <c r="U171" i="1"/>
  <c r="V171" i="1" s="1"/>
  <c r="U172" i="1"/>
  <c r="V172" i="1" s="1"/>
  <c r="U173" i="1"/>
  <c r="V173" i="1" s="1"/>
  <c r="U174" i="1"/>
  <c r="V174" i="1" s="1"/>
  <c r="U175" i="1"/>
  <c r="V175" i="1" s="1"/>
  <c r="U176" i="1"/>
  <c r="V176" i="1" s="1"/>
  <c r="U177" i="1"/>
  <c r="V177" i="1" s="1"/>
  <c r="U178" i="1"/>
  <c r="V178" i="1" s="1"/>
  <c r="U179" i="1"/>
  <c r="V179" i="1" s="1"/>
  <c r="U180" i="1"/>
  <c r="V180" i="1" s="1"/>
  <c r="U181" i="1"/>
  <c r="V181" i="1" s="1"/>
  <c r="U182" i="1"/>
  <c r="V182" i="1" s="1"/>
  <c r="U183" i="1"/>
  <c r="V183" i="1" s="1"/>
  <c r="U184" i="1"/>
  <c r="V184" i="1" s="1"/>
  <c r="U185" i="1"/>
  <c r="V185" i="1" s="1"/>
  <c r="U186" i="1"/>
  <c r="V186" i="1" s="1"/>
  <c r="U187" i="1"/>
  <c r="V187" i="1" s="1"/>
  <c r="U188" i="1"/>
  <c r="V188" i="1" s="1"/>
  <c r="U189" i="1"/>
  <c r="V189" i="1" s="1"/>
  <c r="U190" i="1"/>
  <c r="V190" i="1" s="1"/>
  <c r="U191" i="1"/>
  <c r="V191" i="1" s="1"/>
  <c r="U192" i="1"/>
  <c r="V192" i="1" s="1"/>
  <c r="U193" i="1"/>
  <c r="V193" i="1" s="1"/>
  <c r="U194" i="1"/>
  <c r="V194" i="1" s="1"/>
  <c r="U195" i="1"/>
  <c r="V195" i="1" s="1"/>
  <c r="U196" i="1"/>
  <c r="V196" i="1" s="1"/>
  <c r="U197" i="1"/>
  <c r="V197" i="1" s="1"/>
  <c r="U198" i="1"/>
  <c r="V198" i="1" s="1"/>
  <c r="U199" i="1"/>
  <c r="V199" i="1" s="1"/>
  <c r="U200" i="1"/>
  <c r="V200" i="1" s="1"/>
  <c r="U201" i="1"/>
  <c r="V201" i="1" s="1"/>
  <c r="U202" i="1"/>
  <c r="V202" i="1" s="1"/>
  <c r="U203" i="1"/>
  <c r="V203" i="1" s="1"/>
  <c r="U204" i="1"/>
  <c r="V204" i="1" s="1"/>
  <c r="U205" i="1"/>
  <c r="V205" i="1" s="1"/>
  <c r="U206" i="1"/>
  <c r="V206" i="1" s="1"/>
  <c r="U207" i="1"/>
  <c r="V207" i="1" s="1"/>
  <c r="U208" i="1"/>
  <c r="V208" i="1" s="1"/>
  <c r="U209" i="1"/>
  <c r="V209" i="1" s="1"/>
  <c r="U210" i="1"/>
  <c r="V210" i="1" s="1"/>
  <c r="U211" i="1"/>
  <c r="V211" i="1" s="1"/>
  <c r="U212" i="1"/>
  <c r="V212" i="1" s="1"/>
  <c r="U213" i="1"/>
  <c r="V213" i="1" s="1"/>
  <c r="U214" i="1"/>
  <c r="V214" i="1" s="1"/>
  <c r="U215" i="1"/>
  <c r="V215" i="1" s="1"/>
  <c r="U216" i="1"/>
  <c r="V216" i="1" s="1"/>
  <c r="U217" i="1"/>
  <c r="V217" i="1" s="1"/>
  <c r="U218" i="1"/>
  <c r="V218" i="1" s="1"/>
  <c r="U219" i="1"/>
  <c r="V219" i="1" s="1"/>
  <c r="U220" i="1"/>
  <c r="V220" i="1" s="1"/>
  <c r="U221" i="1"/>
  <c r="V221" i="1" s="1"/>
  <c r="U222" i="1"/>
  <c r="V222" i="1" s="1"/>
  <c r="U223" i="1"/>
  <c r="V223" i="1" s="1"/>
  <c r="U224" i="1"/>
  <c r="V224" i="1" s="1"/>
  <c r="U225" i="1"/>
  <c r="V225" i="1" s="1"/>
  <c r="U226" i="1"/>
  <c r="V226" i="1" s="1"/>
  <c r="U227" i="1"/>
  <c r="V227" i="1" s="1"/>
  <c r="U228" i="1"/>
  <c r="V228" i="1" s="1"/>
  <c r="U229" i="1"/>
  <c r="V229" i="1" s="1"/>
  <c r="U230" i="1"/>
  <c r="V230" i="1" s="1"/>
  <c r="U231" i="1"/>
  <c r="V231" i="1" s="1"/>
  <c r="U232" i="1"/>
  <c r="V232" i="1" s="1"/>
  <c r="U233" i="1"/>
  <c r="V233" i="1" s="1"/>
  <c r="U234" i="1"/>
  <c r="V234" i="1" s="1"/>
  <c r="U235" i="1"/>
  <c r="V235" i="1" s="1"/>
  <c r="U236" i="1"/>
  <c r="V236" i="1" s="1"/>
  <c r="U237" i="1"/>
  <c r="V237" i="1" s="1"/>
  <c r="U238" i="1"/>
  <c r="V238" i="1" s="1"/>
  <c r="U239" i="1"/>
  <c r="V239" i="1" s="1"/>
  <c r="U240" i="1"/>
  <c r="V240" i="1" s="1"/>
  <c r="U241" i="1"/>
  <c r="V241" i="1" s="1"/>
  <c r="U242" i="1"/>
  <c r="V242" i="1" s="1"/>
  <c r="U243" i="1"/>
  <c r="V243" i="1" s="1"/>
  <c r="U244" i="1"/>
  <c r="V244" i="1" s="1"/>
  <c r="U245" i="1"/>
  <c r="V245" i="1" s="1"/>
  <c r="U246" i="1"/>
  <c r="V246" i="1" s="1"/>
  <c r="U247" i="1"/>
  <c r="V247" i="1" s="1"/>
  <c r="U248" i="1"/>
  <c r="V248" i="1" s="1"/>
  <c r="U249" i="1"/>
  <c r="V249" i="1" s="1"/>
  <c r="U250" i="1"/>
  <c r="V250" i="1" s="1"/>
  <c r="U251" i="1"/>
  <c r="V251" i="1" s="1"/>
  <c r="U252" i="1"/>
  <c r="V252" i="1" s="1"/>
  <c r="U253" i="1"/>
  <c r="V253" i="1" s="1"/>
  <c r="U254" i="1"/>
  <c r="V254" i="1" s="1"/>
  <c r="U255" i="1"/>
  <c r="V255" i="1" s="1"/>
  <c r="U256" i="1"/>
  <c r="V256" i="1" s="1"/>
  <c r="U257" i="1"/>
  <c r="V257" i="1" s="1"/>
  <c r="U258" i="1"/>
  <c r="V258" i="1" s="1"/>
  <c r="U259" i="1"/>
  <c r="V259" i="1" s="1"/>
  <c r="U260" i="1"/>
  <c r="V260" i="1" s="1"/>
  <c r="U261" i="1"/>
  <c r="V261" i="1" s="1"/>
  <c r="U262" i="1"/>
  <c r="V262" i="1" s="1"/>
  <c r="U263" i="1"/>
  <c r="V263" i="1" s="1"/>
  <c r="U264" i="1"/>
  <c r="V264" i="1" s="1"/>
  <c r="U265" i="1"/>
  <c r="V265" i="1" s="1"/>
  <c r="U266" i="1"/>
  <c r="V266" i="1" s="1"/>
  <c r="U267" i="1"/>
  <c r="V267" i="1" s="1"/>
  <c r="U268" i="1"/>
  <c r="V268" i="1" s="1"/>
  <c r="U269" i="1"/>
  <c r="V269" i="1" s="1"/>
  <c r="U270" i="1"/>
  <c r="V270" i="1" s="1"/>
  <c r="U271" i="1"/>
  <c r="V271" i="1" s="1"/>
  <c r="U272" i="1"/>
  <c r="V272" i="1" s="1"/>
  <c r="U273" i="1"/>
  <c r="V273" i="1" s="1"/>
  <c r="U274" i="1"/>
  <c r="V274" i="1" s="1"/>
  <c r="U275" i="1"/>
  <c r="V275" i="1" s="1"/>
  <c r="U276" i="1"/>
  <c r="V276" i="1" s="1"/>
  <c r="U277" i="1"/>
  <c r="V277" i="1" s="1"/>
  <c r="U278" i="1"/>
  <c r="V278" i="1" s="1"/>
  <c r="U279" i="1"/>
  <c r="V279" i="1" s="1"/>
  <c r="U280" i="1"/>
  <c r="V280" i="1" s="1"/>
  <c r="U281" i="1"/>
  <c r="V281" i="1" s="1"/>
  <c r="U282" i="1"/>
  <c r="V282" i="1" s="1"/>
  <c r="U283" i="1"/>
  <c r="V283" i="1" s="1"/>
  <c r="U284" i="1"/>
  <c r="V284" i="1" s="1"/>
  <c r="U285" i="1"/>
  <c r="V285" i="1" s="1"/>
  <c r="U286" i="1"/>
  <c r="V286" i="1" s="1"/>
  <c r="U287" i="1"/>
  <c r="V287" i="1" s="1"/>
  <c r="U288" i="1"/>
  <c r="V288" i="1" s="1"/>
  <c r="U289" i="1"/>
  <c r="V289" i="1" s="1"/>
  <c r="U290" i="1"/>
  <c r="V290" i="1" s="1"/>
  <c r="U291" i="1"/>
  <c r="V291" i="1" s="1"/>
  <c r="U292" i="1"/>
  <c r="V292" i="1" s="1"/>
  <c r="U293" i="1"/>
  <c r="V293" i="1" s="1"/>
  <c r="U294" i="1"/>
  <c r="V294" i="1" s="1"/>
  <c r="U295" i="1"/>
  <c r="V295" i="1" s="1"/>
  <c r="U296" i="1"/>
  <c r="V296" i="1" s="1"/>
  <c r="U297" i="1"/>
  <c r="V297" i="1" s="1"/>
  <c r="U298" i="1"/>
  <c r="V298" i="1" s="1"/>
  <c r="U299" i="1"/>
  <c r="V299" i="1" s="1"/>
  <c r="U300" i="1"/>
  <c r="V300" i="1" s="1"/>
  <c r="U301" i="1"/>
  <c r="V301" i="1" s="1"/>
  <c r="U302" i="1"/>
  <c r="V302" i="1" s="1"/>
  <c r="U303" i="1"/>
  <c r="V303" i="1" s="1"/>
  <c r="U304" i="1"/>
  <c r="V304" i="1" s="1"/>
  <c r="U305" i="1"/>
  <c r="V305" i="1" s="1"/>
  <c r="U306" i="1"/>
  <c r="V306" i="1" s="1"/>
  <c r="U307" i="1"/>
  <c r="V307" i="1" s="1"/>
  <c r="U308" i="1"/>
  <c r="V308" i="1" s="1"/>
  <c r="U309" i="1"/>
  <c r="V309" i="1" s="1"/>
  <c r="U310" i="1"/>
  <c r="V310" i="1" s="1"/>
  <c r="U311" i="1"/>
  <c r="V311" i="1" s="1"/>
  <c r="U312" i="1"/>
  <c r="V312" i="1" s="1"/>
  <c r="U313" i="1"/>
  <c r="V313" i="1" s="1"/>
  <c r="U314" i="1"/>
  <c r="V314" i="1" s="1"/>
  <c r="U315" i="1"/>
  <c r="V315" i="1" s="1"/>
  <c r="U316" i="1"/>
  <c r="V316" i="1" s="1"/>
  <c r="U317" i="1"/>
  <c r="V317" i="1" s="1"/>
  <c r="U318" i="1"/>
  <c r="V318" i="1" s="1"/>
  <c r="U319" i="1"/>
  <c r="V319" i="1" s="1"/>
  <c r="U320" i="1"/>
  <c r="V320" i="1" s="1"/>
  <c r="U321" i="1"/>
  <c r="V321" i="1" s="1"/>
  <c r="U322" i="1"/>
  <c r="V322" i="1" s="1"/>
  <c r="U323" i="1"/>
  <c r="V323" i="1" s="1"/>
  <c r="U324" i="1"/>
  <c r="V324" i="1" s="1"/>
  <c r="U325" i="1"/>
  <c r="V325" i="1" s="1"/>
  <c r="U326" i="1"/>
  <c r="V326" i="1" s="1"/>
  <c r="U327" i="1"/>
  <c r="V327" i="1" s="1"/>
  <c r="U328" i="1"/>
  <c r="V328" i="1" s="1"/>
  <c r="U329" i="1"/>
  <c r="V329" i="1" s="1"/>
  <c r="U330" i="1"/>
  <c r="V330" i="1" s="1"/>
  <c r="U331" i="1"/>
  <c r="V331" i="1" s="1"/>
  <c r="U332" i="1"/>
  <c r="V332" i="1" s="1"/>
  <c r="U333" i="1"/>
  <c r="V333" i="1" s="1"/>
  <c r="U334" i="1"/>
  <c r="V334" i="1" s="1"/>
  <c r="U335" i="1"/>
  <c r="V335" i="1" s="1"/>
  <c r="U336" i="1"/>
  <c r="V336" i="1" s="1"/>
  <c r="U337" i="1"/>
  <c r="V337" i="1" s="1"/>
  <c r="U338" i="1"/>
  <c r="V338" i="1" s="1"/>
  <c r="U339" i="1"/>
  <c r="V339" i="1" s="1"/>
  <c r="U340" i="1"/>
  <c r="V340" i="1" s="1"/>
  <c r="U341" i="1"/>
  <c r="V341" i="1" s="1"/>
  <c r="U342" i="1"/>
  <c r="V342" i="1" s="1"/>
  <c r="U343" i="1"/>
  <c r="V343" i="1" s="1"/>
  <c r="U344" i="1"/>
  <c r="V344" i="1" s="1"/>
  <c r="U345" i="1"/>
  <c r="V345" i="1" s="1"/>
  <c r="U346" i="1"/>
  <c r="V346" i="1" s="1"/>
  <c r="U347" i="1"/>
  <c r="V347" i="1" s="1"/>
  <c r="U348" i="1"/>
  <c r="V348" i="1" s="1"/>
  <c r="U349" i="1"/>
  <c r="V349" i="1" s="1"/>
  <c r="U350" i="1"/>
  <c r="V350" i="1" s="1"/>
  <c r="U351" i="1"/>
  <c r="V351" i="1" s="1"/>
  <c r="U352" i="1"/>
  <c r="V352" i="1" s="1"/>
  <c r="U353" i="1"/>
  <c r="V353" i="1" s="1"/>
  <c r="U354" i="1"/>
  <c r="V354" i="1" s="1"/>
  <c r="U355" i="1"/>
  <c r="V355" i="1" s="1"/>
  <c r="U356" i="1"/>
  <c r="V356" i="1" s="1"/>
  <c r="U357" i="1"/>
  <c r="V357" i="1" s="1"/>
  <c r="U358" i="1"/>
  <c r="V358" i="1" s="1"/>
  <c r="U359" i="1"/>
  <c r="V359" i="1" s="1"/>
  <c r="U360" i="1"/>
  <c r="V360" i="1" s="1"/>
  <c r="U361" i="1"/>
  <c r="V361" i="1" s="1"/>
  <c r="U362" i="1"/>
  <c r="V362" i="1" s="1"/>
  <c r="U363" i="1"/>
  <c r="V363" i="1" s="1"/>
  <c r="U364" i="1"/>
  <c r="V364" i="1" s="1"/>
  <c r="U365" i="1"/>
  <c r="V365" i="1" s="1"/>
  <c r="U366" i="1"/>
  <c r="V366" i="1" s="1"/>
  <c r="U367" i="1"/>
  <c r="V367" i="1" s="1"/>
  <c r="U368" i="1"/>
  <c r="V368" i="1" s="1"/>
  <c r="U369" i="1"/>
  <c r="V369" i="1" s="1"/>
  <c r="U370" i="1"/>
  <c r="V370" i="1" s="1"/>
  <c r="U371" i="1"/>
  <c r="V371" i="1" s="1"/>
  <c r="U372" i="1"/>
  <c r="V372" i="1" s="1"/>
  <c r="U373" i="1"/>
  <c r="V373" i="1" s="1"/>
  <c r="U374" i="1"/>
  <c r="V374" i="1" s="1"/>
  <c r="U375" i="1"/>
  <c r="V375" i="1" s="1"/>
  <c r="U376" i="1"/>
  <c r="V376" i="1" s="1"/>
  <c r="U377" i="1"/>
  <c r="V377" i="1" s="1"/>
  <c r="U378" i="1"/>
  <c r="V378" i="1" s="1"/>
  <c r="U379" i="1"/>
  <c r="V379" i="1" s="1"/>
  <c r="U380" i="1"/>
  <c r="V380" i="1" s="1"/>
  <c r="U381" i="1"/>
  <c r="V381" i="1" s="1"/>
  <c r="U382" i="1"/>
  <c r="V382" i="1" s="1"/>
  <c r="U383" i="1"/>
  <c r="V383" i="1" s="1"/>
  <c r="U384" i="1"/>
  <c r="V384" i="1" s="1"/>
  <c r="U385" i="1"/>
  <c r="V385" i="1" s="1"/>
  <c r="U386" i="1"/>
  <c r="V386" i="1" s="1"/>
  <c r="U387" i="1"/>
  <c r="V387" i="1" s="1"/>
  <c r="U388" i="1"/>
  <c r="V388" i="1" s="1"/>
  <c r="U389" i="1"/>
  <c r="V389" i="1" s="1"/>
  <c r="U390" i="1"/>
  <c r="V390" i="1" s="1"/>
  <c r="U391" i="1"/>
  <c r="V391" i="1" s="1"/>
  <c r="U392" i="1"/>
  <c r="V392" i="1" s="1"/>
  <c r="U393" i="1"/>
  <c r="V393" i="1" s="1"/>
  <c r="U394" i="1"/>
  <c r="V394" i="1" s="1"/>
  <c r="U395" i="1"/>
  <c r="V395" i="1" s="1"/>
  <c r="U396" i="1"/>
  <c r="V396" i="1" s="1"/>
  <c r="U397" i="1"/>
  <c r="V397" i="1" s="1"/>
  <c r="U398" i="1"/>
  <c r="V398" i="1" s="1"/>
  <c r="U399" i="1"/>
  <c r="V399" i="1" s="1"/>
  <c r="U400" i="1"/>
  <c r="V400" i="1" s="1"/>
  <c r="U401" i="1"/>
  <c r="V401" i="1" s="1"/>
  <c r="U402" i="1"/>
  <c r="V402" i="1" s="1"/>
  <c r="U403" i="1"/>
  <c r="V403" i="1" s="1"/>
  <c r="U404" i="1"/>
  <c r="V404" i="1" s="1"/>
  <c r="U405" i="1"/>
  <c r="V405" i="1" s="1"/>
  <c r="U406" i="1"/>
  <c r="V406" i="1" s="1"/>
  <c r="U407" i="1"/>
  <c r="V407" i="1" s="1"/>
  <c r="U408" i="1"/>
  <c r="V408" i="1" s="1"/>
  <c r="U409" i="1"/>
  <c r="V409" i="1" s="1"/>
  <c r="U410" i="1"/>
  <c r="V410" i="1" s="1"/>
  <c r="U411" i="1"/>
  <c r="V411" i="1" s="1"/>
  <c r="U412" i="1"/>
  <c r="V412" i="1" s="1"/>
  <c r="U413" i="1"/>
  <c r="V413" i="1" s="1"/>
  <c r="U414" i="1"/>
  <c r="V414" i="1" s="1"/>
  <c r="U415" i="1"/>
  <c r="V415" i="1" s="1"/>
  <c r="U416" i="1"/>
  <c r="V416" i="1" s="1"/>
  <c r="U417" i="1"/>
  <c r="V417" i="1" s="1"/>
  <c r="U418" i="1"/>
  <c r="V418" i="1" s="1"/>
  <c r="U419" i="1"/>
  <c r="V419" i="1" s="1"/>
  <c r="U420" i="1"/>
  <c r="V420" i="1" s="1"/>
  <c r="U421" i="1"/>
  <c r="V421" i="1" s="1"/>
  <c r="U422" i="1"/>
  <c r="V422" i="1" s="1"/>
  <c r="U423" i="1"/>
  <c r="V423" i="1" s="1"/>
  <c r="U424" i="1"/>
  <c r="V424" i="1" s="1"/>
  <c r="U425" i="1"/>
  <c r="V425" i="1" s="1"/>
  <c r="U426" i="1"/>
  <c r="V426" i="1" s="1"/>
  <c r="U427" i="1"/>
  <c r="V427" i="1" s="1"/>
  <c r="U428" i="1"/>
  <c r="V428" i="1" s="1"/>
  <c r="U429" i="1"/>
  <c r="V429" i="1" s="1"/>
  <c r="U430" i="1"/>
  <c r="V430" i="1" s="1"/>
  <c r="U431" i="1"/>
  <c r="V431" i="1" s="1"/>
  <c r="U432" i="1"/>
  <c r="V432" i="1" s="1"/>
  <c r="U433" i="1"/>
  <c r="V433" i="1" s="1"/>
  <c r="U434" i="1"/>
  <c r="V434" i="1" s="1"/>
  <c r="U435" i="1"/>
  <c r="V435" i="1" s="1"/>
  <c r="U436" i="1"/>
  <c r="V436" i="1" s="1"/>
  <c r="U437" i="1"/>
  <c r="V437" i="1" s="1"/>
  <c r="U438" i="1"/>
  <c r="V438" i="1" s="1"/>
  <c r="U439" i="1"/>
  <c r="V439" i="1" s="1"/>
  <c r="U440" i="1"/>
  <c r="V440" i="1" s="1"/>
  <c r="U441" i="1"/>
  <c r="V441" i="1" s="1"/>
  <c r="U442" i="1"/>
  <c r="V442" i="1" s="1"/>
  <c r="U443" i="1"/>
  <c r="V443" i="1" s="1"/>
  <c r="U444" i="1"/>
  <c r="V444" i="1" s="1"/>
  <c r="U445" i="1"/>
  <c r="V445" i="1" s="1"/>
  <c r="U446" i="1"/>
  <c r="V446" i="1" s="1"/>
  <c r="U447" i="1"/>
  <c r="V447" i="1" s="1"/>
  <c r="U448" i="1"/>
  <c r="V448" i="1" s="1"/>
  <c r="U449" i="1"/>
  <c r="V449" i="1" s="1"/>
  <c r="U450" i="1"/>
  <c r="V450" i="1" s="1"/>
  <c r="U451" i="1"/>
  <c r="V451" i="1" s="1"/>
  <c r="U452" i="1"/>
  <c r="V452" i="1" s="1"/>
  <c r="U453" i="1"/>
  <c r="V453" i="1" s="1"/>
  <c r="U454" i="1"/>
  <c r="V454" i="1" s="1"/>
  <c r="U455" i="1"/>
  <c r="V455" i="1" s="1"/>
  <c r="U456" i="1"/>
  <c r="V456" i="1" s="1"/>
  <c r="U457" i="1"/>
  <c r="V457" i="1" s="1"/>
  <c r="U458" i="1"/>
  <c r="V458" i="1" s="1"/>
  <c r="U459" i="1"/>
  <c r="V459" i="1" s="1"/>
  <c r="U460" i="1"/>
  <c r="V460" i="1" s="1"/>
  <c r="U461" i="1"/>
  <c r="V461" i="1" s="1"/>
  <c r="U462" i="1"/>
  <c r="V462" i="1" s="1"/>
  <c r="U463" i="1"/>
  <c r="V463" i="1" s="1"/>
  <c r="U464" i="1"/>
  <c r="V464" i="1" s="1"/>
  <c r="U465" i="1"/>
  <c r="V465" i="1" s="1"/>
  <c r="U466" i="1"/>
  <c r="V466" i="1" s="1"/>
  <c r="U467" i="1"/>
  <c r="V467" i="1" s="1"/>
  <c r="U468" i="1"/>
  <c r="V468" i="1" s="1"/>
  <c r="U469" i="1"/>
  <c r="V469" i="1" s="1"/>
  <c r="U470" i="1"/>
  <c r="V470" i="1" s="1"/>
  <c r="U471" i="1"/>
  <c r="V471" i="1" s="1"/>
  <c r="U472" i="1"/>
  <c r="V472" i="1" s="1"/>
  <c r="U473" i="1"/>
  <c r="V473" i="1" s="1"/>
  <c r="U474" i="1"/>
  <c r="V474" i="1" s="1"/>
  <c r="U475" i="1"/>
  <c r="V475" i="1" s="1"/>
  <c r="U476" i="1"/>
  <c r="V476" i="1" s="1"/>
  <c r="U477" i="1"/>
  <c r="V477" i="1" s="1"/>
  <c r="U478" i="1"/>
  <c r="V478" i="1" s="1"/>
  <c r="U479" i="1"/>
  <c r="V479" i="1" s="1"/>
  <c r="U480" i="1"/>
  <c r="V480" i="1" s="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V741" i="1" s="1"/>
  <c r="U742" i="1"/>
  <c r="V742" i="1" s="1"/>
  <c r="U743" i="1"/>
  <c r="V743" i="1" s="1"/>
  <c r="U744" i="1"/>
  <c r="V744" i="1" s="1"/>
  <c r="U745" i="1"/>
  <c r="V745" i="1" s="1"/>
  <c r="U746" i="1"/>
  <c r="V746" i="1" s="1"/>
  <c r="U747" i="1"/>
  <c r="V747" i="1" s="1"/>
  <c r="U748" i="1"/>
  <c r="V748" i="1" s="1"/>
  <c r="U749" i="1"/>
  <c r="V749" i="1" s="1"/>
  <c r="U750" i="1"/>
  <c r="V750" i="1" s="1"/>
  <c r="U751" i="1"/>
  <c r="V751" i="1" s="1"/>
  <c r="U752" i="1"/>
  <c r="V752" i="1" s="1"/>
  <c r="U753" i="1"/>
  <c r="V753" i="1" s="1"/>
  <c r="U754" i="1"/>
  <c r="V754" i="1" s="1"/>
  <c r="U755" i="1"/>
  <c r="V755" i="1" s="1"/>
  <c r="U756" i="1"/>
  <c r="V756" i="1" s="1"/>
  <c r="U757" i="1"/>
  <c r="V757" i="1" s="1"/>
  <c r="U758" i="1"/>
  <c r="V758" i="1" s="1"/>
  <c r="U759" i="1"/>
  <c r="V759" i="1" s="1"/>
  <c r="U760" i="1"/>
  <c r="V760" i="1" s="1"/>
  <c r="U761" i="1"/>
  <c r="V761" i="1" s="1"/>
  <c r="U762" i="1"/>
  <c r="V762" i="1" s="1"/>
  <c r="U763" i="1"/>
  <c r="V763" i="1" s="1"/>
  <c r="U764" i="1"/>
  <c r="V764" i="1" s="1"/>
  <c r="U765" i="1"/>
  <c r="V765" i="1" s="1"/>
  <c r="U766" i="1"/>
  <c r="V766" i="1" s="1"/>
  <c r="U767" i="1"/>
  <c r="V767" i="1" s="1"/>
  <c r="U768" i="1"/>
  <c r="V768" i="1" s="1"/>
  <c r="U769" i="1"/>
  <c r="V769" i="1" s="1"/>
  <c r="U770" i="1"/>
  <c r="V770" i="1" s="1"/>
  <c r="U771" i="1"/>
  <c r="V771" i="1" s="1"/>
  <c r="U772" i="1"/>
  <c r="V772" i="1" s="1"/>
  <c r="U773" i="1"/>
  <c r="V773" i="1" s="1"/>
  <c r="U774" i="1"/>
  <c r="V774" i="1" s="1"/>
  <c r="U775" i="1"/>
  <c r="V775" i="1" s="1"/>
  <c r="U776" i="1"/>
  <c r="V776" i="1" s="1"/>
  <c r="U777" i="1"/>
  <c r="V777" i="1" s="1"/>
  <c r="U778" i="1"/>
  <c r="V778" i="1" s="1"/>
  <c r="U779" i="1"/>
  <c r="V779" i="1" s="1"/>
  <c r="U780" i="1"/>
  <c r="V780" i="1" s="1"/>
  <c r="U781" i="1"/>
  <c r="V781" i="1" s="1"/>
  <c r="U782" i="1"/>
  <c r="V782" i="1" s="1"/>
  <c r="U783" i="1"/>
  <c r="V783" i="1" s="1"/>
  <c r="U784" i="1"/>
  <c r="V784" i="1" s="1"/>
  <c r="U785" i="1"/>
  <c r="V785" i="1" s="1"/>
  <c r="U786" i="1"/>
  <c r="V786" i="1" s="1"/>
  <c r="U787" i="1"/>
  <c r="V787" i="1" s="1"/>
  <c r="U788" i="1"/>
  <c r="V788" i="1" s="1"/>
  <c r="U789" i="1"/>
  <c r="V789" i="1" s="1"/>
  <c r="U790" i="1"/>
  <c r="V790" i="1" s="1"/>
  <c r="U791" i="1"/>
  <c r="V791" i="1" s="1"/>
  <c r="U792" i="1"/>
  <c r="V792" i="1" s="1"/>
  <c r="U793" i="1"/>
  <c r="V793" i="1" s="1"/>
  <c r="U794" i="1"/>
  <c r="V794" i="1" s="1"/>
  <c r="U795" i="1"/>
  <c r="V795" i="1" s="1"/>
  <c r="U796" i="1"/>
  <c r="V796" i="1" s="1"/>
  <c r="U797" i="1"/>
  <c r="V797" i="1" s="1"/>
  <c r="U798" i="1"/>
  <c r="V798" i="1" s="1"/>
  <c r="U799" i="1"/>
  <c r="V799" i="1" s="1"/>
  <c r="U800" i="1"/>
  <c r="V800" i="1" s="1"/>
  <c r="U801" i="1"/>
  <c r="V801" i="1" s="1"/>
  <c r="U802" i="1"/>
  <c r="V802" i="1" s="1"/>
  <c r="U803" i="1"/>
  <c r="V803" i="1" s="1"/>
  <c r="U804" i="1"/>
  <c r="V804" i="1" s="1"/>
  <c r="U805" i="1"/>
  <c r="V805" i="1" s="1"/>
  <c r="U806" i="1"/>
  <c r="V806" i="1" s="1"/>
  <c r="U807" i="1"/>
  <c r="V807" i="1" s="1"/>
  <c r="U808" i="1"/>
  <c r="V808" i="1" s="1"/>
  <c r="U809" i="1"/>
  <c r="V809" i="1" s="1"/>
  <c r="U810" i="1"/>
  <c r="V810" i="1" s="1"/>
  <c r="U811" i="1"/>
  <c r="V811" i="1" s="1"/>
  <c r="U812" i="1"/>
  <c r="V812" i="1" s="1"/>
  <c r="U813" i="1"/>
  <c r="V813" i="1" s="1"/>
  <c r="U814" i="1"/>
  <c r="V814" i="1" s="1"/>
  <c r="U815" i="1"/>
  <c r="V815" i="1" s="1"/>
  <c r="U816" i="1"/>
  <c r="V816" i="1" s="1"/>
  <c r="U817" i="1"/>
  <c r="V817" i="1" s="1"/>
  <c r="U818" i="1"/>
  <c r="V818" i="1" s="1"/>
  <c r="U819" i="1"/>
  <c r="V819" i="1" s="1"/>
  <c r="U820" i="1"/>
  <c r="V820" i="1" s="1"/>
  <c r="U821" i="1"/>
  <c r="V821" i="1" s="1"/>
  <c r="U822" i="1"/>
  <c r="V822" i="1" s="1"/>
  <c r="U823" i="1"/>
  <c r="V823" i="1" s="1"/>
  <c r="U824" i="1"/>
  <c r="V824" i="1" s="1"/>
  <c r="U825" i="1"/>
  <c r="V825" i="1" s="1"/>
  <c r="U826" i="1"/>
  <c r="V826" i="1" s="1"/>
  <c r="U827" i="1"/>
  <c r="V827" i="1" s="1"/>
  <c r="U828" i="1"/>
  <c r="V828" i="1" s="1"/>
  <c r="U829" i="1"/>
  <c r="V829" i="1" s="1"/>
  <c r="U830" i="1"/>
  <c r="V830" i="1" s="1"/>
  <c r="U831" i="1"/>
  <c r="V831" i="1" s="1"/>
  <c r="U832" i="1"/>
  <c r="V832" i="1" s="1"/>
  <c r="U833" i="1"/>
  <c r="V833" i="1" s="1"/>
  <c r="U834" i="1"/>
  <c r="V834" i="1" s="1"/>
  <c r="U835" i="1"/>
  <c r="V835" i="1" s="1"/>
  <c r="U836" i="1"/>
  <c r="V836" i="1" s="1"/>
  <c r="U837" i="1"/>
  <c r="V837" i="1" s="1"/>
  <c r="U838" i="1"/>
  <c r="V838" i="1" s="1"/>
  <c r="U839" i="1"/>
  <c r="V839" i="1" s="1"/>
  <c r="U840" i="1"/>
  <c r="V840" i="1" s="1"/>
  <c r="U841" i="1"/>
  <c r="V841" i="1" s="1"/>
  <c r="U842" i="1"/>
  <c r="V842" i="1" s="1"/>
  <c r="U843" i="1"/>
  <c r="V843" i="1" s="1"/>
  <c r="U844" i="1"/>
  <c r="V844" i="1" s="1"/>
  <c r="U845" i="1"/>
  <c r="V845" i="1" s="1"/>
  <c r="U846" i="1"/>
  <c r="V846" i="1" s="1"/>
  <c r="U847" i="1"/>
  <c r="V847" i="1" s="1"/>
  <c r="U848" i="1"/>
  <c r="V848" i="1" s="1"/>
  <c r="U849" i="1"/>
  <c r="V849" i="1" s="1"/>
  <c r="U850" i="1"/>
  <c r="V850" i="1" s="1"/>
  <c r="U851" i="1"/>
  <c r="V851" i="1" s="1"/>
  <c r="U852" i="1"/>
  <c r="V852" i="1" s="1"/>
  <c r="U853" i="1"/>
  <c r="V853" i="1" s="1"/>
  <c r="U854" i="1"/>
  <c r="V854" i="1" s="1"/>
  <c r="U855" i="1"/>
  <c r="V855" i="1" s="1"/>
  <c r="U856" i="1"/>
  <c r="V856" i="1" s="1"/>
  <c r="U857" i="1"/>
  <c r="V857" i="1" s="1"/>
  <c r="U858" i="1"/>
  <c r="V858" i="1" s="1"/>
  <c r="U859" i="1"/>
  <c r="V859" i="1" s="1"/>
  <c r="U860" i="1"/>
  <c r="V860" i="1" s="1"/>
  <c r="U861" i="1"/>
  <c r="V861" i="1" s="1"/>
  <c r="U862" i="1"/>
  <c r="V862" i="1" s="1"/>
  <c r="U863" i="1"/>
  <c r="V863" i="1" s="1"/>
  <c r="U864" i="1"/>
  <c r="V864" i="1" s="1"/>
  <c r="U865" i="1"/>
  <c r="V865" i="1" s="1"/>
  <c r="U866" i="1"/>
  <c r="V866" i="1" s="1"/>
  <c r="U867" i="1"/>
  <c r="V867" i="1" s="1"/>
  <c r="U868" i="1"/>
  <c r="V868" i="1" s="1"/>
  <c r="U869" i="1"/>
  <c r="V869" i="1" s="1"/>
  <c r="U870" i="1"/>
  <c r="V870" i="1" s="1"/>
  <c r="U871" i="1"/>
  <c r="V871" i="1" s="1"/>
  <c r="U872" i="1"/>
  <c r="V872" i="1" s="1"/>
  <c r="U873" i="1"/>
  <c r="V873" i="1" s="1"/>
  <c r="U874" i="1"/>
  <c r="V874" i="1" s="1"/>
  <c r="U875" i="1"/>
  <c r="V875" i="1" s="1"/>
  <c r="U876" i="1"/>
  <c r="V876" i="1" s="1"/>
  <c r="U877" i="1"/>
  <c r="V877" i="1" s="1"/>
  <c r="U878" i="1"/>
  <c r="V878" i="1" s="1"/>
  <c r="U879" i="1"/>
  <c r="V879" i="1" s="1"/>
  <c r="U880" i="1"/>
  <c r="V880" i="1" s="1"/>
  <c r="U881" i="1"/>
  <c r="V881" i="1" s="1"/>
  <c r="U882" i="1"/>
  <c r="V882" i="1" s="1"/>
  <c r="U883" i="1"/>
  <c r="V883" i="1" s="1"/>
  <c r="U884" i="1"/>
  <c r="V884" i="1" s="1"/>
  <c r="U885" i="1"/>
  <c r="V885" i="1" s="1"/>
  <c r="U886" i="1"/>
  <c r="V886" i="1" s="1"/>
  <c r="U887" i="1"/>
  <c r="V887" i="1" s="1"/>
  <c r="U888" i="1"/>
  <c r="V888" i="1" s="1"/>
  <c r="U889" i="1"/>
  <c r="V889" i="1" s="1"/>
  <c r="U890" i="1"/>
  <c r="V890" i="1" s="1"/>
  <c r="U891" i="1"/>
  <c r="V891" i="1" s="1"/>
  <c r="U892" i="1"/>
  <c r="V892" i="1" s="1"/>
  <c r="U893" i="1"/>
  <c r="V893" i="1" s="1"/>
  <c r="U894" i="1"/>
  <c r="V894" i="1" s="1"/>
  <c r="U895" i="1"/>
  <c r="V895" i="1" s="1"/>
  <c r="U896" i="1"/>
  <c r="V896" i="1" s="1"/>
  <c r="U897" i="1"/>
  <c r="V897" i="1" s="1"/>
  <c r="U898" i="1"/>
  <c r="V898" i="1" s="1"/>
  <c r="U899" i="1"/>
  <c r="V899" i="1" s="1"/>
  <c r="U900" i="1"/>
  <c r="V900" i="1" s="1"/>
  <c r="U901" i="1"/>
  <c r="V901" i="1" s="1"/>
  <c r="U902" i="1"/>
  <c r="V902" i="1" s="1"/>
  <c r="U903" i="1"/>
  <c r="V903" i="1" s="1"/>
  <c r="U904" i="1"/>
  <c r="V904" i="1" s="1"/>
  <c r="U905" i="1"/>
  <c r="V905" i="1" s="1"/>
  <c r="U906" i="1"/>
  <c r="V906" i="1" s="1"/>
  <c r="U907" i="1"/>
  <c r="V907" i="1" s="1"/>
  <c r="U908" i="1"/>
  <c r="V908" i="1" s="1"/>
  <c r="U909" i="1"/>
  <c r="V909" i="1" s="1"/>
  <c r="U910" i="1"/>
  <c r="V910" i="1" s="1"/>
  <c r="U911" i="1"/>
  <c r="V911" i="1" s="1"/>
  <c r="U912" i="1"/>
  <c r="V912" i="1" s="1"/>
  <c r="U913" i="1"/>
  <c r="V913" i="1" s="1"/>
  <c r="U914" i="1"/>
  <c r="V914" i="1" s="1"/>
  <c r="U915" i="1"/>
  <c r="V915" i="1" s="1"/>
  <c r="U916" i="1"/>
  <c r="V916" i="1" s="1"/>
  <c r="U917" i="1"/>
  <c r="V917" i="1" s="1"/>
  <c r="U918" i="1"/>
  <c r="V918" i="1" s="1"/>
  <c r="U919" i="1"/>
  <c r="V919" i="1" s="1"/>
  <c r="U920" i="1"/>
  <c r="V920" i="1" s="1"/>
  <c r="U921" i="1"/>
  <c r="V921" i="1" s="1"/>
  <c r="U922" i="1"/>
  <c r="V922" i="1" s="1"/>
  <c r="U923" i="1"/>
  <c r="V923" i="1" s="1"/>
  <c r="U924" i="1"/>
  <c r="V924" i="1" s="1"/>
  <c r="U925" i="1"/>
  <c r="V925" i="1" s="1"/>
  <c r="U926" i="1"/>
  <c r="V926" i="1" s="1"/>
  <c r="U927" i="1"/>
  <c r="V927" i="1" s="1"/>
  <c r="U928" i="1"/>
  <c r="V928" i="1" s="1"/>
  <c r="U929" i="1"/>
  <c r="V929" i="1" s="1"/>
  <c r="U930" i="1"/>
  <c r="V930" i="1" s="1"/>
  <c r="U931" i="1"/>
  <c r="V931" i="1" s="1"/>
  <c r="U932" i="1"/>
  <c r="V932" i="1" s="1"/>
  <c r="U933" i="1"/>
  <c r="V933" i="1" s="1"/>
  <c r="U934" i="1"/>
  <c r="V934" i="1" s="1"/>
  <c r="U935" i="1"/>
  <c r="V935" i="1" s="1"/>
  <c r="U936" i="1"/>
  <c r="V936" i="1" s="1"/>
  <c r="U937" i="1"/>
  <c r="V937" i="1" s="1"/>
  <c r="U938" i="1"/>
  <c r="V938" i="1" s="1"/>
  <c r="U939" i="1"/>
  <c r="V939" i="1" s="1"/>
  <c r="U940" i="1"/>
  <c r="V940" i="1" s="1"/>
  <c r="U941" i="1"/>
  <c r="V941" i="1" s="1"/>
  <c r="U942" i="1"/>
  <c r="V942" i="1" s="1"/>
  <c r="U943" i="1"/>
  <c r="V943" i="1" s="1"/>
  <c r="U944" i="1"/>
  <c r="V944" i="1" s="1"/>
  <c r="U945" i="1"/>
  <c r="V945" i="1" s="1"/>
  <c r="U946" i="1"/>
  <c r="V946" i="1" s="1"/>
  <c r="U947" i="1"/>
  <c r="V947" i="1" s="1"/>
  <c r="U948" i="1"/>
  <c r="V948" i="1" s="1"/>
  <c r="U949" i="1"/>
  <c r="V949" i="1" s="1"/>
  <c r="U950" i="1"/>
  <c r="V950" i="1" s="1"/>
  <c r="U951" i="1"/>
  <c r="V951" i="1" s="1"/>
  <c r="U952" i="1"/>
  <c r="V952" i="1" s="1"/>
  <c r="U953" i="1"/>
  <c r="V953" i="1" s="1"/>
  <c r="U954" i="1"/>
  <c r="V954" i="1" s="1"/>
  <c r="U955" i="1"/>
  <c r="V955" i="1" s="1"/>
  <c r="U956" i="1"/>
  <c r="V956" i="1" s="1"/>
  <c r="U957" i="1"/>
  <c r="V957" i="1" s="1"/>
  <c r="U958" i="1"/>
  <c r="V958" i="1" s="1"/>
  <c r="U959" i="1"/>
  <c r="V959" i="1" s="1"/>
  <c r="U960" i="1"/>
  <c r="V960" i="1" s="1"/>
  <c r="U961" i="1"/>
  <c r="V961" i="1" s="1"/>
  <c r="U962" i="1"/>
  <c r="V962" i="1" s="1"/>
  <c r="U963" i="1"/>
  <c r="V963" i="1" s="1"/>
  <c r="U964" i="1"/>
  <c r="V964" i="1" s="1"/>
  <c r="U965" i="1"/>
  <c r="V965" i="1" s="1"/>
  <c r="U966" i="1"/>
  <c r="V966" i="1" s="1"/>
  <c r="U967" i="1"/>
  <c r="V967" i="1" s="1"/>
  <c r="U968" i="1"/>
  <c r="V968" i="1" s="1"/>
  <c r="U969" i="1"/>
  <c r="V969" i="1" s="1"/>
  <c r="U970" i="1"/>
  <c r="V970" i="1" s="1"/>
  <c r="U971" i="1"/>
  <c r="V971" i="1" s="1"/>
  <c r="U972" i="1"/>
  <c r="V972" i="1" s="1"/>
  <c r="U973" i="1"/>
  <c r="V973" i="1" s="1"/>
  <c r="U974" i="1"/>
  <c r="V974" i="1" s="1"/>
  <c r="U975" i="1"/>
  <c r="V975" i="1" s="1"/>
  <c r="U976" i="1"/>
  <c r="V976" i="1" s="1"/>
  <c r="U977" i="1"/>
  <c r="V977" i="1" s="1"/>
  <c r="U978" i="1"/>
  <c r="V978" i="1" s="1"/>
  <c r="U979" i="1"/>
  <c r="V979" i="1" s="1"/>
  <c r="U980" i="1"/>
  <c r="V980" i="1" s="1"/>
  <c r="U981" i="1"/>
  <c r="V981" i="1" s="1"/>
  <c r="U982" i="1"/>
  <c r="V982" i="1" s="1"/>
  <c r="U983" i="1"/>
  <c r="V983" i="1" s="1"/>
  <c r="U984" i="1"/>
  <c r="V984" i="1" s="1"/>
  <c r="U985" i="1"/>
  <c r="V985" i="1" s="1"/>
  <c r="U986" i="1"/>
  <c r="V986" i="1" s="1"/>
  <c r="U987" i="1"/>
  <c r="V987" i="1" s="1"/>
  <c r="U988" i="1"/>
  <c r="V988" i="1" s="1"/>
  <c r="U989" i="1"/>
  <c r="V989" i="1" s="1"/>
  <c r="U990" i="1"/>
  <c r="V990" i="1" s="1"/>
  <c r="U991" i="1"/>
  <c r="V991" i="1" s="1"/>
  <c r="U992" i="1"/>
  <c r="V992" i="1" s="1"/>
  <c r="U993" i="1"/>
  <c r="V993" i="1" s="1"/>
  <c r="U994" i="1"/>
  <c r="V994" i="1" s="1"/>
  <c r="U995" i="1"/>
  <c r="V995" i="1" s="1"/>
  <c r="U996" i="1"/>
  <c r="V996" i="1" s="1"/>
  <c r="U997" i="1"/>
  <c r="V997" i="1" s="1"/>
  <c r="U998" i="1"/>
  <c r="V998" i="1" s="1"/>
  <c r="U999" i="1"/>
  <c r="V999" i="1" s="1"/>
  <c r="U1000" i="1"/>
  <c r="V1000" i="1" s="1"/>
  <c r="U1001" i="1"/>
  <c r="V1001" i="1" s="1"/>
  <c r="U1" i="3"/>
  <c r="Q1" i="3"/>
  <c r="M1" i="3"/>
  <c r="E1" i="3"/>
  <c r="E7" i="2"/>
  <c r="I1" i="3" s="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2" i="1"/>
  <c r="Q185" i="1" l="1"/>
  <c r="R185" i="1"/>
  <c r="P185" i="1"/>
  <c r="Q186" i="1"/>
  <c r="R186" i="1"/>
  <c r="P186" i="1"/>
  <c r="Q187" i="1"/>
  <c r="R187" i="1"/>
  <c r="P187" i="1"/>
  <c r="Q188" i="1"/>
  <c r="R188" i="1"/>
  <c r="P188" i="1"/>
  <c r="Q189" i="1"/>
  <c r="R189" i="1"/>
  <c r="P189" i="1"/>
  <c r="Q190" i="1"/>
  <c r="R190" i="1"/>
  <c r="P190" i="1"/>
  <c r="Q191" i="1"/>
  <c r="R191" i="1"/>
  <c r="P191" i="1"/>
  <c r="Q192" i="1"/>
  <c r="R192" i="1"/>
  <c r="P192" i="1"/>
  <c r="Q193" i="1"/>
  <c r="R193" i="1"/>
  <c r="P193" i="1"/>
  <c r="Q194" i="1"/>
  <c r="R194" i="1"/>
  <c r="P194" i="1"/>
  <c r="Q195" i="1"/>
  <c r="R195" i="1"/>
  <c r="P195" i="1"/>
  <c r="Q196" i="1"/>
  <c r="R196" i="1"/>
  <c r="P196" i="1"/>
  <c r="Q197" i="1"/>
  <c r="R197" i="1"/>
  <c r="P197" i="1"/>
  <c r="Q198" i="1"/>
  <c r="R198" i="1"/>
  <c r="P198" i="1"/>
  <c r="Q199" i="1"/>
  <c r="R199" i="1"/>
  <c r="P199" i="1"/>
  <c r="Q200" i="1"/>
  <c r="R200" i="1"/>
  <c r="P200" i="1"/>
  <c r="Q201" i="1"/>
  <c r="R201" i="1"/>
  <c r="P201" i="1"/>
  <c r="Q202" i="1"/>
  <c r="R202" i="1"/>
  <c r="P202" i="1"/>
  <c r="Q203" i="1"/>
  <c r="R203" i="1"/>
  <c r="P203" i="1"/>
  <c r="Q204" i="1"/>
  <c r="R204" i="1"/>
  <c r="P204" i="1"/>
  <c r="Q205" i="1"/>
  <c r="R205" i="1"/>
  <c r="P205" i="1"/>
  <c r="Q206" i="1"/>
  <c r="R206" i="1"/>
  <c r="P206" i="1"/>
  <c r="Q207" i="1"/>
  <c r="R207" i="1"/>
  <c r="P207" i="1"/>
  <c r="Q208" i="1"/>
  <c r="R208" i="1"/>
  <c r="P208" i="1"/>
  <c r="Q209" i="1"/>
  <c r="R209" i="1"/>
  <c r="P209" i="1"/>
  <c r="Q210" i="1"/>
  <c r="R210" i="1"/>
  <c r="P210" i="1"/>
  <c r="Q211" i="1"/>
  <c r="R211" i="1"/>
  <c r="P211" i="1"/>
  <c r="Q212" i="1"/>
  <c r="R212" i="1"/>
  <c r="P212" i="1"/>
  <c r="Q213" i="1"/>
  <c r="R213" i="1"/>
  <c r="P213" i="1"/>
  <c r="Q214" i="1"/>
  <c r="R214" i="1"/>
  <c r="P214" i="1"/>
  <c r="P3" i="1"/>
  <c r="Q3" i="1"/>
  <c r="R3" i="1"/>
  <c r="P4" i="1"/>
  <c r="Q4" i="1"/>
  <c r="R4" i="1"/>
  <c r="R5" i="1"/>
  <c r="P5" i="1"/>
  <c r="Q5" i="1"/>
  <c r="R6" i="1"/>
  <c r="P6" i="1"/>
  <c r="Q6" i="1"/>
  <c r="R7" i="1"/>
  <c r="P7" i="1"/>
  <c r="Q7" i="1"/>
  <c r="R8" i="1"/>
  <c r="P8" i="1"/>
  <c r="Q8" i="1"/>
  <c r="R9" i="1"/>
  <c r="P9" i="1"/>
  <c r="Q9" i="1"/>
  <c r="R10" i="1"/>
  <c r="P10" i="1"/>
  <c r="Q10" i="1"/>
  <c r="P11" i="1"/>
  <c r="Q11" i="1"/>
  <c r="R11" i="1"/>
  <c r="P12" i="1"/>
  <c r="R12" i="1"/>
  <c r="Q12" i="1"/>
  <c r="P13" i="1"/>
  <c r="Q13" i="1"/>
  <c r="R13" i="1"/>
  <c r="R14" i="1"/>
  <c r="P14" i="1"/>
  <c r="Q14" i="1"/>
  <c r="R15" i="1"/>
  <c r="P15" i="1"/>
  <c r="Q15" i="1"/>
  <c r="P16" i="1"/>
  <c r="R16" i="1"/>
  <c r="Q16" i="1"/>
  <c r="P17" i="1"/>
  <c r="R17" i="1"/>
  <c r="Q17" i="1"/>
  <c r="Q18" i="1"/>
  <c r="P18" i="1"/>
  <c r="R18" i="1"/>
  <c r="R19" i="1"/>
  <c r="P19" i="1"/>
  <c r="Q19" i="1"/>
  <c r="R20" i="1"/>
  <c r="Q20" i="1"/>
  <c r="P20" i="1"/>
  <c r="R21" i="1"/>
  <c r="Q21" i="1"/>
  <c r="P21" i="1"/>
  <c r="R22" i="1"/>
  <c r="Q22" i="1"/>
  <c r="P22" i="1"/>
  <c r="P23" i="1"/>
  <c r="R23" i="1"/>
  <c r="Q23" i="1"/>
  <c r="P24" i="1"/>
  <c r="Q24" i="1"/>
  <c r="R24" i="1"/>
  <c r="P25" i="1"/>
  <c r="R25" i="1"/>
  <c r="Q25" i="1"/>
  <c r="P26" i="1"/>
  <c r="R26" i="1"/>
  <c r="Q26" i="1"/>
  <c r="P27" i="1"/>
  <c r="R27" i="1"/>
  <c r="Q27" i="1"/>
  <c r="R28" i="1"/>
  <c r="Q28" i="1"/>
  <c r="P28" i="1"/>
  <c r="R29" i="1"/>
  <c r="Q29" i="1"/>
  <c r="P29" i="1"/>
  <c r="Q30" i="1"/>
  <c r="R30" i="1"/>
  <c r="P30" i="1"/>
  <c r="R31" i="1"/>
  <c r="P31" i="1"/>
  <c r="Q31" i="1"/>
  <c r="P32" i="1"/>
  <c r="R32" i="1"/>
  <c r="Q32" i="1"/>
  <c r="P33" i="1"/>
  <c r="Q33" i="1"/>
  <c r="R33" i="1"/>
  <c r="R34" i="1"/>
  <c r="P34" i="1"/>
  <c r="Q34" i="1"/>
  <c r="P35" i="1"/>
  <c r="Q35" i="1"/>
  <c r="R35" i="1"/>
  <c r="P36" i="1"/>
  <c r="Q36" i="1"/>
  <c r="R36" i="1"/>
  <c r="R37" i="1"/>
  <c r="Q37" i="1"/>
  <c r="P37" i="1"/>
  <c r="Q38" i="1"/>
  <c r="P38" i="1"/>
  <c r="R38" i="1"/>
  <c r="R39" i="1"/>
  <c r="Q39" i="1"/>
  <c r="P39" i="1"/>
  <c r="R40" i="1"/>
  <c r="Q40" i="1"/>
  <c r="P40" i="1"/>
  <c r="P41" i="1"/>
  <c r="R41" i="1"/>
  <c r="Q41" i="1"/>
  <c r="R42" i="1"/>
  <c r="Q42" i="1"/>
  <c r="P42" i="1"/>
  <c r="Q43" i="1"/>
  <c r="P43" i="1"/>
  <c r="R43" i="1"/>
  <c r="R44" i="1"/>
  <c r="P44" i="1"/>
  <c r="Q44" i="1"/>
  <c r="Q45" i="1"/>
  <c r="R45" i="1"/>
  <c r="P45" i="1"/>
  <c r="Q46" i="1"/>
  <c r="P46" i="1"/>
  <c r="R46" i="1"/>
  <c r="R47" i="1"/>
  <c r="Q47" i="1"/>
  <c r="P47" i="1"/>
  <c r="Q48" i="1"/>
  <c r="P48" i="1"/>
  <c r="R48" i="1"/>
  <c r="R49" i="1"/>
  <c r="P49" i="1"/>
  <c r="Q49" i="1"/>
  <c r="R50" i="1"/>
  <c r="P50" i="1"/>
  <c r="Q50" i="1"/>
  <c r="R51" i="1"/>
  <c r="P51" i="1"/>
  <c r="Q51" i="1"/>
  <c r="P52" i="1"/>
  <c r="Q52" i="1"/>
  <c r="R52" i="1"/>
  <c r="P53" i="1"/>
  <c r="Q53" i="1"/>
  <c r="R53" i="1"/>
  <c r="R54" i="1"/>
  <c r="P54" i="1"/>
  <c r="Q54" i="1"/>
  <c r="P55" i="1"/>
  <c r="Q55" i="1"/>
  <c r="R55" i="1"/>
  <c r="R56" i="1"/>
  <c r="P56" i="1"/>
  <c r="Q56" i="1"/>
  <c r="Q57" i="1"/>
  <c r="R57" i="1"/>
  <c r="P57" i="1"/>
  <c r="Q58" i="1"/>
  <c r="R58" i="1"/>
  <c r="P58" i="1"/>
  <c r="R59" i="1"/>
  <c r="Q59" i="1"/>
  <c r="P59" i="1"/>
  <c r="Q60" i="1"/>
  <c r="R60" i="1"/>
  <c r="P60" i="1"/>
  <c r="Q61" i="1"/>
  <c r="R61" i="1"/>
  <c r="P61" i="1"/>
  <c r="P62" i="1"/>
  <c r="R62" i="1"/>
  <c r="Q62" i="1"/>
  <c r="Q63" i="1"/>
  <c r="R63" i="1"/>
  <c r="P63" i="1"/>
  <c r="Q64" i="1"/>
  <c r="R64" i="1"/>
  <c r="P64" i="1"/>
  <c r="P65" i="1"/>
  <c r="R65" i="1"/>
  <c r="Q65" i="1"/>
  <c r="R66" i="1"/>
  <c r="Q66" i="1"/>
  <c r="P66" i="1"/>
  <c r="R67" i="1"/>
  <c r="Q67" i="1"/>
  <c r="P67" i="1"/>
  <c r="Q68" i="1"/>
  <c r="R68" i="1"/>
  <c r="P68" i="1"/>
  <c r="Q69" i="1"/>
  <c r="R69" i="1"/>
  <c r="P69" i="1"/>
  <c r="R70" i="1"/>
  <c r="Q70" i="1"/>
  <c r="P70" i="1"/>
  <c r="Q71" i="1"/>
  <c r="R71" i="1"/>
  <c r="P71" i="1"/>
  <c r="Q72" i="1"/>
  <c r="R72" i="1"/>
  <c r="P72" i="1"/>
  <c r="P73" i="1"/>
  <c r="R73" i="1"/>
  <c r="Q73" i="1"/>
  <c r="P74" i="1"/>
  <c r="R74" i="1"/>
  <c r="Q74" i="1"/>
  <c r="Q75" i="1"/>
  <c r="R75" i="1"/>
  <c r="P75" i="1"/>
  <c r="P76" i="1"/>
  <c r="Q76" i="1"/>
  <c r="R76" i="1"/>
  <c r="Q77" i="1"/>
  <c r="R77" i="1"/>
  <c r="P77" i="1"/>
  <c r="Q78" i="1"/>
  <c r="R78" i="1"/>
  <c r="P78" i="1"/>
  <c r="P79" i="1"/>
  <c r="Q79" i="1"/>
  <c r="R79" i="1"/>
  <c r="R80" i="1"/>
  <c r="P80" i="1"/>
  <c r="Q80" i="1"/>
  <c r="R81" i="1"/>
  <c r="P81" i="1"/>
  <c r="Q81" i="1"/>
  <c r="R82" i="1"/>
  <c r="P82" i="1"/>
  <c r="Q82" i="1"/>
  <c r="Q83" i="1"/>
  <c r="R83" i="1"/>
  <c r="P83" i="1"/>
  <c r="R84" i="1"/>
  <c r="Q84" i="1"/>
  <c r="P84" i="1"/>
  <c r="R85" i="1"/>
  <c r="P85" i="1"/>
  <c r="Q85" i="1"/>
  <c r="R86" i="1"/>
  <c r="Q86" i="1"/>
  <c r="P86" i="1"/>
  <c r="R87" i="1"/>
  <c r="P87" i="1"/>
  <c r="Q87" i="1"/>
  <c r="R88" i="1"/>
  <c r="Q88" i="1"/>
  <c r="P88" i="1"/>
  <c r="R89" i="1"/>
  <c r="P89" i="1"/>
  <c r="Q89" i="1"/>
  <c r="R90" i="1"/>
  <c r="Q90" i="1"/>
  <c r="P90" i="1"/>
  <c r="P91" i="1"/>
  <c r="R91" i="1"/>
  <c r="Q91" i="1"/>
  <c r="R92" i="1"/>
  <c r="Q92" i="1"/>
  <c r="P92" i="1"/>
  <c r="Q93" i="1"/>
  <c r="R93" i="1"/>
  <c r="P93" i="1"/>
  <c r="Q94" i="1"/>
  <c r="P94" i="1"/>
  <c r="R94" i="1"/>
  <c r="P95" i="1"/>
  <c r="R95" i="1"/>
  <c r="Q95" i="1"/>
  <c r="R96" i="1"/>
  <c r="Q96" i="1"/>
  <c r="P96" i="1"/>
  <c r="P97" i="1"/>
  <c r="R97" i="1"/>
  <c r="Q97" i="1"/>
  <c r="P98" i="1"/>
  <c r="R98" i="1"/>
  <c r="Q98" i="1"/>
  <c r="Q99" i="1"/>
  <c r="R99" i="1"/>
  <c r="P99" i="1"/>
  <c r="R100" i="1"/>
  <c r="Q100" i="1"/>
  <c r="P100" i="1"/>
  <c r="R101" i="1"/>
  <c r="Q101" i="1"/>
  <c r="P101" i="1"/>
  <c r="R102" i="1"/>
  <c r="Q102" i="1"/>
  <c r="P102" i="1"/>
  <c r="R103" i="1"/>
  <c r="Q103" i="1"/>
  <c r="P103" i="1"/>
  <c r="R104" i="1"/>
  <c r="P104" i="1"/>
  <c r="Q104" i="1"/>
  <c r="R105" i="1"/>
  <c r="Q105" i="1"/>
  <c r="P105" i="1"/>
  <c r="R106" i="1"/>
  <c r="Q106" i="1"/>
  <c r="P106" i="1"/>
  <c r="Q107" i="1"/>
  <c r="R107" i="1"/>
  <c r="P107" i="1"/>
  <c r="P108" i="1"/>
  <c r="R108" i="1"/>
  <c r="Q108" i="1"/>
  <c r="R109" i="1"/>
  <c r="P109" i="1"/>
  <c r="Q109" i="1"/>
  <c r="Q110" i="1"/>
  <c r="R110" i="1"/>
  <c r="P110" i="1"/>
  <c r="P111" i="1"/>
  <c r="Q111" i="1"/>
  <c r="R111" i="1"/>
  <c r="Q112" i="1"/>
  <c r="P112" i="1"/>
  <c r="R112" i="1"/>
  <c r="P113" i="1"/>
  <c r="Q113" i="1"/>
  <c r="R113" i="1"/>
  <c r="P114" i="1"/>
  <c r="R114" i="1"/>
  <c r="Q114" i="1"/>
  <c r="P115" i="1"/>
  <c r="R115" i="1"/>
  <c r="Q115" i="1"/>
  <c r="P116" i="1"/>
  <c r="Q116" i="1"/>
  <c r="R116" i="1"/>
  <c r="R117" i="1"/>
  <c r="Q117" i="1"/>
  <c r="P117" i="1"/>
  <c r="P118" i="1"/>
  <c r="Q118" i="1"/>
  <c r="R118" i="1"/>
  <c r="R119" i="1"/>
  <c r="Q119" i="1"/>
  <c r="P119" i="1"/>
  <c r="P120" i="1"/>
  <c r="R120" i="1"/>
  <c r="Q120" i="1"/>
  <c r="R121" i="1"/>
  <c r="P121" i="1"/>
  <c r="Q121" i="1"/>
  <c r="Q122" i="1"/>
  <c r="P122" i="1"/>
  <c r="R122" i="1"/>
  <c r="P123" i="1"/>
  <c r="R123" i="1"/>
  <c r="Q123" i="1"/>
  <c r="R124" i="1"/>
  <c r="P124" i="1"/>
  <c r="Q124" i="1"/>
  <c r="P125" i="1"/>
  <c r="R125" i="1"/>
  <c r="Q125" i="1"/>
  <c r="R126" i="1"/>
  <c r="P126" i="1"/>
  <c r="Q126" i="1"/>
  <c r="P127" i="1"/>
  <c r="R127" i="1"/>
  <c r="Q127" i="1"/>
  <c r="Q128" i="1"/>
  <c r="R128" i="1"/>
  <c r="P128" i="1"/>
  <c r="Q129" i="1"/>
  <c r="P129" i="1"/>
  <c r="R129" i="1"/>
  <c r="Q130" i="1"/>
  <c r="P130" i="1"/>
  <c r="R130" i="1"/>
  <c r="Q131" i="1"/>
  <c r="P131" i="1"/>
  <c r="R131" i="1"/>
  <c r="Q132" i="1"/>
  <c r="P132" i="1"/>
  <c r="R132" i="1"/>
  <c r="Q133" i="1"/>
  <c r="P133" i="1"/>
  <c r="R133" i="1"/>
  <c r="Q134" i="1"/>
  <c r="P134" i="1"/>
  <c r="R134" i="1"/>
  <c r="P135" i="1"/>
  <c r="R135" i="1"/>
  <c r="Q135" i="1"/>
  <c r="P136" i="1"/>
  <c r="R136" i="1"/>
  <c r="Q136" i="1"/>
  <c r="P137" i="1"/>
  <c r="Q137" i="1"/>
  <c r="R137" i="1"/>
  <c r="P138" i="1"/>
  <c r="Q138" i="1"/>
  <c r="R138" i="1"/>
  <c r="P139" i="1"/>
  <c r="R139" i="1"/>
  <c r="Q139" i="1"/>
  <c r="Q140" i="1"/>
  <c r="P140" i="1"/>
  <c r="R140" i="1"/>
  <c r="Q141" i="1"/>
  <c r="P141" i="1"/>
  <c r="R141" i="1"/>
  <c r="Q142" i="1"/>
  <c r="R142" i="1"/>
  <c r="P142" i="1"/>
  <c r="Q143" i="1"/>
  <c r="R143" i="1"/>
  <c r="P143" i="1"/>
  <c r="R144" i="1"/>
  <c r="Q144" i="1"/>
  <c r="P144" i="1"/>
  <c r="R145" i="1"/>
  <c r="P145" i="1"/>
  <c r="Q145" i="1"/>
  <c r="R146" i="1"/>
  <c r="P146" i="1"/>
  <c r="Q146" i="1"/>
  <c r="Q147" i="1"/>
  <c r="P147" i="1"/>
  <c r="R147" i="1"/>
  <c r="Q148" i="1"/>
  <c r="P148" i="1"/>
  <c r="R148" i="1"/>
  <c r="P149" i="1"/>
  <c r="Q149" i="1"/>
  <c r="R149" i="1"/>
  <c r="P150" i="1"/>
  <c r="Q150" i="1"/>
  <c r="R150" i="1"/>
  <c r="R151" i="1"/>
  <c r="Q151" i="1"/>
  <c r="P151" i="1"/>
  <c r="R152" i="1"/>
  <c r="P152" i="1"/>
  <c r="Q152" i="1"/>
  <c r="Q153" i="1"/>
  <c r="R153" i="1"/>
  <c r="P153" i="1"/>
  <c r="Q154" i="1"/>
  <c r="R154" i="1"/>
  <c r="P154" i="1"/>
  <c r="Q155" i="1"/>
  <c r="P155" i="1"/>
  <c r="R155" i="1"/>
  <c r="Q156" i="1"/>
  <c r="P156" i="1"/>
  <c r="R156" i="1"/>
  <c r="Q157" i="1"/>
  <c r="R157" i="1"/>
  <c r="P157" i="1"/>
  <c r="Q158" i="1"/>
  <c r="R158" i="1"/>
  <c r="P158" i="1"/>
  <c r="Q159" i="1"/>
  <c r="P159" i="1"/>
  <c r="R159" i="1"/>
  <c r="Q160" i="1"/>
  <c r="R160" i="1"/>
  <c r="P160" i="1"/>
  <c r="P161" i="1"/>
  <c r="R161" i="1"/>
  <c r="Q161" i="1"/>
  <c r="P162" i="1"/>
  <c r="R162" i="1"/>
  <c r="Q162" i="1"/>
  <c r="R163" i="1"/>
  <c r="P163" i="1"/>
  <c r="Q163" i="1"/>
  <c r="P164" i="1"/>
  <c r="Q164" i="1"/>
  <c r="R164" i="1"/>
  <c r="R165" i="1"/>
  <c r="Q165" i="1"/>
  <c r="P165" i="1"/>
  <c r="P166" i="1"/>
  <c r="R166" i="1"/>
  <c r="Q166" i="1"/>
  <c r="R167" i="1"/>
  <c r="P167" i="1"/>
  <c r="Q167" i="1"/>
  <c r="Q168" i="1"/>
  <c r="R168" i="1"/>
  <c r="P168" i="1"/>
  <c r="R169" i="1"/>
  <c r="Q169" i="1"/>
  <c r="P169" i="1"/>
  <c r="R170" i="1"/>
  <c r="Q170" i="1"/>
  <c r="P170" i="1"/>
  <c r="P171" i="1"/>
  <c r="R171" i="1"/>
  <c r="Q171" i="1"/>
  <c r="P172" i="1"/>
  <c r="R172" i="1"/>
  <c r="Q172" i="1"/>
  <c r="Q173" i="1"/>
  <c r="R173" i="1"/>
  <c r="P173" i="1"/>
  <c r="P174" i="1"/>
  <c r="R174" i="1"/>
  <c r="Q174" i="1"/>
  <c r="R175" i="1"/>
  <c r="Q175" i="1"/>
  <c r="P175" i="1"/>
  <c r="P176" i="1"/>
  <c r="R176" i="1"/>
  <c r="Q176" i="1"/>
  <c r="Q177" i="1"/>
  <c r="R177" i="1"/>
  <c r="P177" i="1"/>
  <c r="Q178" i="1"/>
  <c r="P178" i="1"/>
  <c r="R178" i="1"/>
  <c r="Q179" i="1"/>
  <c r="P179" i="1"/>
  <c r="R179" i="1"/>
  <c r="P180" i="1"/>
  <c r="Q180" i="1"/>
  <c r="R180" i="1"/>
  <c r="Q181" i="1"/>
  <c r="P181" i="1"/>
  <c r="R181" i="1"/>
  <c r="Q182" i="1"/>
  <c r="R182" i="1"/>
  <c r="P182" i="1"/>
  <c r="Q183" i="1"/>
  <c r="R183" i="1"/>
  <c r="P183" i="1"/>
  <c r="Q184" i="1"/>
  <c r="R184" i="1"/>
  <c r="P184" i="1"/>
  <c r="P215" i="1"/>
  <c r="R215" i="1"/>
  <c r="Q215" i="1"/>
  <c r="P216" i="1"/>
  <c r="R216" i="1"/>
  <c r="Q216" i="1"/>
  <c r="Q217" i="1"/>
  <c r="R217" i="1"/>
  <c r="P217" i="1"/>
  <c r="R218" i="1"/>
  <c r="P218" i="1"/>
  <c r="Q218" i="1"/>
  <c r="P219" i="1"/>
  <c r="R219" i="1"/>
  <c r="Q219" i="1"/>
  <c r="P220" i="1"/>
  <c r="R220" i="1"/>
  <c r="Q220" i="1"/>
  <c r="P221" i="1"/>
  <c r="R221" i="1"/>
  <c r="Q221" i="1"/>
  <c r="P222" i="1"/>
  <c r="R222" i="1"/>
  <c r="Q222" i="1"/>
  <c r="R223" i="1"/>
  <c r="P223" i="1"/>
  <c r="Q223" i="1"/>
  <c r="R224" i="1"/>
  <c r="Q224" i="1"/>
  <c r="P224" i="1"/>
  <c r="P225" i="1"/>
  <c r="Q225" i="1"/>
  <c r="R225" i="1"/>
  <c r="P226" i="1"/>
  <c r="Q226" i="1"/>
  <c r="R226" i="1"/>
  <c r="P227" i="1"/>
  <c r="Q227" i="1"/>
  <c r="R227" i="1"/>
  <c r="R228" i="1"/>
  <c r="Q228" i="1"/>
  <c r="P228" i="1"/>
  <c r="R229" i="1"/>
  <c r="P229" i="1"/>
  <c r="Q229" i="1"/>
  <c r="R230" i="1"/>
  <c r="P230" i="1"/>
  <c r="Q230" i="1"/>
  <c r="P231" i="1"/>
  <c r="R231" i="1"/>
  <c r="Q231" i="1"/>
  <c r="P232" i="1"/>
  <c r="R232" i="1"/>
  <c r="Q232" i="1"/>
  <c r="P233" i="1"/>
  <c r="Q233" i="1"/>
  <c r="R233" i="1"/>
  <c r="Q234" i="1"/>
  <c r="R234" i="1"/>
  <c r="P234" i="1"/>
  <c r="R235" i="1"/>
  <c r="Q235" i="1"/>
  <c r="P235" i="1"/>
  <c r="R236" i="1"/>
  <c r="Q236" i="1"/>
  <c r="P236" i="1"/>
  <c r="Q237" i="1"/>
  <c r="P237" i="1"/>
  <c r="R237" i="1"/>
  <c r="Q238" i="1"/>
  <c r="P238" i="1"/>
  <c r="R238" i="1"/>
  <c r="P239" i="1"/>
  <c r="R239" i="1"/>
  <c r="Q239" i="1"/>
  <c r="R240" i="1"/>
  <c r="P240" i="1"/>
  <c r="Q240" i="1"/>
  <c r="Q241" i="1"/>
  <c r="R241" i="1"/>
  <c r="P241" i="1"/>
  <c r="Q242" i="1"/>
  <c r="P242" i="1"/>
  <c r="R242" i="1"/>
  <c r="Q243" i="1"/>
  <c r="R243" i="1"/>
  <c r="P243" i="1"/>
  <c r="R244" i="1"/>
  <c r="P244" i="1"/>
  <c r="Q244" i="1"/>
  <c r="P245" i="1"/>
  <c r="Q245" i="1"/>
  <c r="R245" i="1"/>
  <c r="Q246" i="1"/>
  <c r="P246" i="1"/>
  <c r="R246" i="1"/>
  <c r="Q247" i="1"/>
  <c r="P247" i="1"/>
  <c r="R247" i="1"/>
  <c r="P248" i="1"/>
  <c r="Q248" i="1"/>
  <c r="R248" i="1"/>
  <c r="Q249" i="1"/>
  <c r="R249" i="1"/>
  <c r="P249" i="1"/>
  <c r="Q250" i="1"/>
  <c r="P250" i="1"/>
  <c r="R250" i="1"/>
  <c r="Q251" i="1"/>
  <c r="R251" i="1"/>
  <c r="P251" i="1"/>
  <c r="Q252" i="1"/>
  <c r="R252" i="1"/>
  <c r="P252" i="1"/>
  <c r="Q253" i="1"/>
  <c r="P253" i="1"/>
  <c r="R253" i="1"/>
  <c r="Q254" i="1"/>
  <c r="P254" i="1"/>
  <c r="R254" i="1"/>
  <c r="Q255" i="1"/>
  <c r="R255" i="1"/>
  <c r="P255" i="1"/>
  <c r="Q256" i="1"/>
  <c r="P256" i="1"/>
  <c r="R256" i="1"/>
  <c r="Q257" i="1"/>
  <c r="R257" i="1"/>
  <c r="P257" i="1"/>
  <c r="Q258" i="1"/>
  <c r="R258" i="1"/>
  <c r="P258" i="1"/>
  <c r="R259" i="1"/>
  <c r="Q259" i="1"/>
  <c r="P259" i="1"/>
  <c r="P260" i="1"/>
  <c r="R260" i="1"/>
  <c r="Q260" i="1"/>
  <c r="R261" i="1"/>
  <c r="P261" i="1"/>
  <c r="Q261" i="1"/>
  <c r="P262" i="1"/>
  <c r="R262" i="1"/>
  <c r="Q262" i="1"/>
  <c r="R263" i="1"/>
  <c r="P263" i="1"/>
  <c r="Q263" i="1"/>
  <c r="P264" i="1"/>
  <c r="Q264" i="1"/>
  <c r="R264" i="1"/>
  <c r="P265" i="1"/>
  <c r="Q265" i="1"/>
  <c r="R265" i="1"/>
  <c r="Q266" i="1"/>
  <c r="P266" i="1"/>
  <c r="R266" i="1"/>
  <c r="R267" i="1"/>
  <c r="Q267" i="1"/>
  <c r="P267" i="1"/>
  <c r="R268" i="1"/>
  <c r="P268" i="1"/>
  <c r="Q268" i="1"/>
  <c r="Q269" i="1"/>
  <c r="R269" i="1"/>
  <c r="P269" i="1"/>
  <c r="Q270" i="1"/>
  <c r="R270" i="1"/>
  <c r="P270" i="1"/>
  <c r="Q271" i="1"/>
  <c r="P271" i="1"/>
  <c r="R271" i="1"/>
  <c r="Q272" i="1"/>
  <c r="P272" i="1"/>
  <c r="R272" i="1"/>
  <c r="Q273" i="1"/>
  <c r="P273" i="1"/>
  <c r="R273" i="1"/>
  <c r="P274" i="1"/>
  <c r="Q274" i="1"/>
  <c r="R274" i="1"/>
  <c r="P275" i="1"/>
  <c r="R275" i="1"/>
  <c r="Q275" i="1"/>
  <c r="P276" i="1"/>
  <c r="Q276" i="1"/>
  <c r="R276" i="1"/>
  <c r="Q277" i="1"/>
  <c r="P277" i="1"/>
  <c r="R277" i="1"/>
  <c r="P278" i="1"/>
  <c r="R278" i="1"/>
  <c r="Q278" i="1"/>
  <c r="P279" i="1"/>
  <c r="R279" i="1"/>
  <c r="Q279" i="1"/>
  <c r="P280" i="1"/>
  <c r="R280" i="1"/>
  <c r="Q280" i="1"/>
  <c r="P281" i="1"/>
  <c r="Q281" i="1"/>
  <c r="R281" i="1"/>
  <c r="R282" i="1"/>
  <c r="P282" i="1"/>
  <c r="Q282" i="1"/>
  <c r="Q283" i="1"/>
  <c r="R283" i="1"/>
  <c r="P283" i="1"/>
  <c r="P284" i="1"/>
  <c r="Q284" i="1"/>
  <c r="R284" i="1"/>
  <c r="Q285" i="1"/>
  <c r="P285" i="1"/>
  <c r="R285" i="1"/>
  <c r="P286" i="1"/>
  <c r="Q286" i="1"/>
  <c r="R286" i="1"/>
  <c r="R287" i="1"/>
  <c r="Q287" i="1"/>
  <c r="P287" i="1"/>
  <c r="Q288" i="1"/>
  <c r="R288" i="1"/>
  <c r="P288" i="1"/>
  <c r="P289" i="1"/>
  <c r="Q289" i="1"/>
  <c r="R289" i="1"/>
  <c r="P290" i="1"/>
  <c r="Q290" i="1"/>
  <c r="R290" i="1"/>
  <c r="P291" i="1"/>
  <c r="R291" i="1"/>
  <c r="Q291" i="1"/>
  <c r="R292" i="1"/>
  <c r="P292" i="1"/>
  <c r="Q292" i="1"/>
  <c r="R293" i="1"/>
  <c r="Q293" i="1"/>
  <c r="P293" i="1"/>
  <c r="P294" i="1"/>
  <c r="Q294" i="1"/>
  <c r="R294" i="1"/>
  <c r="R295" i="1"/>
  <c r="P295" i="1"/>
  <c r="Q295" i="1"/>
  <c r="P296" i="1"/>
  <c r="Q296" i="1"/>
  <c r="R296" i="1"/>
  <c r="R297" i="1"/>
  <c r="Q297" i="1"/>
  <c r="P297" i="1"/>
  <c r="R298" i="1"/>
  <c r="P298" i="1"/>
  <c r="Q298" i="1"/>
  <c r="Q299" i="1"/>
  <c r="P299" i="1"/>
  <c r="R299" i="1"/>
  <c r="R300" i="1"/>
  <c r="Q300" i="1"/>
  <c r="P300" i="1"/>
  <c r="Q301" i="1"/>
  <c r="R301" i="1"/>
  <c r="P301" i="1"/>
  <c r="P302" i="1"/>
  <c r="R302" i="1"/>
  <c r="Q302" i="1"/>
  <c r="P303" i="1"/>
  <c r="R303" i="1"/>
  <c r="Q303" i="1"/>
  <c r="P304" i="1"/>
  <c r="R304" i="1"/>
  <c r="Q304" i="1"/>
  <c r="P305" i="1"/>
  <c r="Q305" i="1"/>
  <c r="R305" i="1"/>
  <c r="P306" i="1"/>
  <c r="R306" i="1"/>
  <c r="Q306" i="1"/>
  <c r="P307" i="1"/>
  <c r="Q307" i="1"/>
  <c r="R307" i="1"/>
  <c r="P308" i="1"/>
  <c r="Q308" i="1"/>
  <c r="R308" i="1"/>
  <c r="Q309" i="1"/>
  <c r="P309" i="1"/>
  <c r="R309" i="1"/>
  <c r="P310" i="1"/>
  <c r="Q310" i="1"/>
  <c r="R310" i="1"/>
  <c r="P311" i="1"/>
  <c r="Q311" i="1"/>
  <c r="R311" i="1"/>
  <c r="P312" i="1"/>
  <c r="R312" i="1"/>
  <c r="Q312" i="1"/>
  <c r="R313" i="1"/>
  <c r="Q313" i="1"/>
  <c r="P313" i="1"/>
  <c r="P314" i="1"/>
  <c r="Q314" i="1"/>
  <c r="R314" i="1"/>
  <c r="Q315" i="1"/>
  <c r="P315" i="1"/>
  <c r="R315" i="1"/>
  <c r="P316" i="1"/>
  <c r="Q316" i="1"/>
  <c r="R316" i="1"/>
  <c r="P317" i="1"/>
  <c r="Q317" i="1"/>
  <c r="R317" i="1"/>
  <c r="P318" i="1"/>
  <c r="R318" i="1"/>
  <c r="Q318" i="1"/>
  <c r="P319" i="1"/>
  <c r="Q319" i="1"/>
  <c r="R319" i="1"/>
  <c r="P320" i="1"/>
  <c r="Q320" i="1"/>
  <c r="R320" i="1"/>
  <c r="P321" i="1"/>
  <c r="R321" i="1"/>
  <c r="Q321" i="1"/>
  <c r="P322" i="1"/>
  <c r="Q322" i="1"/>
  <c r="R322" i="1"/>
  <c r="R323" i="1"/>
  <c r="P323" i="1"/>
  <c r="Q323" i="1"/>
  <c r="R324" i="1"/>
  <c r="Q324" i="1"/>
  <c r="P324" i="1"/>
  <c r="R325" i="1"/>
  <c r="Q325" i="1"/>
  <c r="P325" i="1"/>
  <c r="Q326" i="1"/>
  <c r="R326" i="1"/>
  <c r="P326" i="1"/>
  <c r="Q327" i="1"/>
  <c r="R327" i="1"/>
  <c r="P327" i="1"/>
  <c r="R328" i="1"/>
  <c r="Q328" i="1"/>
  <c r="P328" i="1"/>
  <c r="R329" i="1"/>
  <c r="P329" i="1"/>
  <c r="Q329" i="1"/>
  <c r="R330" i="1"/>
  <c r="P330" i="1"/>
  <c r="Q330" i="1"/>
  <c r="Q331" i="1"/>
  <c r="R331" i="1"/>
  <c r="P331" i="1"/>
  <c r="R332" i="1"/>
  <c r="P332" i="1"/>
  <c r="Q332" i="1"/>
  <c r="P333" i="1"/>
  <c r="R333" i="1"/>
  <c r="Q333" i="1"/>
  <c r="Q334" i="1"/>
  <c r="R334" i="1"/>
  <c r="P334" i="1"/>
  <c r="Q335" i="1"/>
  <c r="R335" i="1"/>
  <c r="P335" i="1"/>
  <c r="Q336" i="1"/>
  <c r="R336" i="1"/>
  <c r="P336" i="1"/>
  <c r="R337" i="1"/>
  <c r="P337" i="1"/>
  <c r="Q337" i="1"/>
  <c r="P338" i="1"/>
  <c r="R338" i="1"/>
  <c r="Q338" i="1"/>
  <c r="R339" i="1"/>
  <c r="P339" i="1"/>
  <c r="Q339" i="1"/>
  <c r="R340" i="1"/>
  <c r="P340" i="1"/>
  <c r="Q340" i="1"/>
  <c r="Q341" i="1"/>
  <c r="P341" i="1"/>
  <c r="R341" i="1"/>
  <c r="R342" i="1"/>
  <c r="Q342" i="1"/>
  <c r="P342" i="1"/>
  <c r="R343" i="1"/>
  <c r="Q343" i="1"/>
  <c r="P343" i="1"/>
  <c r="R344" i="1"/>
  <c r="Q344" i="1"/>
  <c r="P344" i="1"/>
  <c r="R345" i="1"/>
  <c r="Q345" i="1"/>
  <c r="P345" i="1"/>
  <c r="Q346" i="1"/>
  <c r="P346" i="1"/>
  <c r="R346" i="1"/>
  <c r="R347" i="1"/>
  <c r="P347" i="1"/>
  <c r="Q347" i="1"/>
  <c r="Q348" i="1"/>
  <c r="R348" i="1"/>
  <c r="P348" i="1"/>
  <c r="P349" i="1"/>
  <c r="Q349" i="1"/>
  <c r="R349" i="1"/>
  <c r="R350" i="1"/>
  <c r="P350" i="1"/>
  <c r="Q350" i="1"/>
  <c r="Q351" i="1"/>
  <c r="R351" i="1"/>
  <c r="P351" i="1"/>
  <c r="Q352" i="1"/>
  <c r="P352" i="1"/>
  <c r="R352" i="1"/>
  <c r="R353" i="1"/>
  <c r="P353" i="1"/>
  <c r="Q353" i="1"/>
  <c r="R354" i="1"/>
  <c r="P354" i="1"/>
  <c r="Q354" i="1"/>
  <c r="R355" i="1"/>
  <c r="P355" i="1"/>
  <c r="Q355" i="1"/>
  <c r="P356" i="1"/>
  <c r="Q356" i="1"/>
  <c r="R356" i="1"/>
  <c r="R357" i="1"/>
  <c r="P357" i="1"/>
  <c r="Q357" i="1"/>
  <c r="P358" i="1"/>
  <c r="R358" i="1"/>
  <c r="Q358" i="1"/>
  <c r="P359" i="1"/>
  <c r="R359" i="1"/>
  <c r="Q359" i="1"/>
  <c r="R360" i="1"/>
  <c r="P360" i="1"/>
  <c r="Q360" i="1"/>
  <c r="R361" i="1"/>
  <c r="P361" i="1"/>
  <c r="Q361" i="1"/>
  <c r="P362" i="1"/>
  <c r="Q362" i="1"/>
  <c r="R362" i="1"/>
  <c r="Q363" i="1"/>
  <c r="P363" i="1"/>
  <c r="R363" i="1"/>
  <c r="Q364" i="1"/>
  <c r="P364" i="1"/>
  <c r="R364" i="1"/>
  <c r="Q365" i="1"/>
  <c r="R365" i="1"/>
  <c r="P365" i="1"/>
  <c r="P366" i="1"/>
  <c r="Q366" i="1"/>
  <c r="R366" i="1"/>
  <c r="P367" i="1"/>
  <c r="R367" i="1"/>
  <c r="Q367" i="1"/>
  <c r="P368" i="1"/>
  <c r="Q368" i="1"/>
  <c r="R368" i="1"/>
  <c r="Q369" i="1"/>
  <c r="P369" i="1"/>
  <c r="R369" i="1"/>
  <c r="P370" i="1"/>
  <c r="Q370" i="1"/>
  <c r="R370" i="1"/>
  <c r="P371" i="1"/>
  <c r="Q371" i="1"/>
  <c r="R371" i="1"/>
  <c r="P372" i="1"/>
  <c r="R372" i="1"/>
  <c r="Q372" i="1"/>
  <c r="P373" i="1"/>
  <c r="Q373" i="1"/>
  <c r="R373" i="1"/>
  <c r="P374" i="1"/>
  <c r="Q374" i="1"/>
  <c r="R374" i="1"/>
  <c r="Q375" i="1"/>
  <c r="P375" i="1"/>
  <c r="R375" i="1"/>
  <c r="Q376" i="1"/>
  <c r="P376" i="1"/>
  <c r="R376" i="1"/>
  <c r="Q377" i="1"/>
  <c r="P377" i="1"/>
  <c r="R377" i="1"/>
  <c r="R378" i="1"/>
  <c r="Q378" i="1"/>
  <c r="P378" i="1"/>
  <c r="Q379" i="1"/>
  <c r="R379" i="1"/>
  <c r="P379" i="1"/>
  <c r="Q380" i="1"/>
  <c r="P380" i="1"/>
  <c r="R380" i="1"/>
  <c r="R381" i="1"/>
  <c r="Q381" i="1"/>
  <c r="P381" i="1"/>
  <c r="R382" i="1"/>
  <c r="P382" i="1"/>
  <c r="Q382" i="1"/>
  <c r="R383" i="1"/>
  <c r="P383" i="1"/>
  <c r="Q383" i="1"/>
  <c r="Q384" i="1"/>
  <c r="P384" i="1"/>
  <c r="R384" i="1"/>
  <c r="P385" i="1"/>
  <c r="R385" i="1"/>
  <c r="Q385" i="1"/>
  <c r="P386" i="1"/>
  <c r="R386" i="1"/>
  <c r="Q386" i="1"/>
  <c r="P387" i="1"/>
  <c r="R387" i="1"/>
  <c r="Q387" i="1"/>
  <c r="R388" i="1"/>
  <c r="P388" i="1"/>
  <c r="Q388" i="1"/>
  <c r="P389" i="1"/>
  <c r="R389" i="1"/>
  <c r="Q389" i="1"/>
  <c r="Q390" i="1"/>
  <c r="P390" i="1"/>
  <c r="R390" i="1"/>
  <c r="Q391" i="1"/>
  <c r="P391" i="1"/>
  <c r="R391" i="1"/>
  <c r="Q392" i="1"/>
  <c r="P392" i="1"/>
  <c r="R392" i="1"/>
  <c r="Q393" i="1"/>
  <c r="R393" i="1"/>
  <c r="P393" i="1"/>
  <c r="Q394" i="1"/>
  <c r="R394" i="1"/>
  <c r="P394" i="1"/>
  <c r="Q395" i="1"/>
  <c r="R395" i="1"/>
  <c r="P395" i="1"/>
  <c r="P396" i="1"/>
  <c r="Q396" i="1"/>
  <c r="R396" i="1"/>
  <c r="P397" i="1"/>
  <c r="R397" i="1"/>
  <c r="Q397" i="1"/>
  <c r="P398" i="1"/>
  <c r="R398" i="1"/>
  <c r="Q398" i="1"/>
  <c r="P399" i="1"/>
  <c r="R399" i="1"/>
  <c r="Q399" i="1"/>
  <c r="P400" i="1"/>
  <c r="R400" i="1"/>
  <c r="Q400" i="1"/>
  <c r="P401" i="1"/>
  <c r="Q401" i="1"/>
  <c r="R401" i="1"/>
  <c r="R402" i="1"/>
  <c r="P402" i="1"/>
  <c r="Q402" i="1"/>
  <c r="Q403" i="1"/>
  <c r="P403" i="1"/>
  <c r="R403" i="1"/>
  <c r="Q404" i="1"/>
  <c r="P404" i="1"/>
  <c r="R404" i="1"/>
  <c r="P405" i="1"/>
  <c r="R405" i="1"/>
  <c r="Q405" i="1"/>
  <c r="R406" i="1"/>
  <c r="Q406" i="1"/>
  <c r="P406" i="1"/>
  <c r="Q407" i="1"/>
  <c r="P407" i="1"/>
  <c r="R407" i="1"/>
  <c r="P408" i="1"/>
  <c r="R408" i="1"/>
  <c r="Q408" i="1"/>
  <c r="Q409" i="1"/>
  <c r="P409" i="1"/>
  <c r="R409" i="1"/>
  <c r="R410" i="1"/>
  <c r="Q410" i="1"/>
  <c r="P410" i="1"/>
  <c r="Q411" i="1"/>
  <c r="R411" i="1"/>
  <c r="P411" i="1"/>
  <c r="Q412" i="1"/>
  <c r="P412" i="1"/>
  <c r="R412" i="1"/>
  <c r="R413" i="1"/>
  <c r="Q413" i="1"/>
  <c r="P413" i="1"/>
  <c r="Q414" i="1"/>
  <c r="P414" i="1"/>
  <c r="R414" i="1"/>
  <c r="P415" i="1"/>
  <c r="Q415" i="1"/>
  <c r="R415" i="1"/>
  <c r="Q416" i="1"/>
  <c r="R416" i="1"/>
  <c r="P416" i="1"/>
  <c r="R417" i="1"/>
  <c r="Q417" i="1"/>
  <c r="P417" i="1"/>
  <c r="R418" i="1"/>
  <c r="Q418" i="1"/>
  <c r="P418" i="1"/>
  <c r="R419" i="1"/>
  <c r="Q419" i="1"/>
  <c r="P419" i="1"/>
  <c r="Q420" i="1"/>
  <c r="R420" i="1"/>
  <c r="P420" i="1"/>
  <c r="P421" i="1"/>
  <c r="Q421" i="1"/>
  <c r="R421" i="1"/>
  <c r="Q422" i="1"/>
  <c r="R422" i="1"/>
  <c r="P422" i="1"/>
  <c r="R423" i="1"/>
  <c r="Q423" i="1"/>
  <c r="P423" i="1"/>
  <c r="P424" i="1"/>
  <c r="R424" i="1"/>
  <c r="Q424" i="1"/>
  <c r="Q425" i="1"/>
  <c r="P425" i="1"/>
  <c r="R425" i="1"/>
  <c r="Q426" i="1"/>
  <c r="R426" i="1"/>
  <c r="P426" i="1"/>
  <c r="Q427" i="1"/>
  <c r="P427" i="1"/>
  <c r="R427" i="1"/>
  <c r="P428" i="1"/>
  <c r="Q428" i="1"/>
  <c r="R428" i="1"/>
  <c r="R429" i="1"/>
  <c r="P429" i="1"/>
  <c r="Q429" i="1"/>
  <c r="Q430" i="1"/>
  <c r="R430" i="1"/>
  <c r="P430" i="1"/>
  <c r="Q431" i="1"/>
  <c r="P431" i="1"/>
  <c r="R431" i="1"/>
  <c r="P432" i="1"/>
  <c r="R432" i="1"/>
  <c r="Q432" i="1"/>
  <c r="R433" i="1"/>
  <c r="P433" i="1"/>
  <c r="Q433" i="1"/>
  <c r="Q434" i="1"/>
  <c r="P434" i="1"/>
  <c r="R434" i="1"/>
  <c r="R435" i="1"/>
  <c r="P435" i="1"/>
  <c r="Q435" i="1"/>
  <c r="Q436" i="1"/>
  <c r="P436" i="1"/>
  <c r="R436" i="1"/>
  <c r="Q437" i="1"/>
  <c r="R437" i="1"/>
  <c r="P437" i="1"/>
  <c r="Q438" i="1"/>
  <c r="P438" i="1"/>
  <c r="R438" i="1"/>
  <c r="R439" i="1"/>
  <c r="P439" i="1"/>
  <c r="Q439" i="1"/>
  <c r="P440" i="1"/>
  <c r="R440" i="1"/>
  <c r="Q440" i="1"/>
  <c r="P441" i="1"/>
  <c r="R441" i="1"/>
  <c r="Q441" i="1"/>
  <c r="P442" i="1"/>
  <c r="R442" i="1"/>
  <c r="Q442" i="1"/>
  <c r="R443" i="1"/>
  <c r="Q443" i="1"/>
  <c r="P443" i="1"/>
  <c r="R444" i="1"/>
  <c r="Q444" i="1"/>
  <c r="P444" i="1"/>
  <c r="P445" i="1"/>
  <c r="Q445" i="1"/>
  <c r="R445" i="1"/>
  <c r="P446" i="1"/>
  <c r="Q446" i="1"/>
  <c r="R446" i="1"/>
  <c r="Q447" i="1"/>
  <c r="R447" i="1"/>
  <c r="P447" i="1"/>
  <c r="P448" i="1"/>
  <c r="R448" i="1"/>
  <c r="Q448" i="1"/>
  <c r="Q449" i="1"/>
  <c r="R449" i="1"/>
  <c r="P449" i="1"/>
  <c r="Q450" i="1"/>
  <c r="P450" i="1"/>
  <c r="R450" i="1"/>
  <c r="R451" i="1"/>
  <c r="Q451" i="1"/>
  <c r="P451" i="1"/>
  <c r="Q452" i="1"/>
  <c r="R452" i="1"/>
  <c r="P452" i="1"/>
  <c r="P453" i="1"/>
  <c r="R453" i="1"/>
  <c r="Q453" i="1"/>
  <c r="Q454" i="1"/>
  <c r="P454" i="1"/>
  <c r="R454" i="1"/>
  <c r="P455" i="1"/>
  <c r="R455" i="1"/>
  <c r="Q455" i="1"/>
  <c r="P456" i="1"/>
  <c r="R456" i="1"/>
  <c r="Q456" i="1"/>
  <c r="P457" i="1"/>
  <c r="Q457" i="1"/>
  <c r="R457" i="1"/>
  <c r="P458" i="1"/>
  <c r="Q458" i="1"/>
  <c r="R458" i="1"/>
  <c r="Q459" i="1"/>
  <c r="R459" i="1"/>
  <c r="P459" i="1"/>
  <c r="R460" i="1"/>
  <c r="P460" i="1"/>
  <c r="Q460" i="1"/>
  <c r="R461" i="1"/>
  <c r="P461" i="1"/>
  <c r="Q461" i="1"/>
  <c r="Q462" i="1"/>
  <c r="P462" i="1"/>
  <c r="R462" i="1"/>
  <c r="Q463" i="1"/>
  <c r="R463" i="1"/>
  <c r="P463" i="1"/>
  <c r="Q464" i="1"/>
  <c r="P464" i="1"/>
  <c r="R464" i="1"/>
  <c r="Q465" i="1"/>
  <c r="R465" i="1"/>
  <c r="P465" i="1"/>
  <c r="R466" i="1"/>
  <c r="P466" i="1"/>
  <c r="Q466" i="1"/>
  <c r="P467" i="1"/>
  <c r="R467" i="1"/>
  <c r="Q467" i="1"/>
  <c r="P468" i="1"/>
  <c r="Q468" i="1"/>
  <c r="R468" i="1"/>
  <c r="P469" i="1"/>
  <c r="Q469" i="1"/>
  <c r="R469" i="1"/>
  <c r="Q470" i="1"/>
  <c r="R470" i="1"/>
  <c r="P470" i="1"/>
  <c r="R471" i="1"/>
  <c r="Q471" i="1"/>
  <c r="P471" i="1"/>
  <c r="Q472" i="1"/>
  <c r="R472" i="1"/>
  <c r="P472" i="1"/>
  <c r="Q473" i="1"/>
  <c r="R473" i="1"/>
  <c r="P473" i="1"/>
  <c r="R474" i="1"/>
  <c r="Q474" i="1"/>
  <c r="P474" i="1"/>
  <c r="Q475" i="1"/>
  <c r="R475" i="1"/>
  <c r="P475" i="1"/>
  <c r="R476" i="1"/>
  <c r="P476" i="1"/>
  <c r="Q476" i="1"/>
  <c r="P477" i="1"/>
  <c r="R477" i="1"/>
  <c r="Q477" i="1"/>
  <c r="P478" i="1"/>
  <c r="Q478" i="1"/>
  <c r="R478" i="1"/>
  <c r="P479" i="1"/>
  <c r="R479" i="1"/>
  <c r="Q479" i="1"/>
  <c r="R480" i="1"/>
  <c r="Q480" i="1"/>
  <c r="P480" i="1"/>
  <c r="Q481" i="1"/>
  <c r="R481" i="1"/>
  <c r="P481" i="1"/>
  <c r="P482" i="1"/>
  <c r="Q482" i="1"/>
  <c r="R482" i="1"/>
  <c r="Q483" i="1"/>
  <c r="P483" i="1"/>
  <c r="R483" i="1"/>
  <c r="R484" i="1"/>
  <c r="P484" i="1"/>
  <c r="Q484" i="1"/>
  <c r="R485" i="1"/>
  <c r="Q485" i="1"/>
  <c r="P485" i="1"/>
  <c r="Q486" i="1"/>
  <c r="P486" i="1"/>
  <c r="R486" i="1"/>
  <c r="P487" i="1"/>
  <c r="R487" i="1"/>
  <c r="Q487" i="1"/>
  <c r="R488" i="1"/>
  <c r="Q488" i="1"/>
  <c r="P488" i="1"/>
  <c r="R489" i="1"/>
  <c r="Q489" i="1"/>
  <c r="P489" i="1"/>
  <c r="R490" i="1"/>
  <c r="Q490" i="1"/>
  <c r="P490" i="1"/>
  <c r="R491" i="1"/>
  <c r="Q491" i="1"/>
  <c r="P491" i="1"/>
  <c r="Q492" i="1"/>
  <c r="P492" i="1"/>
  <c r="R492" i="1"/>
  <c r="Q493" i="1"/>
  <c r="P493" i="1"/>
  <c r="R493" i="1"/>
  <c r="Q494" i="1"/>
  <c r="P494" i="1"/>
  <c r="R494" i="1"/>
  <c r="R495" i="1"/>
  <c r="Q495" i="1"/>
  <c r="P495" i="1"/>
  <c r="Q496" i="1"/>
  <c r="P496" i="1"/>
  <c r="R496" i="1"/>
  <c r="Q497" i="1"/>
  <c r="P497" i="1"/>
  <c r="R497" i="1"/>
  <c r="P498" i="1"/>
  <c r="Q498" i="1"/>
  <c r="R498" i="1"/>
  <c r="R499" i="1"/>
  <c r="Q499" i="1"/>
  <c r="P499" i="1"/>
  <c r="P500" i="1"/>
  <c r="R500" i="1"/>
  <c r="Q500" i="1"/>
  <c r="R501" i="1"/>
  <c r="P501" i="1"/>
  <c r="Q501" i="1"/>
  <c r="P502" i="1"/>
  <c r="R502" i="1"/>
  <c r="Q502" i="1"/>
  <c r="R503" i="1"/>
  <c r="P503" i="1"/>
  <c r="Q503" i="1"/>
  <c r="Q504" i="1"/>
  <c r="R504" i="1"/>
  <c r="P504" i="1"/>
  <c r="Q505" i="1"/>
  <c r="R505" i="1"/>
  <c r="P505" i="1"/>
  <c r="Q506" i="1"/>
  <c r="P506" i="1"/>
  <c r="R506" i="1"/>
  <c r="Q507" i="1"/>
  <c r="P507" i="1"/>
  <c r="R507" i="1"/>
  <c r="Q508" i="1"/>
  <c r="P508" i="1"/>
  <c r="R508" i="1"/>
  <c r="Q509" i="1"/>
  <c r="P509" i="1"/>
  <c r="R509" i="1"/>
  <c r="P510" i="1"/>
  <c r="Q510" i="1"/>
  <c r="R510" i="1"/>
  <c r="P511" i="1"/>
  <c r="R511" i="1"/>
  <c r="Q511" i="1"/>
  <c r="P512" i="1"/>
  <c r="Q512" i="1"/>
  <c r="R512" i="1"/>
  <c r="P513" i="1"/>
  <c r="Q513" i="1"/>
  <c r="R513" i="1"/>
  <c r="Q514" i="1"/>
  <c r="R514" i="1"/>
  <c r="P514" i="1"/>
  <c r="Q515" i="1"/>
  <c r="P515" i="1"/>
  <c r="R515" i="1"/>
  <c r="R516" i="1"/>
  <c r="Q516" i="1"/>
  <c r="P516" i="1"/>
  <c r="R517" i="1"/>
  <c r="P517" i="1"/>
  <c r="Q517" i="1"/>
  <c r="R518" i="1"/>
  <c r="Q518" i="1"/>
  <c r="P518" i="1"/>
  <c r="P519" i="1"/>
  <c r="Q519" i="1"/>
  <c r="R519" i="1"/>
  <c r="P520" i="1"/>
  <c r="Q520" i="1"/>
  <c r="R520" i="1"/>
  <c r="Q521" i="1"/>
  <c r="P521" i="1"/>
  <c r="R521" i="1"/>
  <c r="R522" i="1"/>
  <c r="Q522" i="1"/>
  <c r="P522" i="1"/>
  <c r="P523" i="1"/>
  <c r="R523" i="1"/>
  <c r="Q523" i="1"/>
  <c r="P524" i="1"/>
  <c r="R524" i="1"/>
  <c r="Q524" i="1"/>
  <c r="R525" i="1"/>
  <c r="Q525" i="1"/>
  <c r="P525" i="1"/>
  <c r="R526" i="1"/>
  <c r="Q526" i="1"/>
  <c r="P526" i="1"/>
  <c r="R527" i="1"/>
  <c r="P527" i="1"/>
  <c r="Q527" i="1"/>
  <c r="P528" i="1"/>
  <c r="R528" i="1"/>
  <c r="Q528" i="1"/>
  <c r="P529" i="1"/>
  <c r="R529" i="1"/>
  <c r="Q529" i="1"/>
  <c r="P530" i="1"/>
  <c r="R530" i="1"/>
  <c r="Q530" i="1"/>
  <c r="R531" i="1"/>
  <c r="Q531" i="1"/>
  <c r="P531" i="1"/>
  <c r="R532" i="1"/>
  <c r="Q532" i="1"/>
  <c r="P532" i="1"/>
  <c r="R533" i="1"/>
  <c r="Q533" i="1"/>
  <c r="P533" i="1"/>
  <c r="Q534" i="1"/>
  <c r="R534" i="1"/>
  <c r="P534" i="1"/>
  <c r="Q535" i="1"/>
  <c r="R535" i="1"/>
  <c r="P535" i="1"/>
  <c r="R536" i="1"/>
  <c r="P536" i="1"/>
  <c r="Q536" i="1"/>
  <c r="R537" i="1"/>
  <c r="P537" i="1"/>
  <c r="Q537" i="1"/>
  <c r="P538" i="1"/>
  <c r="Q538" i="1"/>
  <c r="R538" i="1"/>
  <c r="R539" i="1"/>
  <c r="P539" i="1"/>
  <c r="Q539" i="1"/>
  <c r="P540" i="1"/>
  <c r="R540" i="1"/>
  <c r="Q540" i="1"/>
  <c r="R541" i="1"/>
  <c r="P541" i="1"/>
  <c r="Q541" i="1"/>
  <c r="Q542" i="1"/>
  <c r="P542" i="1"/>
  <c r="R542" i="1"/>
  <c r="P543" i="1"/>
  <c r="Q543" i="1"/>
  <c r="R543" i="1"/>
  <c r="P544" i="1"/>
  <c r="R544" i="1"/>
  <c r="Q544" i="1"/>
  <c r="P545" i="1"/>
  <c r="R545" i="1"/>
  <c r="Q545" i="1"/>
  <c r="P546" i="1"/>
  <c r="Q546" i="1"/>
  <c r="R546" i="1"/>
  <c r="P547" i="1"/>
  <c r="R547" i="1"/>
  <c r="Q547" i="1"/>
  <c r="P548" i="1"/>
  <c r="R548" i="1"/>
  <c r="Q548" i="1"/>
  <c r="P549" i="1"/>
  <c r="R549" i="1"/>
  <c r="Q549" i="1"/>
  <c r="R550" i="1"/>
  <c r="Q550" i="1"/>
  <c r="P550" i="1"/>
  <c r="R551" i="1"/>
  <c r="Q551" i="1"/>
  <c r="P551" i="1"/>
  <c r="R552" i="1"/>
  <c r="P552" i="1"/>
  <c r="Q552" i="1"/>
  <c r="R553" i="1"/>
  <c r="Q553" i="1"/>
  <c r="P553" i="1"/>
  <c r="Q554" i="1"/>
  <c r="R554" i="1"/>
  <c r="P554" i="1"/>
  <c r="P555" i="1"/>
  <c r="Q555" i="1"/>
  <c r="R555" i="1"/>
  <c r="P556" i="1"/>
  <c r="R556" i="1"/>
  <c r="Q556" i="1"/>
  <c r="Q557" i="1"/>
  <c r="P557" i="1"/>
  <c r="R557" i="1"/>
  <c r="Q558" i="1"/>
  <c r="R558" i="1"/>
  <c r="P558" i="1"/>
  <c r="Q559" i="1"/>
  <c r="P559" i="1"/>
  <c r="R559" i="1"/>
  <c r="Q560" i="1"/>
  <c r="R560" i="1"/>
  <c r="P560" i="1"/>
  <c r="R561" i="1"/>
  <c r="P561" i="1"/>
  <c r="Q561" i="1"/>
  <c r="P562" i="1"/>
  <c r="Q562" i="1"/>
  <c r="R562" i="1"/>
  <c r="P563" i="1"/>
  <c r="Q563" i="1"/>
  <c r="R563" i="1"/>
  <c r="Q564" i="1"/>
  <c r="P564" i="1"/>
  <c r="R564" i="1"/>
  <c r="R565" i="1"/>
  <c r="P565" i="1"/>
  <c r="Q565" i="1"/>
  <c r="R566" i="1"/>
  <c r="P566" i="1"/>
  <c r="Q566" i="1"/>
  <c r="R567" i="1"/>
  <c r="P567" i="1"/>
  <c r="Q567" i="1"/>
  <c r="Q568" i="1"/>
  <c r="P568" i="1"/>
  <c r="R568" i="1"/>
  <c r="P569" i="1"/>
  <c r="R569" i="1"/>
  <c r="Q569" i="1"/>
  <c r="P570" i="1"/>
  <c r="R570" i="1"/>
  <c r="Q570" i="1"/>
  <c r="R571" i="1"/>
  <c r="P571" i="1"/>
  <c r="Q571" i="1"/>
  <c r="R572" i="1"/>
  <c r="P572" i="1"/>
  <c r="Q572" i="1"/>
  <c r="Q573" i="1"/>
  <c r="P573" i="1"/>
  <c r="R573" i="1"/>
  <c r="Q574" i="1"/>
  <c r="P574" i="1"/>
  <c r="R574" i="1"/>
  <c r="R575" i="1"/>
  <c r="P575" i="1"/>
  <c r="Q575" i="1"/>
  <c r="Q576" i="1"/>
  <c r="P576" i="1"/>
  <c r="R576" i="1"/>
  <c r="Q577" i="1"/>
  <c r="P577" i="1"/>
  <c r="R577" i="1"/>
  <c r="Q578" i="1"/>
  <c r="P578" i="1"/>
  <c r="R578" i="1"/>
  <c r="Q579" i="1"/>
  <c r="P579" i="1"/>
  <c r="R579" i="1"/>
  <c r="Q580" i="1"/>
  <c r="R580" i="1"/>
  <c r="P580" i="1"/>
  <c r="Q581" i="1"/>
  <c r="R581" i="1"/>
  <c r="P581" i="1"/>
  <c r="Q582" i="1"/>
  <c r="R582" i="1"/>
  <c r="P582" i="1"/>
  <c r="P583" i="1"/>
  <c r="Q583" i="1"/>
  <c r="R583" i="1"/>
  <c r="Q584" i="1"/>
  <c r="P584" i="1"/>
  <c r="R584" i="1"/>
  <c r="R585" i="1"/>
  <c r="Q585" i="1"/>
  <c r="P585" i="1"/>
  <c r="Q586" i="1"/>
  <c r="R586" i="1"/>
  <c r="P586" i="1"/>
  <c r="P587" i="1"/>
  <c r="Q587" i="1"/>
  <c r="R587" i="1"/>
  <c r="Q588" i="1"/>
  <c r="R588" i="1"/>
  <c r="P588" i="1"/>
  <c r="Q589" i="1"/>
  <c r="R589" i="1"/>
  <c r="P589" i="1"/>
  <c r="Q590" i="1"/>
  <c r="P590" i="1"/>
  <c r="R590" i="1"/>
  <c r="Q591" i="1"/>
  <c r="P591" i="1"/>
  <c r="R591" i="1"/>
  <c r="P592" i="1"/>
  <c r="R592" i="1"/>
  <c r="Q592" i="1"/>
  <c r="P593" i="1"/>
  <c r="Q593" i="1"/>
  <c r="R593" i="1"/>
  <c r="R594" i="1"/>
  <c r="Q594" i="1"/>
  <c r="P594" i="1"/>
  <c r="P595" i="1"/>
  <c r="Q595" i="1"/>
  <c r="R595" i="1"/>
  <c r="P596" i="1"/>
  <c r="Q596" i="1"/>
  <c r="R596" i="1"/>
  <c r="R597" i="1"/>
  <c r="Q597" i="1"/>
  <c r="P597" i="1"/>
  <c r="R598" i="1"/>
  <c r="Q598" i="1"/>
  <c r="P598" i="1"/>
  <c r="R599" i="1"/>
  <c r="P599" i="1"/>
  <c r="Q599" i="1"/>
  <c r="R600" i="1"/>
  <c r="Q600" i="1"/>
  <c r="P600" i="1"/>
  <c r="R601" i="1"/>
  <c r="P601" i="1"/>
  <c r="Q601" i="1"/>
  <c r="R602" i="1"/>
  <c r="P602" i="1"/>
  <c r="Q602" i="1"/>
  <c r="R603" i="1"/>
  <c r="P603" i="1"/>
  <c r="Q603" i="1"/>
  <c r="R604" i="1"/>
  <c r="P604" i="1"/>
  <c r="Q604" i="1"/>
  <c r="R605" i="1"/>
  <c r="Q605" i="1"/>
  <c r="P605" i="1"/>
  <c r="R606" i="1"/>
  <c r="P606" i="1"/>
  <c r="Q606" i="1"/>
  <c r="R607" i="1"/>
  <c r="P607" i="1"/>
  <c r="Q607" i="1"/>
  <c r="R608" i="1"/>
  <c r="P608" i="1"/>
  <c r="Q608" i="1"/>
  <c r="R609" i="1"/>
  <c r="P609" i="1"/>
  <c r="Q609" i="1"/>
  <c r="R610" i="1"/>
  <c r="Q610" i="1"/>
  <c r="P610" i="1"/>
  <c r="R611" i="1"/>
  <c r="Q611" i="1"/>
  <c r="P611" i="1"/>
  <c r="R612" i="1"/>
  <c r="Q612" i="1"/>
  <c r="P612" i="1"/>
  <c r="R613" i="1"/>
  <c r="Q613" i="1"/>
  <c r="P613" i="1"/>
  <c r="Q614" i="1"/>
  <c r="R614" i="1"/>
  <c r="P614" i="1"/>
  <c r="R615" i="1"/>
  <c r="Q615" i="1"/>
  <c r="P615" i="1"/>
  <c r="R616" i="1"/>
  <c r="Q616" i="1"/>
  <c r="P616" i="1"/>
  <c r="R617" i="1"/>
  <c r="Q617" i="1"/>
  <c r="P617" i="1"/>
  <c r="R618" i="1"/>
  <c r="P618" i="1"/>
  <c r="Q618" i="1"/>
  <c r="P619" i="1"/>
  <c r="Q619" i="1"/>
  <c r="R619" i="1"/>
  <c r="P620" i="1"/>
  <c r="Q620" i="1"/>
  <c r="R620" i="1"/>
  <c r="P621" i="1"/>
  <c r="Q621" i="1"/>
  <c r="R621" i="1"/>
  <c r="P622" i="1"/>
  <c r="R622" i="1"/>
  <c r="Q622" i="1"/>
  <c r="P623" i="1"/>
  <c r="Q623" i="1"/>
  <c r="R623" i="1"/>
  <c r="P624" i="1"/>
  <c r="R624" i="1"/>
  <c r="Q624" i="1"/>
  <c r="P625" i="1"/>
  <c r="Q625" i="1"/>
  <c r="R625" i="1"/>
  <c r="P626" i="1"/>
  <c r="Q626" i="1"/>
  <c r="R626" i="1"/>
  <c r="R627" i="1"/>
  <c r="Q627" i="1"/>
  <c r="P627" i="1"/>
  <c r="Q628" i="1"/>
  <c r="R628" i="1"/>
  <c r="P628" i="1"/>
  <c r="Q629" i="1"/>
  <c r="R629" i="1"/>
  <c r="P629" i="1"/>
  <c r="Q630" i="1"/>
  <c r="R630" i="1"/>
  <c r="P630" i="1"/>
  <c r="Q631" i="1"/>
  <c r="R631" i="1"/>
  <c r="P631" i="1"/>
  <c r="R632" i="1"/>
  <c r="Q632" i="1"/>
  <c r="P632" i="1"/>
  <c r="R633" i="1"/>
  <c r="P633" i="1"/>
  <c r="Q633" i="1"/>
  <c r="P634" i="1"/>
  <c r="Q634" i="1"/>
  <c r="R634" i="1"/>
  <c r="R635" i="1"/>
  <c r="P635" i="1"/>
  <c r="Q635" i="1"/>
  <c r="R636" i="1"/>
  <c r="P636" i="1"/>
  <c r="Q636" i="1"/>
  <c r="R637" i="1"/>
  <c r="Q637" i="1"/>
  <c r="P637" i="1"/>
  <c r="R638" i="1"/>
  <c r="Q638" i="1"/>
  <c r="P638" i="1"/>
  <c r="R639" i="1"/>
  <c r="Q639" i="1"/>
  <c r="P639" i="1"/>
  <c r="R640" i="1"/>
  <c r="Q640" i="1"/>
  <c r="P640" i="1"/>
  <c r="R641" i="1"/>
  <c r="Q641" i="1"/>
  <c r="P641" i="1"/>
  <c r="R642" i="1"/>
  <c r="Q642" i="1"/>
  <c r="P642" i="1"/>
  <c r="R643" i="1"/>
  <c r="Q643" i="1"/>
  <c r="P643" i="1"/>
  <c r="R644" i="1"/>
  <c r="Q644" i="1"/>
  <c r="P644" i="1"/>
  <c r="R645" i="1"/>
  <c r="P645" i="1"/>
  <c r="Q645" i="1"/>
  <c r="R646" i="1"/>
  <c r="Q646" i="1"/>
  <c r="P646" i="1"/>
  <c r="R647" i="1"/>
  <c r="Q647" i="1"/>
  <c r="P647" i="1"/>
  <c r="R648" i="1"/>
  <c r="Q648" i="1"/>
  <c r="P648" i="1"/>
  <c r="R649" i="1"/>
  <c r="Q649" i="1"/>
  <c r="P649" i="1"/>
  <c r="P650" i="1"/>
  <c r="R650" i="1"/>
  <c r="Q650" i="1"/>
  <c r="Q651" i="1"/>
  <c r="P651" i="1"/>
  <c r="R651" i="1"/>
  <c r="Q652" i="1"/>
  <c r="P652" i="1"/>
  <c r="R652" i="1"/>
  <c r="P653" i="1"/>
  <c r="Q653" i="1"/>
  <c r="R653" i="1"/>
  <c r="P654" i="1"/>
  <c r="Q654" i="1"/>
  <c r="R654" i="1"/>
  <c r="Q655" i="1"/>
  <c r="P655" i="1"/>
  <c r="R655" i="1"/>
  <c r="Q656" i="1"/>
  <c r="P656" i="1"/>
  <c r="R656" i="1"/>
  <c r="Q657" i="1"/>
  <c r="P657" i="1"/>
  <c r="R657" i="1"/>
  <c r="R658" i="1"/>
  <c r="Q658" i="1"/>
  <c r="P658" i="1"/>
  <c r="R659" i="1"/>
  <c r="Q659" i="1"/>
  <c r="P659" i="1"/>
  <c r="R660" i="1"/>
  <c r="P660" i="1"/>
  <c r="Q660" i="1"/>
  <c r="R661" i="1"/>
  <c r="P661" i="1"/>
  <c r="Q661" i="1"/>
  <c r="R662" i="1"/>
  <c r="Q662" i="1"/>
  <c r="P662" i="1"/>
  <c r="R663" i="1"/>
  <c r="Q663" i="1"/>
  <c r="P663" i="1"/>
  <c r="R664" i="1"/>
  <c r="P664" i="1"/>
  <c r="Q664" i="1"/>
  <c r="R665" i="1"/>
  <c r="Q665" i="1"/>
  <c r="P665" i="1"/>
  <c r="R666" i="1"/>
  <c r="Q666" i="1"/>
  <c r="P666" i="1"/>
  <c r="R667" i="1"/>
  <c r="P667" i="1"/>
  <c r="Q667" i="1"/>
  <c r="R668" i="1"/>
  <c r="P668" i="1"/>
  <c r="Q668" i="1"/>
  <c r="R669" i="1"/>
  <c r="P669" i="1"/>
  <c r="Q669" i="1"/>
  <c r="R670" i="1"/>
  <c r="Q670" i="1"/>
  <c r="P670" i="1"/>
  <c r="P671" i="1"/>
  <c r="R671" i="1"/>
  <c r="Q671" i="1"/>
  <c r="P672" i="1"/>
  <c r="Q672" i="1"/>
  <c r="R672" i="1"/>
  <c r="P673" i="1"/>
  <c r="Q673" i="1"/>
  <c r="R673" i="1"/>
  <c r="P674" i="1"/>
  <c r="Q674" i="1"/>
  <c r="R674" i="1"/>
  <c r="R675" i="1"/>
  <c r="P675" i="1"/>
  <c r="Q675" i="1"/>
  <c r="Q676" i="1"/>
  <c r="P676" i="1"/>
  <c r="R676" i="1"/>
  <c r="Q677" i="1"/>
  <c r="P677" i="1"/>
  <c r="R677" i="1"/>
  <c r="P678" i="1"/>
  <c r="Q678" i="1"/>
  <c r="R678" i="1"/>
  <c r="Q679" i="1"/>
  <c r="P679" i="1"/>
  <c r="R679" i="1"/>
  <c r="Q680" i="1"/>
  <c r="R680" i="1"/>
  <c r="P680" i="1"/>
  <c r="Q681" i="1"/>
  <c r="P681" i="1"/>
  <c r="R681" i="1"/>
  <c r="Q682" i="1"/>
  <c r="R682" i="1"/>
  <c r="P682" i="1"/>
  <c r="Q683" i="1"/>
  <c r="P683" i="1"/>
  <c r="R683" i="1"/>
  <c r="R684" i="1"/>
  <c r="P684" i="1"/>
  <c r="Q684" i="1"/>
  <c r="R685" i="1"/>
  <c r="Q685" i="1"/>
  <c r="P685" i="1"/>
  <c r="R686" i="1"/>
  <c r="Q686" i="1"/>
  <c r="P686" i="1"/>
  <c r="Q687" i="1"/>
  <c r="R687" i="1"/>
  <c r="P687" i="1"/>
  <c r="Q688" i="1"/>
  <c r="R688" i="1"/>
  <c r="P688" i="1"/>
  <c r="Q689" i="1"/>
  <c r="R689" i="1"/>
  <c r="P689" i="1"/>
  <c r="P690" i="1"/>
  <c r="Q690" i="1"/>
  <c r="R690" i="1"/>
  <c r="P691" i="1"/>
  <c r="R691" i="1"/>
  <c r="Q691" i="1"/>
  <c r="Q692" i="1"/>
  <c r="R692" i="1"/>
  <c r="P692" i="1"/>
  <c r="P693" i="1"/>
  <c r="Q693" i="1"/>
  <c r="R693" i="1"/>
  <c r="R694" i="1"/>
  <c r="P694" i="1"/>
  <c r="Q694" i="1"/>
  <c r="R695" i="1"/>
  <c r="Q695" i="1"/>
  <c r="P695" i="1"/>
  <c r="R696" i="1"/>
  <c r="P696" i="1"/>
  <c r="Q696" i="1"/>
  <c r="R697" i="1"/>
  <c r="P697" i="1"/>
  <c r="Q697" i="1"/>
  <c r="R698" i="1"/>
  <c r="P698" i="1"/>
  <c r="Q698" i="1"/>
  <c r="R699" i="1"/>
  <c r="Q699" i="1"/>
  <c r="P699" i="1"/>
  <c r="R700" i="1"/>
  <c r="P700" i="1"/>
  <c r="Q700" i="1"/>
  <c r="R701" i="1"/>
  <c r="Q701" i="1"/>
  <c r="P701" i="1"/>
  <c r="R702" i="1"/>
  <c r="P702" i="1"/>
  <c r="Q702" i="1"/>
  <c r="R703" i="1"/>
  <c r="P703" i="1"/>
  <c r="Q703" i="1"/>
  <c r="P704" i="1"/>
  <c r="R704" i="1"/>
  <c r="Q704" i="1"/>
  <c r="R705" i="1"/>
  <c r="Q705" i="1"/>
  <c r="P705" i="1"/>
  <c r="R706" i="1"/>
  <c r="P706" i="1"/>
  <c r="Q706" i="1"/>
  <c r="R707" i="1"/>
  <c r="P707" i="1"/>
  <c r="Q707" i="1"/>
  <c r="R708" i="1"/>
  <c r="P708" i="1"/>
  <c r="Q708" i="1"/>
  <c r="R709" i="1"/>
  <c r="P709" i="1"/>
  <c r="Q709" i="1"/>
  <c r="R710" i="1"/>
  <c r="Q710" i="1"/>
  <c r="P710" i="1"/>
  <c r="R711" i="1"/>
  <c r="P711" i="1"/>
  <c r="Q711" i="1"/>
  <c r="R712" i="1"/>
  <c r="Q712" i="1"/>
  <c r="P712" i="1"/>
  <c r="Q713" i="1"/>
  <c r="R713" i="1"/>
  <c r="P713" i="1"/>
  <c r="Q714" i="1"/>
  <c r="R714" i="1"/>
  <c r="P714" i="1"/>
  <c r="Q715" i="1"/>
  <c r="R715" i="1"/>
  <c r="P715" i="1"/>
  <c r="Q716" i="1"/>
  <c r="R716" i="1"/>
  <c r="P716" i="1"/>
  <c r="P717" i="1"/>
  <c r="Q717" i="1"/>
  <c r="R717" i="1"/>
  <c r="R718" i="1"/>
  <c r="P718" i="1"/>
  <c r="Q718" i="1"/>
  <c r="P719" i="1"/>
  <c r="R719" i="1"/>
  <c r="Q719" i="1"/>
  <c r="P720" i="1"/>
  <c r="R720" i="1"/>
  <c r="Q720" i="1"/>
  <c r="P721" i="1"/>
  <c r="Q721" i="1"/>
  <c r="R721" i="1"/>
  <c r="R722" i="1"/>
  <c r="P722" i="1"/>
  <c r="Q722" i="1"/>
  <c r="P723" i="1"/>
  <c r="Q723" i="1"/>
  <c r="R723" i="1"/>
  <c r="Q724" i="1"/>
  <c r="P724" i="1"/>
  <c r="R724" i="1"/>
  <c r="R725" i="1"/>
  <c r="P725" i="1"/>
  <c r="Q725" i="1"/>
  <c r="R726" i="1"/>
  <c r="P726" i="1"/>
  <c r="Q726" i="1"/>
  <c r="R727" i="1"/>
  <c r="P727" i="1"/>
  <c r="Q727" i="1"/>
  <c r="R728" i="1"/>
  <c r="P728" i="1"/>
  <c r="Q728" i="1"/>
  <c r="R729" i="1"/>
  <c r="P729" i="1"/>
  <c r="Q729" i="1"/>
  <c r="Q730" i="1"/>
  <c r="R730" i="1"/>
  <c r="P730" i="1"/>
  <c r="Q731" i="1"/>
  <c r="R731" i="1"/>
  <c r="P731" i="1"/>
  <c r="Q732" i="1"/>
  <c r="R732" i="1"/>
  <c r="P732" i="1"/>
  <c r="R733" i="1"/>
  <c r="Q733" i="1"/>
  <c r="P733" i="1"/>
  <c r="R734" i="1"/>
  <c r="Q734" i="1"/>
  <c r="P734" i="1"/>
  <c r="R735" i="1"/>
  <c r="Q735" i="1"/>
  <c r="P735" i="1"/>
  <c r="Q736" i="1"/>
  <c r="R736" i="1"/>
  <c r="P736" i="1"/>
  <c r="Q737" i="1"/>
  <c r="P737" i="1"/>
  <c r="R737" i="1"/>
  <c r="R738" i="1"/>
  <c r="Q738" i="1"/>
  <c r="P738" i="1"/>
  <c r="R739" i="1"/>
  <c r="P739" i="1"/>
  <c r="Q739" i="1"/>
  <c r="R740" i="1"/>
  <c r="P740" i="1"/>
  <c r="Q740" i="1"/>
  <c r="R741" i="1"/>
  <c r="P741" i="1"/>
  <c r="Q741" i="1"/>
  <c r="R742" i="1"/>
  <c r="P742" i="1"/>
  <c r="Q742" i="1"/>
  <c r="R743" i="1"/>
  <c r="P743" i="1"/>
  <c r="Q743" i="1"/>
  <c r="R744" i="1"/>
  <c r="P744" i="1"/>
  <c r="Q744" i="1"/>
  <c r="R745" i="1"/>
  <c r="P745" i="1"/>
  <c r="Q745" i="1"/>
  <c r="R746" i="1"/>
  <c r="P746" i="1"/>
  <c r="Q746" i="1"/>
  <c r="R747" i="1"/>
  <c r="P747" i="1"/>
  <c r="Q747" i="1"/>
  <c r="R748" i="1"/>
  <c r="P748" i="1"/>
  <c r="Q748" i="1"/>
  <c r="Q749" i="1"/>
  <c r="R749" i="1"/>
  <c r="P749" i="1"/>
  <c r="P750" i="1"/>
  <c r="R750" i="1"/>
  <c r="Q750" i="1"/>
  <c r="R751" i="1"/>
  <c r="P751" i="1"/>
  <c r="Q751" i="1"/>
  <c r="R752" i="1"/>
  <c r="Q752" i="1"/>
  <c r="P752" i="1"/>
  <c r="Q753" i="1"/>
  <c r="P753" i="1"/>
  <c r="R753" i="1"/>
  <c r="P754" i="1"/>
  <c r="Q754" i="1"/>
  <c r="R754" i="1"/>
  <c r="Q755" i="1"/>
  <c r="P755" i="1"/>
  <c r="R755" i="1"/>
  <c r="Q756" i="1"/>
  <c r="P756" i="1"/>
  <c r="R756" i="1"/>
  <c r="R757" i="1"/>
  <c r="Q757" i="1"/>
  <c r="P757" i="1"/>
  <c r="Q758" i="1"/>
  <c r="P758" i="1"/>
  <c r="R758" i="1"/>
  <c r="P759" i="1"/>
  <c r="Q759" i="1"/>
  <c r="R759" i="1"/>
  <c r="Q760" i="1"/>
  <c r="P760" i="1"/>
  <c r="R760" i="1"/>
  <c r="Q761" i="1"/>
  <c r="P761" i="1"/>
  <c r="R761" i="1"/>
  <c r="P762" i="1"/>
  <c r="R762" i="1"/>
  <c r="Q762" i="1"/>
  <c r="Q763" i="1"/>
  <c r="R763" i="1"/>
  <c r="P763" i="1"/>
  <c r="Q764" i="1"/>
  <c r="P764" i="1"/>
  <c r="R764" i="1"/>
  <c r="Q765" i="1"/>
  <c r="R765" i="1"/>
  <c r="P765" i="1"/>
  <c r="Q766" i="1"/>
  <c r="R766" i="1"/>
  <c r="P766" i="1"/>
  <c r="Q767" i="1"/>
  <c r="R767" i="1"/>
  <c r="P767" i="1"/>
  <c r="Q768" i="1"/>
  <c r="R768" i="1"/>
  <c r="P768" i="1"/>
  <c r="Q769" i="1"/>
  <c r="R769" i="1"/>
  <c r="P769" i="1"/>
  <c r="P770" i="1"/>
  <c r="Q770" i="1"/>
  <c r="R770" i="1"/>
  <c r="P771" i="1"/>
  <c r="R771" i="1"/>
  <c r="Q771" i="1"/>
  <c r="P772" i="1"/>
  <c r="R772" i="1"/>
  <c r="Q772" i="1"/>
  <c r="Q773" i="1"/>
  <c r="R773" i="1"/>
  <c r="P773" i="1"/>
  <c r="R774" i="1"/>
  <c r="P774" i="1"/>
  <c r="Q774" i="1"/>
  <c r="P775" i="1"/>
  <c r="R775" i="1"/>
  <c r="Q775" i="1"/>
  <c r="R776" i="1"/>
  <c r="P776" i="1"/>
  <c r="Q776" i="1"/>
  <c r="R777" i="1"/>
  <c r="P777" i="1"/>
  <c r="Q777" i="1"/>
  <c r="R778" i="1"/>
  <c r="P778" i="1"/>
  <c r="Q778" i="1"/>
  <c r="P779" i="1"/>
  <c r="R779" i="1"/>
  <c r="Q779" i="1"/>
  <c r="P780" i="1"/>
  <c r="Q780" i="1"/>
  <c r="R780" i="1"/>
  <c r="P781" i="1"/>
  <c r="Q781" i="1"/>
  <c r="R781" i="1"/>
  <c r="P782" i="1"/>
  <c r="Q782" i="1"/>
  <c r="R782" i="1"/>
  <c r="R783" i="1"/>
  <c r="P783" i="1"/>
  <c r="Q783" i="1"/>
  <c r="R784" i="1"/>
  <c r="P784" i="1"/>
  <c r="Q784" i="1"/>
  <c r="P785" i="1"/>
  <c r="Q785" i="1"/>
  <c r="R785" i="1"/>
  <c r="P786" i="1"/>
  <c r="Q786" i="1"/>
  <c r="R786" i="1"/>
  <c r="R787" i="1"/>
  <c r="Q787" i="1"/>
  <c r="P787" i="1"/>
  <c r="R788" i="1"/>
  <c r="Q788" i="1"/>
  <c r="P788" i="1"/>
  <c r="P789" i="1"/>
  <c r="R789" i="1"/>
  <c r="Q789" i="1"/>
  <c r="P790" i="1"/>
  <c r="Q790" i="1"/>
  <c r="R790" i="1"/>
  <c r="P791" i="1"/>
  <c r="Q791" i="1"/>
  <c r="R791" i="1"/>
  <c r="Q792" i="1"/>
  <c r="R792" i="1"/>
  <c r="P792" i="1"/>
  <c r="Q793" i="1"/>
  <c r="R793" i="1"/>
  <c r="P793" i="1"/>
  <c r="Q794" i="1"/>
  <c r="P794" i="1"/>
  <c r="R794" i="1"/>
  <c r="R795" i="1"/>
  <c r="Q795" i="1"/>
  <c r="P795" i="1"/>
  <c r="P796" i="1"/>
  <c r="R796" i="1"/>
  <c r="Q796" i="1"/>
  <c r="R797" i="1"/>
  <c r="P797" i="1"/>
  <c r="Q797" i="1"/>
  <c r="R798" i="1"/>
  <c r="Q798" i="1"/>
  <c r="P798" i="1"/>
  <c r="R799" i="1"/>
  <c r="P799" i="1"/>
  <c r="Q799" i="1"/>
  <c r="Q800" i="1"/>
  <c r="R800" i="1"/>
  <c r="P800" i="1"/>
  <c r="Q801" i="1"/>
  <c r="P801" i="1"/>
  <c r="R801" i="1"/>
  <c r="Q802" i="1"/>
  <c r="R802" i="1"/>
  <c r="P802" i="1"/>
  <c r="Q803" i="1"/>
  <c r="P803" i="1"/>
  <c r="R803" i="1"/>
  <c r="R804" i="1"/>
  <c r="P804" i="1"/>
  <c r="Q804" i="1"/>
  <c r="R805" i="1"/>
  <c r="Q805" i="1"/>
  <c r="P805" i="1"/>
  <c r="R806" i="1"/>
  <c r="Q806" i="1"/>
  <c r="P806" i="1"/>
  <c r="R807" i="1"/>
  <c r="P807" i="1"/>
  <c r="Q807" i="1"/>
  <c r="R808" i="1"/>
  <c r="P808" i="1"/>
  <c r="Q808" i="1"/>
  <c r="P809" i="1"/>
  <c r="Q809" i="1"/>
  <c r="R809" i="1"/>
  <c r="P810" i="1"/>
  <c r="R810" i="1"/>
  <c r="Q810" i="1"/>
  <c r="P811" i="1"/>
  <c r="Q811" i="1"/>
  <c r="R811" i="1"/>
  <c r="R812" i="1"/>
  <c r="Q812" i="1"/>
  <c r="P812" i="1"/>
  <c r="R813" i="1"/>
  <c r="P813" i="1"/>
  <c r="Q813" i="1"/>
  <c r="P814" i="1"/>
  <c r="Q814" i="1"/>
  <c r="R814" i="1"/>
  <c r="Q815" i="1"/>
  <c r="P815" i="1"/>
  <c r="R815" i="1"/>
  <c r="P816" i="1"/>
  <c r="R816" i="1"/>
  <c r="Q816" i="1"/>
  <c r="R817" i="1"/>
  <c r="Q817" i="1"/>
  <c r="P817" i="1"/>
  <c r="P818" i="1"/>
  <c r="Q818" i="1"/>
  <c r="R818" i="1"/>
  <c r="P819" i="1"/>
  <c r="Q819" i="1"/>
  <c r="R819" i="1"/>
  <c r="Q820" i="1"/>
  <c r="P820" i="1"/>
  <c r="R820" i="1"/>
  <c r="P821" i="1"/>
  <c r="R821" i="1"/>
  <c r="Q821" i="1"/>
  <c r="Q822" i="1"/>
  <c r="P822" i="1"/>
  <c r="R822" i="1"/>
  <c r="Q823" i="1"/>
  <c r="P823" i="1"/>
  <c r="R823" i="1"/>
  <c r="Q824" i="1"/>
  <c r="P824" i="1"/>
  <c r="R824" i="1"/>
  <c r="R825" i="1"/>
  <c r="P825" i="1"/>
  <c r="Q825" i="1"/>
  <c r="R826" i="1"/>
  <c r="Q826" i="1"/>
  <c r="P826" i="1"/>
  <c r="P827" i="1"/>
  <c r="Q827" i="1"/>
  <c r="R827" i="1"/>
  <c r="P828" i="1"/>
  <c r="Q828" i="1"/>
  <c r="R828" i="1"/>
  <c r="P829" i="1"/>
  <c r="R829" i="1"/>
  <c r="Q829" i="1"/>
  <c r="P830" i="1"/>
  <c r="R830" i="1"/>
  <c r="Q830" i="1"/>
  <c r="P831" i="1"/>
  <c r="R831" i="1"/>
  <c r="Q831" i="1"/>
  <c r="R832" i="1"/>
  <c r="P832" i="1"/>
  <c r="Q832" i="1"/>
  <c r="P833" i="1"/>
  <c r="Q833" i="1"/>
  <c r="R833" i="1"/>
  <c r="P834" i="1"/>
  <c r="Q834" i="1"/>
  <c r="R834" i="1"/>
  <c r="R835" i="1"/>
  <c r="P835" i="1"/>
  <c r="Q835" i="1"/>
  <c r="Q836" i="1"/>
  <c r="P836" i="1"/>
  <c r="R836" i="1"/>
  <c r="Q837" i="1"/>
  <c r="P837" i="1"/>
  <c r="R837" i="1"/>
  <c r="R838" i="1"/>
  <c r="P838" i="1"/>
  <c r="Q838" i="1"/>
  <c r="Q839" i="1"/>
  <c r="R839" i="1"/>
  <c r="P839" i="1"/>
  <c r="Q840" i="1"/>
  <c r="R840" i="1"/>
  <c r="P840" i="1"/>
  <c r="P841" i="1"/>
  <c r="Q841" i="1"/>
  <c r="R841" i="1"/>
  <c r="Q842" i="1"/>
  <c r="R842" i="1"/>
  <c r="P842" i="1"/>
  <c r="Q843" i="1"/>
  <c r="R843" i="1"/>
  <c r="P843" i="1"/>
  <c r="R844" i="1"/>
  <c r="Q844" i="1"/>
  <c r="P844" i="1"/>
  <c r="R845" i="1"/>
  <c r="Q845" i="1"/>
  <c r="P845" i="1"/>
  <c r="Q846" i="1"/>
  <c r="P846" i="1"/>
  <c r="R846" i="1"/>
  <c r="P847" i="1"/>
  <c r="Q847" i="1"/>
  <c r="R847" i="1"/>
  <c r="P848" i="1"/>
  <c r="Q848" i="1"/>
  <c r="R848" i="1"/>
  <c r="R849" i="1"/>
  <c r="P849" i="1"/>
  <c r="Q849" i="1"/>
  <c r="Q850" i="1"/>
  <c r="R850" i="1"/>
  <c r="P850" i="1"/>
  <c r="Q851" i="1"/>
  <c r="R851" i="1"/>
  <c r="P851" i="1"/>
  <c r="P852" i="1"/>
  <c r="Q852" i="1"/>
  <c r="R852" i="1"/>
  <c r="Q853" i="1"/>
  <c r="P853" i="1"/>
  <c r="R853" i="1"/>
  <c r="Q854" i="1"/>
  <c r="P854" i="1"/>
  <c r="R854" i="1"/>
  <c r="R855" i="1"/>
  <c r="Q855" i="1"/>
  <c r="P855" i="1"/>
  <c r="P856" i="1"/>
  <c r="Q856" i="1"/>
  <c r="R856" i="1"/>
  <c r="P857" i="1"/>
  <c r="Q857" i="1"/>
  <c r="R857" i="1"/>
  <c r="P858" i="1"/>
  <c r="Q858" i="1"/>
  <c r="R858" i="1"/>
  <c r="P859" i="1"/>
  <c r="Q859" i="1"/>
  <c r="R859" i="1"/>
  <c r="P860" i="1"/>
  <c r="Q860" i="1"/>
  <c r="R860" i="1"/>
  <c r="Q861" i="1"/>
  <c r="R861" i="1"/>
  <c r="P861" i="1"/>
  <c r="Q862" i="1"/>
  <c r="R862" i="1"/>
  <c r="P862" i="1"/>
  <c r="R863" i="1"/>
  <c r="Q863" i="1"/>
  <c r="P863" i="1"/>
  <c r="R864" i="1"/>
  <c r="Q864" i="1"/>
  <c r="P864" i="1"/>
  <c r="R865" i="1"/>
  <c r="Q865" i="1"/>
  <c r="P865" i="1"/>
  <c r="R866" i="1"/>
  <c r="Q866" i="1"/>
  <c r="P866" i="1"/>
  <c r="R867" i="1"/>
  <c r="P867" i="1"/>
  <c r="Q867" i="1"/>
  <c r="R868" i="1"/>
  <c r="P868" i="1"/>
  <c r="Q868" i="1"/>
  <c r="R869" i="1"/>
  <c r="P869" i="1"/>
  <c r="Q869" i="1"/>
  <c r="R870" i="1"/>
  <c r="Q870" i="1"/>
  <c r="P870" i="1"/>
  <c r="P871" i="1"/>
  <c r="R871" i="1"/>
  <c r="Q871" i="1"/>
  <c r="R872" i="1"/>
  <c r="P872" i="1"/>
  <c r="Q872" i="1"/>
  <c r="P873" i="1"/>
  <c r="Q873" i="1"/>
  <c r="R873" i="1"/>
  <c r="R874" i="1"/>
  <c r="Q874" i="1"/>
  <c r="P874" i="1"/>
  <c r="Q875" i="1"/>
  <c r="R875" i="1"/>
  <c r="P875" i="1"/>
  <c r="P876" i="1"/>
  <c r="Q876" i="1"/>
  <c r="R876" i="1"/>
  <c r="P877" i="1"/>
  <c r="Q877" i="1"/>
  <c r="R877" i="1"/>
  <c r="P878" i="1"/>
  <c r="Q878" i="1"/>
  <c r="R878" i="1"/>
  <c r="P879" i="1"/>
  <c r="Q879" i="1"/>
  <c r="R879" i="1"/>
  <c r="P880" i="1"/>
  <c r="Q880" i="1"/>
  <c r="R880" i="1"/>
  <c r="P881" i="1"/>
  <c r="R881" i="1"/>
  <c r="Q881" i="1"/>
  <c r="P882" i="1"/>
  <c r="R882" i="1"/>
  <c r="Q882" i="1"/>
  <c r="Q883" i="1"/>
  <c r="R883" i="1"/>
  <c r="P883" i="1"/>
  <c r="Q884" i="1"/>
  <c r="R884" i="1"/>
  <c r="P884" i="1"/>
  <c r="R885" i="1"/>
  <c r="P885" i="1"/>
  <c r="Q885" i="1"/>
  <c r="Q886" i="1"/>
  <c r="R886" i="1"/>
  <c r="P886" i="1"/>
  <c r="Q887" i="1"/>
  <c r="R887" i="1"/>
  <c r="P887" i="1"/>
  <c r="R888" i="1"/>
  <c r="Q888" i="1"/>
  <c r="P888" i="1"/>
  <c r="Q889" i="1"/>
  <c r="P889" i="1"/>
  <c r="R889" i="1"/>
  <c r="Q890" i="1"/>
  <c r="P890" i="1"/>
  <c r="R890" i="1"/>
  <c r="Q891" i="1"/>
  <c r="R891" i="1"/>
  <c r="P891" i="1"/>
  <c r="R892" i="1"/>
  <c r="Q892" i="1"/>
  <c r="P892" i="1"/>
  <c r="R893" i="1"/>
  <c r="Q893" i="1"/>
  <c r="P893" i="1"/>
  <c r="R894" i="1"/>
  <c r="Q894" i="1"/>
  <c r="P894" i="1"/>
  <c r="R895" i="1"/>
  <c r="Q895" i="1"/>
  <c r="P895" i="1"/>
  <c r="R896" i="1"/>
  <c r="P896" i="1"/>
  <c r="Q896" i="1"/>
  <c r="R897" i="1"/>
  <c r="P897" i="1"/>
  <c r="Q897" i="1"/>
  <c r="R898" i="1"/>
  <c r="P898" i="1"/>
  <c r="Q898" i="1"/>
  <c r="R899" i="1"/>
  <c r="P899" i="1"/>
  <c r="Q899" i="1"/>
  <c r="R900" i="1"/>
  <c r="Q900" i="1"/>
  <c r="P900" i="1"/>
  <c r="R901" i="1"/>
  <c r="P901" i="1"/>
  <c r="Q901" i="1"/>
  <c r="R902" i="1"/>
  <c r="P902" i="1"/>
  <c r="Q902" i="1"/>
  <c r="R903" i="1"/>
  <c r="Q903" i="1"/>
  <c r="P903" i="1"/>
  <c r="R904" i="1"/>
  <c r="Q904" i="1"/>
  <c r="P904" i="1"/>
  <c r="R905" i="1"/>
  <c r="Q905" i="1"/>
  <c r="P905" i="1"/>
  <c r="R906" i="1"/>
  <c r="P906" i="1"/>
  <c r="Q906" i="1"/>
  <c r="P907" i="1"/>
  <c r="R907" i="1"/>
  <c r="Q907" i="1"/>
  <c r="P908" i="1"/>
  <c r="Q908" i="1"/>
  <c r="R908" i="1"/>
  <c r="R909" i="1"/>
  <c r="P909" i="1"/>
  <c r="Q909" i="1"/>
  <c r="P910" i="1"/>
  <c r="R910" i="1"/>
  <c r="Q910" i="1"/>
  <c r="P911" i="1"/>
  <c r="R911" i="1"/>
  <c r="Q911" i="1"/>
  <c r="P912" i="1"/>
  <c r="R912" i="1"/>
  <c r="Q912" i="1"/>
  <c r="R913" i="1"/>
  <c r="P913" i="1"/>
  <c r="Q913" i="1"/>
  <c r="P914" i="1"/>
  <c r="Q914" i="1"/>
  <c r="R914" i="1"/>
  <c r="P915" i="1"/>
  <c r="R915" i="1"/>
  <c r="Q915" i="1"/>
  <c r="Q916" i="1"/>
  <c r="R916" i="1"/>
  <c r="P916" i="1"/>
  <c r="R917" i="1"/>
  <c r="Q917" i="1"/>
  <c r="P917" i="1"/>
  <c r="R918" i="1"/>
  <c r="P918" i="1"/>
  <c r="Q918" i="1"/>
  <c r="Q919" i="1"/>
  <c r="P919" i="1"/>
  <c r="R919" i="1"/>
  <c r="P920" i="1"/>
  <c r="R920" i="1"/>
  <c r="Q920" i="1"/>
  <c r="P921" i="1"/>
  <c r="R921" i="1"/>
  <c r="Q921" i="1"/>
  <c r="Q922" i="1"/>
  <c r="P922" i="1"/>
  <c r="R922" i="1"/>
  <c r="Q923" i="1"/>
  <c r="R923" i="1"/>
  <c r="P923" i="1"/>
  <c r="Q924" i="1"/>
  <c r="R924" i="1"/>
  <c r="P924" i="1"/>
  <c r="R925" i="1"/>
  <c r="Q925" i="1"/>
  <c r="P925" i="1"/>
  <c r="P926" i="1"/>
  <c r="Q926" i="1"/>
  <c r="R926" i="1"/>
  <c r="P927" i="1"/>
  <c r="Q927" i="1"/>
  <c r="R927" i="1"/>
  <c r="P928" i="1"/>
  <c r="Q928" i="1"/>
  <c r="R928" i="1"/>
  <c r="P929" i="1"/>
  <c r="Q929" i="1"/>
  <c r="R929" i="1"/>
  <c r="P930" i="1"/>
  <c r="Q930" i="1"/>
  <c r="R930" i="1"/>
  <c r="P931" i="1"/>
  <c r="Q931" i="1"/>
  <c r="R931" i="1"/>
  <c r="P932" i="1"/>
  <c r="Q932" i="1"/>
  <c r="R932" i="1"/>
  <c r="R933" i="1"/>
  <c r="P933" i="1"/>
  <c r="Q933" i="1"/>
  <c r="R934" i="1"/>
  <c r="Q934" i="1"/>
  <c r="P934" i="1"/>
  <c r="R935" i="1"/>
  <c r="Q935" i="1"/>
  <c r="P935" i="1"/>
  <c r="P936" i="1"/>
  <c r="R936" i="1"/>
  <c r="Q936" i="1"/>
  <c r="Q937" i="1"/>
  <c r="R937" i="1"/>
  <c r="P937" i="1"/>
  <c r="R938" i="1"/>
  <c r="P938" i="1"/>
  <c r="Q938" i="1"/>
  <c r="R939" i="1"/>
  <c r="P939" i="1"/>
  <c r="Q939" i="1"/>
  <c r="P940" i="1"/>
  <c r="R940" i="1"/>
  <c r="Q940" i="1"/>
  <c r="R941" i="1"/>
  <c r="Q941" i="1"/>
  <c r="P941" i="1"/>
  <c r="Q942" i="1"/>
  <c r="R942" i="1"/>
  <c r="P942" i="1"/>
  <c r="Q943" i="1"/>
  <c r="P943" i="1"/>
  <c r="R943" i="1"/>
  <c r="Q944" i="1"/>
  <c r="P944" i="1"/>
  <c r="R944" i="1"/>
  <c r="P945" i="1"/>
  <c r="R945" i="1"/>
  <c r="Q945" i="1"/>
  <c r="Q946" i="1"/>
  <c r="R946" i="1"/>
  <c r="P946" i="1"/>
  <c r="Q947" i="1"/>
  <c r="R947" i="1"/>
  <c r="P947" i="1"/>
  <c r="Q948" i="1"/>
  <c r="P948" i="1"/>
  <c r="R948" i="1"/>
  <c r="Q949" i="1"/>
  <c r="R949" i="1"/>
  <c r="P949" i="1"/>
  <c r="Q950" i="1"/>
  <c r="R950" i="1"/>
  <c r="P950" i="1"/>
  <c r="Q951" i="1"/>
  <c r="R951" i="1"/>
  <c r="P951" i="1"/>
  <c r="Q952" i="1"/>
  <c r="P952" i="1"/>
  <c r="R952" i="1"/>
  <c r="P953" i="1"/>
  <c r="Q953" i="1"/>
  <c r="R953" i="1"/>
  <c r="P954" i="1"/>
  <c r="Q954" i="1"/>
  <c r="R954" i="1"/>
  <c r="Q955" i="1"/>
  <c r="P955" i="1"/>
  <c r="R955" i="1"/>
  <c r="Q956" i="1"/>
  <c r="P956" i="1"/>
  <c r="R956" i="1"/>
  <c r="Q957" i="1"/>
  <c r="P957" i="1"/>
  <c r="R957" i="1"/>
  <c r="P958" i="1"/>
  <c r="Q958" i="1"/>
  <c r="R958" i="1"/>
  <c r="Q959" i="1"/>
  <c r="P959" i="1"/>
  <c r="R959" i="1"/>
  <c r="P960" i="1"/>
  <c r="Q960" i="1"/>
  <c r="R960" i="1"/>
  <c r="R961" i="1"/>
  <c r="Q961" i="1"/>
  <c r="P961" i="1"/>
  <c r="P962" i="1"/>
  <c r="R962" i="1"/>
  <c r="Q962" i="1"/>
  <c r="P963" i="1"/>
  <c r="R963" i="1"/>
  <c r="Q963" i="1"/>
  <c r="P964" i="1"/>
  <c r="R964" i="1"/>
  <c r="Q964" i="1"/>
  <c r="P965" i="1"/>
  <c r="R965" i="1"/>
  <c r="Q965" i="1"/>
  <c r="P966" i="1"/>
  <c r="R966" i="1"/>
  <c r="Q966" i="1"/>
  <c r="P967" i="1"/>
  <c r="R967" i="1"/>
  <c r="Q967" i="1"/>
  <c r="R968" i="1"/>
  <c r="Q968" i="1"/>
  <c r="P968" i="1"/>
  <c r="R969" i="1"/>
  <c r="Q969" i="1"/>
  <c r="P969" i="1"/>
  <c r="R970" i="1"/>
  <c r="Q970" i="1"/>
  <c r="P970" i="1"/>
  <c r="R971" i="1"/>
  <c r="Q971" i="1"/>
  <c r="P971" i="1"/>
  <c r="Q972" i="1"/>
  <c r="R972" i="1"/>
  <c r="P972" i="1"/>
  <c r="R973" i="1"/>
  <c r="Q973" i="1"/>
  <c r="P973" i="1"/>
  <c r="R974" i="1"/>
  <c r="Q974" i="1"/>
  <c r="P974" i="1"/>
  <c r="R975" i="1"/>
  <c r="Q975" i="1"/>
  <c r="P975" i="1"/>
  <c r="R976" i="1"/>
  <c r="Q976" i="1"/>
  <c r="P976" i="1"/>
  <c r="R977" i="1"/>
  <c r="Q977" i="1"/>
  <c r="P977" i="1"/>
  <c r="R978" i="1"/>
  <c r="Q978" i="1"/>
  <c r="P978" i="1"/>
  <c r="R979" i="1"/>
  <c r="Q979" i="1"/>
  <c r="P979" i="1"/>
  <c r="R980" i="1"/>
  <c r="Q980" i="1"/>
  <c r="P980" i="1"/>
  <c r="Q981" i="1"/>
  <c r="P981" i="1"/>
  <c r="R981" i="1"/>
  <c r="Q982" i="1"/>
  <c r="R982" i="1"/>
  <c r="P982" i="1"/>
  <c r="R983" i="1"/>
  <c r="P983" i="1"/>
  <c r="Q983" i="1"/>
  <c r="Q984" i="1"/>
  <c r="R984" i="1"/>
  <c r="P984" i="1"/>
  <c r="P985" i="1"/>
  <c r="Q985" i="1"/>
  <c r="R985" i="1"/>
  <c r="R986" i="1"/>
  <c r="P986" i="1"/>
  <c r="Q986" i="1"/>
  <c r="P987" i="1"/>
  <c r="R987" i="1"/>
  <c r="Q987" i="1"/>
  <c r="P988" i="1"/>
  <c r="R988" i="1"/>
  <c r="Q988" i="1"/>
  <c r="P989" i="1"/>
  <c r="Q989" i="1"/>
  <c r="R989" i="1"/>
  <c r="P990" i="1"/>
  <c r="Q990" i="1"/>
  <c r="R990" i="1"/>
  <c r="P991" i="1"/>
  <c r="Q991" i="1"/>
  <c r="R991" i="1"/>
  <c r="P992" i="1"/>
  <c r="Q992" i="1"/>
  <c r="R992" i="1"/>
  <c r="P993" i="1"/>
  <c r="Q993" i="1"/>
  <c r="R993" i="1"/>
  <c r="P994" i="1"/>
  <c r="Q994" i="1"/>
  <c r="R994" i="1"/>
  <c r="P995" i="1"/>
  <c r="R995" i="1"/>
  <c r="Q995" i="1"/>
  <c r="Q996" i="1"/>
  <c r="R996" i="1"/>
  <c r="P996" i="1"/>
  <c r="R997" i="1"/>
  <c r="Q997" i="1"/>
  <c r="P997" i="1"/>
  <c r="R998" i="1"/>
  <c r="P998" i="1"/>
  <c r="Q998" i="1"/>
  <c r="Q999" i="1"/>
  <c r="R999" i="1"/>
  <c r="P999" i="1"/>
  <c r="Q1000" i="1"/>
  <c r="R1000" i="1"/>
  <c r="P1000" i="1"/>
  <c r="Q1001" i="1"/>
  <c r="R1001" i="1"/>
  <c r="P1001" i="1"/>
  <c r="Q2" i="1"/>
  <c r="R2" i="1"/>
  <c r="P2" i="1"/>
</calcChain>
</file>

<file path=xl/sharedStrings.xml><?xml version="1.0" encoding="utf-8"?>
<sst xmlns="http://schemas.openxmlformats.org/spreadsheetml/2006/main" count="10100" uniqueCount="1864">
  <si>
    <t>Order ID</t>
  </si>
  <si>
    <t>Order Date</t>
  </si>
  <si>
    <t>Customer Name</t>
  </si>
  <si>
    <t>Region</t>
  </si>
  <si>
    <t>State</t>
  </si>
  <si>
    <t>Category</t>
  </si>
  <si>
    <t>Sub Category</t>
  </si>
  <si>
    <t>Product Name</t>
  </si>
  <si>
    <t>Sales</t>
  </si>
  <si>
    <t>Quantity</t>
  </si>
  <si>
    <t>Discount</t>
  </si>
  <si>
    <t>Profit</t>
  </si>
  <si>
    <t>Sales Person</t>
  </si>
  <si>
    <t>Segment</t>
  </si>
  <si>
    <t>ORD100002</t>
  </si>
  <si>
    <t>2025-01-31</t>
  </si>
  <si>
    <t>Customer 87</t>
  </si>
  <si>
    <t>South</t>
  </si>
  <si>
    <t>Karnataka</t>
  </si>
  <si>
    <t>Office Supplies</t>
  </si>
  <si>
    <t>Binders</t>
  </si>
  <si>
    <t>Document Case</t>
  </si>
  <si>
    <t>Amit</t>
  </si>
  <si>
    <t>Home Office</t>
  </si>
  <si>
    <t>ORD100003</t>
  </si>
  <si>
    <t>2025-02-08</t>
  </si>
  <si>
    <t>Customer 64</t>
  </si>
  <si>
    <t>West</t>
  </si>
  <si>
    <t>Gujarat</t>
  </si>
  <si>
    <t>Writing</t>
  </si>
  <si>
    <t>Highlighter</t>
  </si>
  <si>
    <t>Vikram</t>
  </si>
  <si>
    <t>Consumer</t>
  </si>
  <si>
    <t>ORD100004</t>
  </si>
  <si>
    <t>2025-10-31</t>
  </si>
  <si>
    <t>Customer 49</t>
  </si>
  <si>
    <t>Paper</t>
  </si>
  <si>
    <t>Notebook</t>
  </si>
  <si>
    <t>Priya</t>
  </si>
  <si>
    <t>Small Business</t>
  </si>
  <si>
    <t>ORD100005</t>
  </si>
  <si>
    <t>2025-03-26</t>
  </si>
  <si>
    <t>Customer 75</t>
  </si>
  <si>
    <t>Rajasthan</t>
  </si>
  <si>
    <t>Pooja</t>
  </si>
  <si>
    <t>ORD100006</t>
  </si>
  <si>
    <t>2025-02-10</t>
  </si>
  <si>
    <t>Customer 191</t>
  </si>
  <si>
    <t>North</t>
  </si>
  <si>
    <t>Punjab</t>
  </si>
  <si>
    <t>Pen Pack</t>
  </si>
  <si>
    <t>ORD100007</t>
  </si>
  <si>
    <t>2024-12-03</t>
  </si>
  <si>
    <t>Customer 166</t>
  </si>
  <si>
    <t>Tamil Nadu</t>
  </si>
  <si>
    <t>Furniture</t>
  </si>
  <si>
    <t>Chairs</t>
  </si>
  <si>
    <t>Gaming Chair</t>
  </si>
  <si>
    <t>ORD100008</t>
  </si>
  <si>
    <t>2024-10-15</t>
  </si>
  <si>
    <t>Customer 167</t>
  </si>
  <si>
    <t>Maharashtra</t>
  </si>
  <si>
    <t>Visitor Chair</t>
  </si>
  <si>
    <t>Karan</t>
  </si>
  <si>
    <t>ORD100009</t>
  </si>
  <si>
    <t>2025-09-03</t>
  </si>
  <si>
    <t>Customer 94</t>
  </si>
  <si>
    <t>Technology</t>
  </si>
  <si>
    <t>Computers</t>
  </si>
  <si>
    <t>Laptop</t>
  </si>
  <si>
    <t>ORD100010</t>
  </si>
  <si>
    <t>2024-10-02</t>
  </si>
  <si>
    <t>Customer 39</t>
  </si>
  <si>
    <t>Uttarakhand</t>
  </si>
  <si>
    <t>Storage</t>
  </si>
  <si>
    <t>Cabinet</t>
  </si>
  <si>
    <t>Corporate</t>
  </si>
  <si>
    <t>ORD100011</t>
  </si>
  <si>
    <t>2024-07-11</t>
  </si>
  <si>
    <t>Customer 196</t>
  </si>
  <si>
    <t>Telangana</t>
  </si>
  <si>
    <t>ORD100012</t>
  </si>
  <si>
    <t>2024-03-17</t>
  </si>
  <si>
    <t>Customer 26</t>
  </si>
  <si>
    <t>Haryana</t>
  </si>
  <si>
    <t>Phones</t>
  </si>
  <si>
    <t>Smartphone</t>
  </si>
  <si>
    <t>Rahul</t>
  </si>
  <si>
    <t>ORD100013</t>
  </si>
  <si>
    <t>2024-05-16</t>
  </si>
  <si>
    <t>Customer 100</t>
  </si>
  <si>
    <t>ORD100014</t>
  </si>
  <si>
    <t>2025-05-20</t>
  </si>
  <si>
    <t>Customer 16</t>
  </si>
  <si>
    <t>ORD100015</t>
  </si>
  <si>
    <t>2025-03-23</t>
  </si>
  <si>
    <t>Customer 8</t>
  </si>
  <si>
    <t>Kerala</t>
  </si>
  <si>
    <t>Tables</t>
  </si>
  <si>
    <t>Coffee Table</t>
  </si>
  <si>
    <t>ORD100016</t>
  </si>
  <si>
    <t>2025-03-31</t>
  </si>
  <si>
    <t>Customer 109</t>
  </si>
  <si>
    <t>Desktop</t>
  </si>
  <si>
    <t>ORD100017</t>
  </si>
  <si>
    <t>2025-03-27</t>
  </si>
  <si>
    <t>Customer 44</t>
  </si>
  <si>
    <t>Rohit</t>
  </si>
  <si>
    <t>ORD100018</t>
  </si>
  <si>
    <t>2025-05-08</t>
  </si>
  <si>
    <t>Delhi</t>
  </si>
  <si>
    <t>A4 Paper</t>
  </si>
  <si>
    <t>ORD100019</t>
  </si>
  <si>
    <t>2024-01-26</t>
  </si>
  <si>
    <t>Customer 106</t>
  </si>
  <si>
    <t>Accessories</t>
  </si>
  <si>
    <t>Keyboard</t>
  </si>
  <si>
    <t>Anjali</t>
  </si>
  <si>
    <t>ORD100020</t>
  </si>
  <si>
    <t>2025-12-31</t>
  </si>
  <si>
    <t>Customer 190</t>
  </si>
  <si>
    <t>ORD100021</t>
  </si>
  <si>
    <t>2025-07-16</t>
  </si>
  <si>
    <t>Customer 153</t>
  </si>
  <si>
    <t>Goa</t>
  </si>
  <si>
    <t>Headset</t>
  </si>
  <si>
    <t>ORD100022</t>
  </si>
  <si>
    <t>2024-12-20</t>
  </si>
  <si>
    <t>Customer 61</t>
  </si>
  <si>
    <t>Office Chair</t>
  </si>
  <si>
    <t>ORD100023</t>
  </si>
  <si>
    <t>2024-01-14</t>
  </si>
  <si>
    <t>Customer 115</t>
  </si>
  <si>
    <t>Drawer Unit</t>
  </si>
  <si>
    <t>ORD100024</t>
  </si>
  <si>
    <t>2025-07-24</t>
  </si>
  <si>
    <t>Customer 76</t>
  </si>
  <si>
    <t>East</t>
  </si>
  <si>
    <t>Odisha</t>
  </si>
  <si>
    <t>ORD100025</t>
  </si>
  <si>
    <t>2024-05-18</t>
  </si>
  <si>
    <t>Customer 160</t>
  </si>
  <si>
    <t>West Bengal</t>
  </si>
  <si>
    <t>Neha</t>
  </si>
  <si>
    <t>ORD100026</t>
  </si>
  <si>
    <t>2024-12-22</t>
  </si>
  <si>
    <t>Customer 23</t>
  </si>
  <si>
    <t>ORD100027</t>
  </si>
  <si>
    <t>2025-09-02</t>
  </si>
  <si>
    <t>Customer 15</t>
  </si>
  <si>
    <t>Study Table</t>
  </si>
  <si>
    <t>ORD100028</t>
  </si>
  <si>
    <t>2024-07-30</t>
  </si>
  <si>
    <t>Customer 164</t>
  </si>
  <si>
    <t>Conference Table</t>
  </si>
  <si>
    <t>ORD100029</t>
  </si>
  <si>
    <t>2024-01-04</t>
  </si>
  <si>
    <t>Customer 38</t>
  </si>
  <si>
    <t>ORD100030</t>
  </si>
  <si>
    <t>Customer 59</t>
  </si>
  <si>
    <t>Bihar</t>
  </si>
  <si>
    <t>ORD100031</t>
  </si>
  <si>
    <t>2025-01-19</t>
  </si>
  <si>
    <t>Customer 54</t>
  </si>
  <si>
    <t>ORD100032</t>
  </si>
  <si>
    <t>2025-01-06</t>
  </si>
  <si>
    <t>Customer 159</t>
  </si>
  <si>
    <t>ORD100033</t>
  </si>
  <si>
    <t>2025-04-22</t>
  </si>
  <si>
    <t>Customer 120</t>
  </si>
  <si>
    <t>ORD100034</t>
  </si>
  <si>
    <t>2024-07-10</t>
  </si>
  <si>
    <t>Customer 132</t>
  </si>
  <si>
    <t>ORD100035</t>
  </si>
  <si>
    <t>2024-06-21</t>
  </si>
  <si>
    <t>Customer 161</t>
  </si>
  <si>
    <t>ORD100036</t>
  </si>
  <si>
    <t>2025-03-14</t>
  </si>
  <si>
    <t>Mouse</t>
  </si>
  <si>
    <t>ORD100037</t>
  </si>
  <si>
    <t>2024-07-03</t>
  </si>
  <si>
    <t>ORD100038</t>
  </si>
  <si>
    <t>2024-12-15</t>
  </si>
  <si>
    <t>Customer 72</t>
  </si>
  <si>
    <t>ORD100039</t>
  </si>
  <si>
    <t>2025-09-27</t>
  </si>
  <si>
    <t>Customer 154</t>
  </si>
  <si>
    <t>ORD100040</t>
  </si>
  <si>
    <t>2025-06-28</t>
  </si>
  <si>
    <t>Customer 30</t>
  </si>
  <si>
    <t>ORD100041</t>
  </si>
  <si>
    <t>2025-09-17</t>
  </si>
  <si>
    <t>Customer 194</t>
  </si>
  <si>
    <t>ORD100042</t>
  </si>
  <si>
    <t>Customer 199</t>
  </si>
  <si>
    <t>Sneha</t>
  </si>
  <si>
    <t>ORD100043</t>
  </si>
  <si>
    <t>2025-12-12</t>
  </si>
  <si>
    <t>Customer 142</t>
  </si>
  <si>
    <t>Marker Set</t>
  </si>
  <si>
    <t>ORD100044</t>
  </si>
  <si>
    <t>2024-10-03</t>
  </si>
  <si>
    <t>Customer 93</t>
  </si>
  <si>
    <t>ORD100045</t>
  </si>
  <si>
    <t>2025-11-18</t>
  </si>
  <si>
    <t>Customer 103</t>
  </si>
  <si>
    <t>ORD100046</t>
  </si>
  <si>
    <t>2024-06-25</t>
  </si>
  <si>
    <t>Customer 111</t>
  </si>
  <si>
    <t>ORD100047</t>
  </si>
  <si>
    <t>2024-03-04</t>
  </si>
  <si>
    <t>Customer 137</t>
  </si>
  <si>
    <t>Webcam</t>
  </si>
  <si>
    <t>ORD100048</t>
  </si>
  <si>
    <t>2025-11-26</t>
  </si>
  <si>
    <t>Customer 151</t>
  </si>
  <si>
    <t>ORD100049</t>
  </si>
  <si>
    <t>2025-08-17</t>
  </si>
  <si>
    <t>Customer 17</t>
  </si>
  <si>
    <t>ORD100050</t>
  </si>
  <si>
    <t>2024-11-19</t>
  </si>
  <si>
    <t>Customer 133</t>
  </si>
  <si>
    <t>Sticky Notes</t>
  </si>
  <si>
    <t>ORD100051</t>
  </si>
  <si>
    <t>2025-05-14</t>
  </si>
  <si>
    <t>Customer 104</t>
  </si>
  <si>
    <t>ORD100052</t>
  </si>
  <si>
    <t>2025-11-02</t>
  </si>
  <si>
    <t>Customer 98</t>
  </si>
  <si>
    <t>ORD100053</t>
  </si>
  <si>
    <t>2025-03-28</t>
  </si>
  <si>
    <t>ORD100054</t>
  </si>
  <si>
    <t>2024-09-05</t>
  </si>
  <si>
    <t>ORD100055</t>
  </si>
  <si>
    <t>2025-03-02</t>
  </si>
  <si>
    <t>Customer 186</t>
  </si>
  <si>
    <t>ORD100056</t>
  </si>
  <si>
    <t>2025-04-14</t>
  </si>
  <si>
    <t>Customer 144</t>
  </si>
  <si>
    <t>Ring Binder</t>
  </si>
  <si>
    <t>ORD100057</t>
  </si>
  <si>
    <t>2025-07-21</t>
  </si>
  <si>
    <t>Assam</t>
  </si>
  <si>
    <t>ORD100058</t>
  </si>
  <si>
    <t>2025-03-25</t>
  </si>
  <si>
    <t>ORD100059</t>
  </si>
  <si>
    <t>2025-08-21</t>
  </si>
  <si>
    <t>ORD100060</t>
  </si>
  <si>
    <t>2025-05-29</t>
  </si>
  <si>
    <t>Customer 27</t>
  </si>
  <si>
    <t>ORD100061</t>
  </si>
  <si>
    <t>2024-04-06</t>
  </si>
  <si>
    <t>Customer 43</t>
  </si>
  <si>
    <t>Desk Phone</t>
  </si>
  <si>
    <t>ORD100062</t>
  </si>
  <si>
    <t>2024-04-29</t>
  </si>
  <si>
    <t>Customer 92</t>
  </si>
  <si>
    <t>ORD100063</t>
  </si>
  <si>
    <t>2024-09-11</t>
  </si>
  <si>
    <t>Customer 42</t>
  </si>
  <si>
    <t>ORD100064</t>
  </si>
  <si>
    <t>2024-02-15</t>
  </si>
  <si>
    <t>Customer 10</t>
  </si>
  <si>
    <t>ORD100065</t>
  </si>
  <si>
    <t>2025-02-06</t>
  </si>
  <si>
    <t>Customer 176</t>
  </si>
  <si>
    <t>ORD100066</t>
  </si>
  <si>
    <t>2024-10-04</t>
  </si>
  <si>
    <t>Customer 125</t>
  </si>
  <si>
    <t>ORD100067</t>
  </si>
  <si>
    <t>2025-02-18</t>
  </si>
  <si>
    <t>Customer 47</t>
  </si>
  <si>
    <t>Bookshelf</t>
  </si>
  <si>
    <t>ORD100068</t>
  </si>
  <si>
    <t>2024-11-09</t>
  </si>
  <si>
    <t>Customer 183</t>
  </si>
  <si>
    <t>ORD100069</t>
  </si>
  <si>
    <t>2025-12-30</t>
  </si>
  <si>
    <t>Customer 28</t>
  </si>
  <si>
    <t>ORD100070</t>
  </si>
  <si>
    <t>2024-05-25</t>
  </si>
  <si>
    <t>Customer 24</t>
  </si>
  <si>
    <t>ORD100071</t>
  </si>
  <si>
    <t>2025-08-08</t>
  </si>
  <si>
    <t>ORD100072</t>
  </si>
  <si>
    <t>2025-09-12</t>
  </si>
  <si>
    <t>Customer 121</t>
  </si>
  <si>
    <t>ORD100073</t>
  </si>
  <si>
    <t>2024-11-18</t>
  </si>
  <si>
    <t>Customer 123</t>
  </si>
  <si>
    <t>ORD100074</t>
  </si>
  <si>
    <t>2024-12-19</t>
  </si>
  <si>
    <t>Customer 3</t>
  </si>
  <si>
    <t>ORD100075</t>
  </si>
  <si>
    <t>Customer 41</t>
  </si>
  <si>
    <t>ORD100076</t>
  </si>
  <si>
    <t>2025-01-03</t>
  </si>
  <si>
    <t>Customer 21</t>
  </si>
  <si>
    <t>ORD100077</t>
  </si>
  <si>
    <t>2024-04-27</t>
  </si>
  <si>
    <t>ORD100078</t>
  </si>
  <si>
    <t>2025-06-18</t>
  </si>
  <si>
    <t>Customer 200</t>
  </si>
  <si>
    <t>ORD100079</t>
  </si>
  <si>
    <t>2024-01-11</t>
  </si>
  <si>
    <t>Customer 185</t>
  </si>
  <si>
    <t>ORD100080</t>
  </si>
  <si>
    <t>2025-04-30</t>
  </si>
  <si>
    <t>Customer 139</t>
  </si>
  <si>
    <t>ORD100081</t>
  </si>
  <si>
    <t>2025-09-07</t>
  </si>
  <si>
    <t>Customer 105</t>
  </si>
  <si>
    <t>ORD100082</t>
  </si>
  <si>
    <t>2025-04-21</t>
  </si>
  <si>
    <t>ORD100083</t>
  </si>
  <si>
    <t>2024-09-16</t>
  </si>
  <si>
    <t>Customer 138</t>
  </si>
  <si>
    <t>ORD100084</t>
  </si>
  <si>
    <t>2025-10-01</t>
  </si>
  <si>
    <t>Customer 143</t>
  </si>
  <si>
    <t>ORD100085</t>
  </si>
  <si>
    <t>2024-08-08</t>
  </si>
  <si>
    <t>ORD100086</t>
  </si>
  <si>
    <t>2025-11-15</t>
  </si>
  <si>
    <t>Customer 14</t>
  </si>
  <si>
    <t>ORD100087</t>
  </si>
  <si>
    <t>2024-05-15</t>
  </si>
  <si>
    <t>Customer 53</t>
  </si>
  <si>
    <t>ORD100088</t>
  </si>
  <si>
    <t>2024-12-31</t>
  </si>
  <si>
    <t>ORD100089</t>
  </si>
  <si>
    <t>2025-06-20</t>
  </si>
  <si>
    <t>Customer 52</t>
  </si>
  <si>
    <t>ORD100090</t>
  </si>
  <si>
    <t>2025-02-27</t>
  </si>
  <si>
    <t>Customer 131</t>
  </si>
  <si>
    <t>ORD100091</t>
  </si>
  <si>
    <t>2025-12-14</t>
  </si>
  <si>
    <t>ORD100092</t>
  </si>
  <si>
    <t>2025-09-04</t>
  </si>
  <si>
    <t>Customer 11</t>
  </si>
  <si>
    <t>ORD100093</t>
  </si>
  <si>
    <t>2025-08-16</t>
  </si>
  <si>
    <t>Customer 95</t>
  </si>
  <si>
    <t>ORD100094</t>
  </si>
  <si>
    <t>2024-12-30</t>
  </si>
  <si>
    <t>Customer 48</t>
  </si>
  <si>
    <t>File Folder</t>
  </si>
  <si>
    <t>ORD100095</t>
  </si>
  <si>
    <t>2024-12-16</t>
  </si>
  <si>
    <t>Customer 108</t>
  </si>
  <si>
    <t>ORD100096</t>
  </si>
  <si>
    <t>2025-12-15</t>
  </si>
  <si>
    <t>ORD100097</t>
  </si>
  <si>
    <t>2024-06-03</t>
  </si>
  <si>
    <t>Customer 69</t>
  </si>
  <si>
    <t>ORD100098</t>
  </si>
  <si>
    <t>2025-11-03</t>
  </si>
  <si>
    <t>Customer 124</t>
  </si>
  <si>
    <t>ORD100099</t>
  </si>
  <si>
    <t>2025-07-05</t>
  </si>
  <si>
    <t>ORD100100</t>
  </si>
  <si>
    <t>2025-02-15</t>
  </si>
  <si>
    <t>ORD100101</t>
  </si>
  <si>
    <t>2024-02-12</t>
  </si>
  <si>
    <t>ORD100102</t>
  </si>
  <si>
    <t>2024-09-21</t>
  </si>
  <si>
    <t>Customer 12</t>
  </si>
  <si>
    <t>ORD100103</t>
  </si>
  <si>
    <t>2025-06-30</t>
  </si>
  <si>
    <t>Customer 86</t>
  </si>
  <si>
    <t>ORD100104</t>
  </si>
  <si>
    <t>2024-07-28</t>
  </si>
  <si>
    <t>ORD100105</t>
  </si>
  <si>
    <t>2025-03-07</t>
  </si>
  <si>
    <t>Customer 78</t>
  </si>
  <si>
    <t>ORD100106</t>
  </si>
  <si>
    <t>2024-04-23</t>
  </si>
  <si>
    <t>Customer 67</t>
  </si>
  <si>
    <t>ORD100107</t>
  </si>
  <si>
    <t>2025-11-12</t>
  </si>
  <si>
    <t>Customer 122</t>
  </si>
  <si>
    <t>Mini PC</t>
  </si>
  <si>
    <t>ORD100108</t>
  </si>
  <si>
    <t>2025-06-02</t>
  </si>
  <si>
    <t>ORD100109</t>
  </si>
  <si>
    <t>Customer 89</t>
  </si>
  <si>
    <t>ORD100110</t>
  </si>
  <si>
    <t>2025-01-04</t>
  </si>
  <si>
    <t>ORD100111</t>
  </si>
  <si>
    <t>2024-01-21</t>
  </si>
  <si>
    <t>ORD100112</t>
  </si>
  <si>
    <t>2025-10-02</t>
  </si>
  <si>
    <t>ORD100113</t>
  </si>
  <si>
    <t>2024-09-02</t>
  </si>
  <si>
    <t>Customer 179</t>
  </si>
  <si>
    <t>ORD100114</t>
  </si>
  <si>
    <t>2025-07-28</t>
  </si>
  <si>
    <t>ORD100115</t>
  </si>
  <si>
    <t>2024-07-04</t>
  </si>
  <si>
    <t>ORD100116</t>
  </si>
  <si>
    <t>2024-10-26</t>
  </si>
  <si>
    <t>Customer 156</t>
  </si>
  <si>
    <t>ORD100117</t>
  </si>
  <si>
    <t>ORD100118</t>
  </si>
  <si>
    <t>2025-12-24</t>
  </si>
  <si>
    <t>ORD100119</t>
  </si>
  <si>
    <t>2024-03-21</t>
  </si>
  <si>
    <t>Customer 127</t>
  </si>
  <si>
    <t>ORD100120</t>
  </si>
  <si>
    <t>2024-05-24</t>
  </si>
  <si>
    <t>Customer 29</t>
  </si>
  <si>
    <t>ORD100121</t>
  </si>
  <si>
    <t>2025-01-14</t>
  </si>
  <si>
    <t>ORD100122</t>
  </si>
  <si>
    <t>2024-12-10</t>
  </si>
  <si>
    <t>ORD100123</t>
  </si>
  <si>
    <t>2024-03-01</t>
  </si>
  <si>
    <t>Customer 117</t>
  </si>
  <si>
    <t>ORD100124</t>
  </si>
  <si>
    <t>2024-07-26</t>
  </si>
  <si>
    <t>Customer 178</t>
  </si>
  <si>
    <t>ORD100125</t>
  </si>
  <si>
    <t>2024-10-07</t>
  </si>
  <si>
    <t>ORD100126</t>
  </si>
  <si>
    <t>2024-04-11</t>
  </si>
  <si>
    <t>ORD100127</t>
  </si>
  <si>
    <t>2024-09-07</t>
  </si>
  <si>
    <t>ORD100128</t>
  </si>
  <si>
    <t>2024-08-22</t>
  </si>
  <si>
    <t>ORD100129</t>
  </si>
  <si>
    <t>2025-04-05</t>
  </si>
  <si>
    <t>ORD100130</t>
  </si>
  <si>
    <t>2024-06-28</t>
  </si>
  <si>
    <t>Customer 46</t>
  </si>
  <si>
    <t>ORD100131</t>
  </si>
  <si>
    <t>2024-11-15</t>
  </si>
  <si>
    <t>ORD100132</t>
  </si>
  <si>
    <t>2025-05-06</t>
  </si>
  <si>
    <t>Customer 73</t>
  </si>
  <si>
    <t>ORD100133</t>
  </si>
  <si>
    <t>2025-07-17</t>
  </si>
  <si>
    <t>Customer 79</t>
  </si>
  <si>
    <t>ORD100134</t>
  </si>
  <si>
    <t>2025-12-06</t>
  </si>
  <si>
    <t>ORD100135</t>
  </si>
  <si>
    <t>2024-03-08</t>
  </si>
  <si>
    <t>ORD100136</t>
  </si>
  <si>
    <t>2025-01-24</t>
  </si>
  <si>
    <t>ORD100137</t>
  </si>
  <si>
    <t>Customer 50</t>
  </si>
  <si>
    <t>ORD100138</t>
  </si>
  <si>
    <t>Customer 101</t>
  </si>
  <si>
    <t>ORD100139</t>
  </si>
  <si>
    <t>2025-06-21</t>
  </si>
  <si>
    <t>Customer 188</t>
  </si>
  <si>
    <t>ORD100140</t>
  </si>
  <si>
    <t>2025-04-26</t>
  </si>
  <si>
    <t>ORD100141</t>
  </si>
  <si>
    <t>2025-10-19</t>
  </si>
  <si>
    <t>Customer 77</t>
  </si>
  <si>
    <t>ORD100142</t>
  </si>
  <si>
    <t>2024-12-26</t>
  </si>
  <si>
    <t>ORD100143</t>
  </si>
  <si>
    <t>Customer 4</t>
  </si>
  <si>
    <t>ORD100144</t>
  </si>
  <si>
    <t>ORD100145</t>
  </si>
  <si>
    <t>2024-12-25</t>
  </si>
  <si>
    <t>Customer 189</t>
  </si>
  <si>
    <t>ORD100146</t>
  </si>
  <si>
    <t>2024-07-23</t>
  </si>
  <si>
    <t>ORD100147</t>
  </si>
  <si>
    <t>2025-08-07</t>
  </si>
  <si>
    <t>Customer 85</t>
  </si>
  <si>
    <t>ORD100148</t>
  </si>
  <si>
    <t>2024-02-07</t>
  </si>
  <si>
    <t>ORD100149</t>
  </si>
  <si>
    <t>2024-12-29</t>
  </si>
  <si>
    <t>ORD100150</t>
  </si>
  <si>
    <t>2024-02-03</t>
  </si>
  <si>
    <t>Customer 163</t>
  </si>
  <si>
    <t>ORD100151</t>
  </si>
  <si>
    <t>2024-08-07</t>
  </si>
  <si>
    <t>ORD100152</t>
  </si>
  <si>
    <t>2024-03-03</t>
  </si>
  <si>
    <t>ORD100153</t>
  </si>
  <si>
    <t>2025-09-20</t>
  </si>
  <si>
    <t>ORD100154</t>
  </si>
  <si>
    <t>2025-06-16</t>
  </si>
  <si>
    <t>ORD100155</t>
  </si>
  <si>
    <t>ORD100156</t>
  </si>
  <si>
    <t>Customer 90</t>
  </si>
  <si>
    <t>ORD100157</t>
  </si>
  <si>
    <t>2025-05-19</t>
  </si>
  <si>
    <t>ORD100158</t>
  </si>
  <si>
    <t>2024-11-29</t>
  </si>
  <si>
    <t>ORD100159</t>
  </si>
  <si>
    <t>2025-12-17</t>
  </si>
  <si>
    <t>Customer 193</t>
  </si>
  <si>
    <t>ORD100160</t>
  </si>
  <si>
    <t>2024-04-13</t>
  </si>
  <si>
    <t>Customer 55</t>
  </si>
  <si>
    <t>ORD100161</t>
  </si>
  <si>
    <t>2025-01-07</t>
  </si>
  <si>
    <t>Customer 96</t>
  </si>
  <si>
    <t>ORD100162</t>
  </si>
  <si>
    <t>2024-03-05</t>
  </si>
  <si>
    <t>ORD100163</t>
  </si>
  <si>
    <t>2025-01-08</t>
  </si>
  <si>
    <t>ORD100164</t>
  </si>
  <si>
    <t>2025-06-22</t>
  </si>
  <si>
    <t>ORD100165</t>
  </si>
  <si>
    <t>2024-01-02</t>
  </si>
  <si>
    <t>ORD100166</t>
  </si>
  <si>
    <t>2024-07-08</t>
  </si>
  <si>
    <t>ORD100167</t>
  </si>
  <si>
    <t>Customer 81</t>
  </si>
  <si>
    <t>ORD100168</t>
  </si>
  <si>
    <t>2025-01-28</t>
  </si>
  <si>
    <t>Customer 58</t>
  </si>
  <si>
    <t>ORD100169</t>
  </si>
  <si>
    <t>2024-03-07</t>
  </si>
  <si>
    <t>ORD100170</t>
  </si>
  <si>
    <t>2025-08-12</t>
  </si>
  <si>
    <t>ORD100171</t>
  </si>
  <si>
    <t>2024-10-27</t>
  </si>
  <si>
    <t>ORD100172</t>
  </si>
  <si>
    <t>2025-05-02</t>
  </si>
  <si>
    <t>ORD100173</t>
  </si>
  <si>
    <t>2024-06-05</t>
  </si>
  <si>
    <t>Customer 162</t>
  </si>
  <si>
    <t>ORD100174</t>
  </si>
  <si>
    <t>Customer 174</t>
  </si>
  <si>
    <t>ORD100175</t>
  </si>
  <si>
    <t>2024-11-17</t>
  </si>
  <si>
    <t>Customer 9</t>
  </si>
  <si>
    <t>ORD100176</t>
  </si>
  <si>
    <t>2024-12-05</t>
  </si>
  <si>
    <t>ORD100177</t>
  </si>
  <si>
    <t>2025-02-12</t>
  </si>
  <si>
    <t>Customer 134</t>
  </si>
  <si>
    <t>ORD100178</t>
  </si>
  <si>
    <t>2024-06-20</t>
  </si>
  <si>
    <t>Customer 91</t>
  </si>
  <si>
    <t>ORD100179</t>
  </si>
  <si>
    <t>2025-04-16</t>
  </si>
  <si>
    <t>ORD100180</t>
  </si>
  <si>
    <t>2024-12-02</t>
  </si>
  <si>
    <t>Customer 113</t>
  </si>
  <si>
    <t>ORD100181</t>
  </si>
  <si>
    <t>2024-06-15</t>
  </si>
  <si>
    <t>Customer 180</t>
  </si>
  <si>
    <t>ORD100182</t>
  </si>
  <si>
    <t>2024-04-25</t>
  </si>
  <si>
    <t>ORD100183</t>
  </si>
  <si>
    <t>2025-03-18</t>
  </si>
  <si>
    <t>Customer 119</t>
  </si>
  <si>
    <t>ORD100184</t>
  </si>
  <si>
    <t>2025-03-21</t>
  </si>
  <si>
    <t>ORD100185</t>
  </si>
  <si>
    <t>2025-04-15</t>
  </si>
  <si>
    <t>ORD100186</t>
  </si>
  <si>
    <t>2024-02-17</t>
  </si>
  <si>
    <t>ORD100187</t>
  </si>
  <si>
    <t>ORD100188</t>
  </si>
  <si>
    <t>2025-01-15</t>
  </si>
  <si>
    <t>Customer 150</t>
  </si>
  <si>
    <t>ORD100189</t>
  </si>
  <si>
    <t>2025-12-19</t>
  </si>
  <si>
    <t>ORD100190</t>
  </si>
  <si>
    <t>2025-03-09</t>
  </si>
  <si>
    <t>Customer 158</t>
  </si>
  <si>
    <t>ORD100191</t>
  </si>
  <si>
    <t>2024-01-13</t>
  </si>
  <si>
    <t>ORD100192</t>
  </si>
  <si>
    <t>ORD100193</t>
  </si>
  <si>
    <t>2024-10-10</t>
  </si>
  <si>
    <t>ORD100194</t>
  </si>
  <si>
    <t>2025-02-25</t>
  </si>
  <si>
    <t>ORD100195</t>
  </si>
  <si>
    <t>2025-12-26</t>
  </si>
  <si>
    <t>ORD100196</t>
  </si>
  <si>
    <t>2025-09-28</t>
  </si>
  <si>
    <t>Customer 149</t>
  </si>
  <si>
    <t>ORD100197</t>
  </si>
  <si>
    <t>2025-06-17</t>
  </si>
  <si>
    <t>ORD100198</t>
  </si>
  <si>
    <t>2024-10-20</t>
  </si>
  <si>
    <t>Customer 171</t>
  </si>
  <si>
    <t>ORD100199</t>
  </si>
  <si>
    <t>2024-07-14</t>
  </si>
  <si>
    <t>ORD100200</t>
  </si>
  <si>
    <t>2024-08-31</t>
  </si>
  <si>
    <t>ORD100201</t>
  </si>
  <si>
    <t>2024-02-24</t>
  </si>
  <si>
    <t>ORD100202</t>
  </si>
  <si>
    <t>2024-11-21</t>
  </si>
  <si>
    <t>ORD100203</t>
  </si>
  <si>
    <t>2025-09-05</t>
  </si>
  <si>
    <t>ORD100204</t>
  </si>
  <si>
    <t>2025-10-27</t>
  </si>
  <si>
    <t>Customer 126</t>
  </si>
  <si>
    <t>ORD100205</t>
  </si>
  <si>
    <t>2025-01-02</t>
  </si>
  <si>
    <t>ORD100206</t>
  </si>
  <si>
    <t>2025-11-23</t>
  </si>
  <si>
    <t>ORD100207</t>
  </si>
  <si>
    <t>2025-12-05</t>
  </si>
  <si>
    <t>Customer 107</t>
  </si>
  <si>
    <t>ORD100208</t>
  </si>
  <si>
    <t>2025-01-29</t>
  </si>
  <si>
    <t>ORD100209</t>
  </si>
  <si>
    <t>2025-11-11</t>
  </si>
  <si>
    <t>ORD100210</t>
  </si>
  <si>
    <t>ORD100211</t>
  </si>
  <si>
    <t>2024-07-02</t>
  </si>
  <si>
    <t>ORD100212</t>
  </si>
  <si>
    <t>2025-02-28</t>
  </si>
  <si>
    <t>Customer 51</t>
  </si>
  <si>
    <t>ORD100213</t>
  </si>
  <si>
    <t>2024-02-08</t>
  </si>
  <si>
    <t>ORD100214</t>
  </si>
  <si>
    <t>2025-08-02</t>
  </si>
  <si>
    <t>ORD100215</t>
  </si>
  <si>
    <t>2024-08-30</t>
  </si>
  <si>
    <t>Customer 45</t>
  </si>
  <si>
    <t>ORD100216</t>
  </si>
  <si>
    <t>2025-06-27</t>
  </si>
  <si>
    <t>ORD100217</t>
  </si>
  <si>
    <t>2024-09-03</t>
  </si>
  <si>
    <t>Customer 135</t>
  </si>
  <si>
    <t>ORD100218</t>
  </si>
  <si>
    <t>2025-04-08</t>
  </si>
  <si>
    <t>ORD100219</t>
  </si>
  <si>
    <t>2024-11-07</t>
  </si>
  <si>
    <t>ORD100220</t>
  </si>
  <si>
    <t>2025-01-13</t>
  </si>
  <si>
    <t>Customer 70</t>
  </si>
  <si>
    <t>ORD100221</t>
  </si>
  <si>
    <t>2025-11-21</t>
  </si>
  <si>
    <t>Customer 6</t>
  </si>
  <si>
    <t>ORD100222</t>
  </si>
  <si>
    <t>2025-11-19</t>
  </si>
  <si>
    <t>ORD100223</t>
  </si>
  <si>
    <t>2025-10-03</t>
  </si>
  <si>
    <t>ORD100224</t>
  </si>
  <si>
    <t>Customer 173</t>
  </si>
  <si>
    <t>ORD100225</t>
  </si>
  <si>
    <t>ORD100226</t>
  </si>
  <si>
    <t>2025-06-19</t>
  </si>
  <si>
    <t>ORD100227</t>
  </si>
  <si>
    <t>2024-09-26</t>
  </si>
  <si>
    <t>Customer 74</t>
  </si>
  <si>
    <t>ORD100228</t>
  </si>
  <si>
    <t>2025-09-19</t>
  </si>
  <si>
    <t>ORD100229</t>
  </si>
  <si>
    <t>2025-02-02</t>
  </si>
  <si>
    <t>ORD100230</t>
  </si>
  <si>
    <t>2024-08-17</t>
  </si>
  <si>
    <t>ORD100231</t>
  </si>
  <si>
    <t>2025-04-12</t>
  </si>
  <si>
    <t>Customer 65</t>
  </si>
  <si>
    <t>ORD100232</t>
  </si>
  <si>
    <t>2025-07-08</t>
  </si>
  <si>
    <t>ORD100233</t>
  </si>
  <si>
    <t>2024-07-18</t>
  </si>
  <si>
    <t>Customer 71</t>
  </si>
  <si>
    <t>ORD100234</t>
  </si>
  <si>
    <t>ORD100235</t>
  </si>
  <si>
    <t>2025-03-08</t>
  </si>
  <si>
    <t>ORD100236</t>
  </si>
  <si>
    <t>2024-09-09</t>
  </si>
  <si>
    <t>Customer 2</t>
  </si>
  <si>
    <t>ORD100237</t>
  </si>
  <si>
    <t>2025-05-10</t>
  </si>
  <si>
    <t>ORD100238</t>
  </si>
  <si>
    <t>2025-09-30</t>
  </si>
  <si>
    <t>ORD100239</t>
  </si>
  <si>
    <t>Customer 22</t>
  </si>
  <si>
    <t>ORD100240</t>
  </si>
  <si>
    <t>ORD100241</t>
  </si>
  <si>
    <t>2024-02-11</t>
  </si>
  <si>
    <t>ORD100242</t>
  </si>
  <si>
    <t>ORD100243</t>
  </si>
  <si>
    <t>Customer 170</t>
  </si>
  <si>
    <t>ORD100244</t>
  </si>
  <si>
    <t>2025-03-05</t>
  </si>
  <si>
    <t>Customer 66</t>
  </si>
  <si>
    <t>ORD100245</t>
  </si>
  <si>
    <t>2025-05-09</t>
  </si>
  <si>
    <t>Customer 148</t>
  </si>
  <si>
    <t>ORD100246</t>
  </si>
  <si>
    <t>2025-06-13</t>
  </si>
  <si>
    <t>Customer 112</t>
  </si>
  <si>
    <t>ORD100247</t>
  </si>
  <si>
    <t>2025-07-13</t>
  </si>
  <si>
    <t>ORD100248</t>
  </si>
  <si>
    <t>ORD100249</t>
  </si>
  <si>
    <t>2024-03-14</t>
  </si>
  <si>
    <t>ORD100250</t>
  </si>
  <si>
    <t>2024-01-16</t>
  </si>
  <si>
    <t>Customer 128</t>
  </si>
  <si>
    <t>ORD100251</t>
  </si>
  <si>
    <t>2024-02-04</t>
  </si>
  <si>
    <t>ORD100252</t>
  </si>
  <si>
    <t>2025-01-11</t>
  </si>
  <si>
    <t>ORD100253</t>
  </si>
  <si>
    <t>ORD100254</t>
  </si>
  <si>
    <t>2025-07-27</t>
  </si>
  <si>
    <t>ORD100255</t>
  </si>
  <si>
    <t>2024-01-03</t>
  </si>
  <si>
    <t>ORD100256</t>
  </si>
  <si>
    <t>2024-10-13</t>
  </si>
  <si>
    <t>ORD100257</t>
  </si>
  <si>
    <t>2024-10-16</t>
  </si>
  <si>
    <t>ORD100258</t>
  </si>
  <si>
    <t>2024-06-24</t>
  </si>
  <si>
    <t>ORD100259</t>
  </si>
  <si>
    <t>2024-01-12</t>
  </si>
  <si>
    <t>ORD100260</t>
  </si>
  <si>
    <t>2025-04-13</t>
  </si>
  <si>
    <t>ORD100261</t>
  </si>
  <si>
    <t>2024-04-12</t>
  </si>
  <si>
    <t>ORD100262</t>
  </si>
  <si>
    <t>ORD100263</t>
  </si>
  <si>
    <t>ORD100264</t>
  </si>
  <si>
    <t>ORD100265</t>
  </si>
  <si>
    <t>Customer 18</t>
  </si>
  <si>
    <t>ORD100266</t>
  </si>
  <si>
    <t>2025-01-20</t>
  </si>
  <si>
    <t>ORD100267</t>
  </si>
  <si>
    <t>ORD100268</t>
  </si>
  <si>
    <t>2024-12-06</t>
  </si>
  <si>
    <t>Customer 32</t>
  </si>
  <si>
    <t>ORD100269</t>
  </si>
  <si>
    <t>ORD100270</t>
  </si>
  <si>
    <t>2024-07-24</t>
  </si>
  <si>
    <t>ORD100271</t>
  </si>
  <si>
    <t>ORD100272</t>
  </si>
  <si>
    <t>2024-04-21</t>
  </si>
  <si>
    <t>ORD100273</t>
  </si>
  <si>
    <t>2024-02-01</t>
  </si>
  <si>
    <t>ORD100274</t>
  </si>
  <si>
    <t>ORD100275</t>
  </si>
  <si>
    <t>2024-06-14</t>
  </si>
  <si>
    <t>Customer 192</t>
  </si>
  <si>
    <t>ORD100276</t>
  </si>
  <si>
    <t>ORD100277</t>
  </si>
  <si>
    <t>2025-09-25</t>
  </si>
  <si>
    <t>Customer 62</t>
  </si>
  <si>
    <t>ORD100278</t>
  </si>
  <si>
    <t>2025-01-09</t>
  </si>
  <si>
    <t>ORD100279</t>
  </si>
  <si>
    <t>2024-09-14</t>
  </si>
  <si>
    <t>ORD100280</t>
  </si>
  <si>
    <t>ORD100281</t>
  </si>
  <si>
    <t>ORD100282</t>
  </si>
  <si>
    <t>2025-06-05</t>
  </si>
  <si>
    <t>ORD100283</t>
  </si>
  <si>
    <t>ORD100284</t>
  </si>
  <si>
    <t>2024-04-30</t>
  </si>
  <si>
    <t>ORD100285</t>
  </si>
  <si>
    <t>ORD100286</t>
  </si>
  <si>
    <t>ORD100287</t>
  </si>
  <si>
    <t>ORD100288</t>
  </si>
  <si>
    <t>2024-04-09</t>
  </si>
  <si>
    <t>Customer 7</t>
  </si>
  <si>
    <t>ORD100289</t>
  </si>
  <si>
    <t>Customer 157</t>
  </si>
  <si>
    <t>ORD100290</t>
  </si>
  <si>
    <t>ORD100291</t>
  </si>
  <si>
    <t>Customer 181</t>
  </si>
  <si>
    <t>ORD100292</t>
  </si>
  <si>
    <t>ORD100293</t>
  </si>
  <si>
    <t>ORD100294</t>
  </si>
  <si>
    <t>2025-12-02</t>
  </si>
  <si>
    <t>ORD100295</t>
  </si>
  <si>
    <t>ORD100296</t>
  </si>
  <si>
    <t>2024-01-17</t>
  </si>
  <si>
    <t>ORD100297</t>
  </si>
  <si>
    <t>2024-12-13</t>
  </si>
  <si>
    <t>ORD100298</t>
  </si>
  <si>
    <t>2024-04-01</t>
  </si>
  <si>
    <t>ORD100299</t>
  </si>
  <si>
    <t>2024-12-23</t>
  </si>
  <si>
    <t>ORD100300</t>
  </si>
  <si>
    <t>ORD100301</t>
  </si>
  <si>
    <t>ORD100302</t>
  </si>
  <si>
    <t>ORD100303</t>
  </si>
  <si>
    <t>ORD100304</t>
  </si>
  <si>
    <t>2025-02-05</t>
  </si>
  <si>
    <t>ORD100305</t>
  </si>
  <si>
    <t>Customer 140</t>
  </si>
  <si>
    <t>ORD100306</t>
  </si>
  <si>
    <t>2025-09-22</t>
  </si>
  <si>
    <t>ORD100307</t>
  </si>
  <si>
    <t>2024-04-03</t>
  </si>
  <si>
    <t>Customer 175</t>
  </si>
  <si>
    <t>ORD100308</t>
  </si>
  <si>
    <t>2025-08-19</t>
  </si>
  <si>
    <t>Customer 56</t>
  </si>
  <si>
    <t>ORD100309</t>
  </si>
  <si>
    <t>ORD100310</t>
  </si>
  <si>
    <t>2025-10-08</t>
  </si>
  <si>
    <t>Customer 195</t>
  </si>
  <si>
    <t>ORD100311</t>
  </si>
  <si>
    <t>2024-05-05</t>
  </si>
  <si>
    <t>Customer 88</t>
  </si>
  <si>
    <t>ORD100312</t>
  </si>
  <si>
    <t>2025-11-16</t>
  </si>
  <si>
    <t>ORD100313</t>
  </si>
  <si>
    <t>ORD100314</t>
  </si>
  <si>
    <t>ORD100315</t>
  </si>
  <si>
    <t>Customer 114</t>
  </si>
  <si>
    <t>ORD100316</t>
  </si>
  <si>
    <t>2025-08-15</t>
  </si>
  <si>
    <t>ORD100317</t>
  </si>
  <si>
    <t>ORD100318</t>
  </si>
  <si>
    <t>Customer 99</t>
  </si>
  <si>
    <t>ORD100319</t>
  </si>
  <si>
    <t>2025-05-12</t>
  </si>
  <si>
    <t>ORD100320</t>
  </si>
  <si>
    <t>ORD100321</t>
  </si>
  <si>
    <t>2024-05-06</t>
  </si>
  <si>
    <t>Customer 172</t>
  </si>
  <si>
    <t>ORD100322</t>
  </si>
  <si>
    <t>ORD100323</t>
  </si>
  <si>
    <t>ORD100324</t>
  </si>
  <si>
    <t>2024-08-03</t>
  </si>
  <si>
    <t>ORD100325</t>
  </si>
  <si>
    <t>ORD100326</t>
  </si>
  <si>
    <t>ORD100327</t>
  </si>
  <si>
    <t>ORD100328</t>
  </si>
  <si>
    <t>2025-09-16</t>
  </si>
  <si>
    <t>ORD100329</t>
  </si>
  <si>
    <t>2024-07-31</t>
  </si>
  <si>
    <t>ORD100330</t>
  </si>
  <si>
    <t>2025-12-16</t>
  </si>
  <si>
    <t>ORD100331</t>
  </si>
  <si>
    <t>2025-06-24</t>
  </si>
  <si>
    <t>ORD100332</t>
  </si>
  <si>
    <t>Customer 118</t>
  </si>
  <si>
    <t>ORD100333</t>
  </si>
  <si>
    <t>Customer 182</t>
  </si>
  <si>
    <t>ORD100334</t>
  </si>
  <si>
    <t>2024-05-28</t>
  </si>
  <si>
    <t>Customer 19</t>
  </si>
  <si>
    <t>ORD100335</t>
  </si>
  <si>
    <t>2024-07-20</t>
  </si>
  <si>
    <t>ORD100336</t>
  </si>
  <si>
    <t>2024-10-28</t>
  </si>
  <si>
    <t>Customer 147</t>
  </si>
  <si>
    <t>ORD100337</t>
  </si>
  <si>
    <t>ORD100338</t>
  </si>
  <si>
    <t>2025-05-04</t>
  </si>
  <si>
    <t>ORD100339</t>
  </si>
  <si>
    <t>2024-09-30</t>
  </si>
  <si>
    <t>Customer 68</t>
  </si>
  <si>
    <t>ORD100340</t>
  </si>
  <si>
    <t>Customer 34</t>
  </si>
  <si>
    <t>ORD100341</t>
  </si>
  <si>
    <t>2024-10-18</t>
  </si>
  <si>
    <t>ORD100342</t>
  </si>
  <si>
    <t>2024-09-29</t>
  </si>
  <si>
    <t>Customer 36</t>
  </si>
  <si>
    <t>ORD100343</t>
  </si>
  <si>
    <t>2025-09-09</t>
  </si>
  <si>
    <t>ORD100344</t>
  </si>
  <si>
    <t>ORD100345</t>
  </si>
  <si>
    <t>2024-08-23</t>
  </si>
  <si>
    <t>ORD100346</t>
  </si>
  <si>
    <t>Customer 1</t>
  </si>
  <si>
    <t>ORD100347</t>
  </si>
  <si>
    <t>2025-08-11</t>
  </si>
  <si>
    <t>ORD100348</t>
  </si>
  <si>
    <t>2025-12-01</t>
  </si>
  <si>
    <t>ORD100349</t>
  </si>
  <si>
    <t>2025-12-28</t>
  </si>
  <si>
    <t>ORD100350</t>
  </si>
  <si>
    <t>2024-06-27</t>
  </si>
  <si>
    <t>ORD100351</t>
  </si>
  <si>
    <t>ORD100352</t>
  </si>
  <si>
    <t>2025-10-05</t>
  </si>
  <si>
    <t>ORD100353</t>
  </si>
  <si>
    <t>2024-01-19</t>
  </si>
  <si>
    <t>ORD100354</t>
  </si>
  <si>
    <t>ORD100355</t>
  </si>
  <si>
    <t>2024-10-06</t>
  </si>
  <si>
    <t>ORD100356</t>
  </si>
  <si>
    <t>ORD100357</t>
  </si>
  <si>
    <t>ORD100358</t>
  </si>
  <si>
    <t>ORD100359</t>
  </si>
  <si>
    <t>2025-02-03</t>
  </si>
  <si>
    <t>ORD100360</t>
  </si>
  <si>
    <t>2024-03-28</t>
  </si>
  <si>
    <t>ORD100361</t>
  </si>
  <si>
    <t>ORD100362</t>
  </si>
  <si>
    <t>2024-03-23</t>
  </si>
  <si>
    <t>ORD100363</t>
  </si>
  <si>
    <t>ORD100364</t>
  </si>
  <si>
    <t>2024-05-13</t>
  </si>
  <si>
    <t>ORD100365</t>
  </si>
  <si>
    <t>2025-06-07</t>
  </si>
  <si>
    <t>Customer 80</t>
  </si>
  <si>
    <t>ORD100366</t>
  </si>
  <si>
    <t>2024-08-04</t>
  </si>
  <si>
    <t>Customer 35</t>
  </si>
  <si>
    <t>ORD100367</t>
  </si>
  <si>
    <t>2025-06-09</t>
  </si>
  <si>
    <t>ORD100368</t>
  </si>
  <si>
    <t>2024-10-23</t>
  </si>
  <si>
    <t>Customer 197</t>
  </si>
  <si>
    <t>ORD100369</t>
  </si>
  <si>
    <t>2025-10-24</t>
  </si>
  <si>
    <t>ORD100370</t>
  </si>
  <si>
    <t>ORD100371</t>
  </si>
  <si>
    <t>2025-04-24</t>
  </si>
  <si>
    <t>Customer 130</t>
  </si>
  <si>
    <t>ORD100372</t>
  </si>
  <si>
    <t>ORD100373</t>
  </si>
  <si>
    <t>2025-04-17</t>
  </si>
  <si>
    <t>ORD100374</t>
  </si>
  <si>
    <t>2024-02-23</t>
  </si>
  <si>
    <t>ORD100375</t>
  </si>
  <si>
    <t>2025-11-29</t>
  </si>
  <si>
    <t>ORD100376</t>
  </si>
  <si>
    <t>2024-07-19</t>
  </si>
  <si>
    <t>ORD100377</t>
  </si>
  <si>
    <t>ORD100378</t>
  </si>
  <si>
    <t>2024-12-07</t>
  </si>
  <si>
    <t>ORD100379</t>
  </si>
  <si>
    <t>2025-07-19</t>
  </si>
  <si>
    <t>Customer 60</t>
  </si>
  <si>
    <t>ORD100380</t>
  </si>
  <si>
    <t>ORD100381</t>
  </si>
  <si>
    <t>2025-05-26</t>
  </si>
  <si>
    <t>ORD100382</t>
  </si>
  <si>
    <t>2025-06-29</t>
  </si>
  <si>
    <t>ORD100383</t>
  </si>
  <si>
    <t>ORD100384</t>
  </si>
  <si>
    <t>2024-10-09</t>
  </si>
  <si>
    <t>ORD100385</t>
  </si>
  <si>
    <t>Customer 187</t>
  </si>
  <si>
    <t>ORD100386</t>
  </si>
  <si>
    <t>2024-06-22</t>
  </si>
  <si>
    <t>ORD100387</t>
  </si>
  <si>
    <t>ORD100388</t>
  </si>
  <si>
    <t>2025-01-21</t>
  </si>
  <si>
    <t>ORD100389</t>
  </si>
  <si>
    <t>2025-04-27</t>
  </si>
  <si>
    <t>Customer 40</t>
  </si>
  <si>
    <t>ORD100390</t>
  </si>
  <si>
    <t>2024-04-10</t>
  </si>
  <si>
    <t>ORD100391</t>
  </si>
  <si>
    <t>2025-06-25</t>
  </si>
  <si>
    <t>ORD100392</t>
  </si>
  <si>
    <t>2025-03-10</t>
  </si>
  <si>
    <t>ORD100393</t>
  </si>
  <si>
    <t>2025-04-02</t>
  </si>
  <si>
    <t>Customer 145</t>
  </si>
  <si>
    <t>ORD100394</t>
  </si>
  <si>
    <t>ORD100395</t>
  </si>
  <si>
    <t>2024-04-05</t>
  </si>
  <si>
    <t>ORD100396</t>
  </si>
  <si>
    <t>ORD100397</t>
  </si>
  <si>
    <t>2025-11-06</t>
  </si>
  <si>
    <t>Customer 25</t>
  </si>
  <si>
    <t>ORD100398</t>
  </si>
  <si>
    <t>2025-12-04</t>
  </si>
  <si>
    <t>ORD100399</t>
  </si>
  <si>
    <t>2025-12-23</t>
  </si>
  <si>
    <t>ORD100400</t>
  </si>
  <si>
    <t>2024-03-20</t>
  </si>
  <si>
    <t>ORD100401</t>
  </si>
  <si>
    <t>ORD100402</t>
  </si>
  <si>
    <t>ORD100403</t>
  </si>
  <si>
    <t>2024-09-12</t>
  </si>
  <si>
    <t>ORD100404</t>
  </si>
  <si>
    <t>ORD100405</t>
  </si>
  <si>
    <t>ORD100406</t>
  </si>
  <si>
    <t>2024-09-10</t>
  </si>
  <si>
    <t>ORD100407</t>
  </si>
  <si>
    <t>ORD100408</t>
  </si>
  <si>
    <t>2024-07-21</t>
  </si>
  <si>
    <t>ORD100409</t>
  </si>
  <si>
    <t>2025-03-06</t>
  </si>
  <si>
    <t>ORD100410</t>
  </si>
  <si>
    <t>2025-04-20</t>
  </si>
  <si>
    <t>ORD100411</t>
  </si>
  <si>
    <t>2024-08-09</t>
  </si>
  <si>
    <t>ORD100412</t>
  </si>
  <si>
    <t>ORD100413</t>
  </si>
  <si>
    <t>ORD100414</t>
  </si>
  <si>
    <t>2024-12-04</t>
  </si>
  <si>
    <t>Customer 84</t>
  </si>
  <si>
    <t>ORD100415</t>
  </si>
  <si>
    <t>2025-07-04</t>
  </si>
  <si>
    <t>ORD100416</t>
  </si>
  <si>
    <t>2025-08-03</t>
  </si>
  <si>
    <t>ORD100417</t>
  </si>
  <si>
    <t>2025-12-22</t>
  </si>
  <si>
    <t>ORD100418</t>
  </si>
  <si>
    <t>ORD100419</t>
  </si>
  <si>
    <t>ORD100420</t>
  </si>
  <si>
    <t>2025-03-22</t>
  </si>
  <si>
    <t>ORD100421</t>
  </si>
  <si>
    <t>Customer 37</t>
  </si>
  <si>
    <t>ORD100422</t>
  </si>
  <si>
    <t>ORD100423</t>
  </si>
  <si>
    <t>2025-08-22</t>
  </si>
  <si>
    <t>Customer 136</t>
  </si>
  <si>
    <t>ORD100424</t>
  </si>
  <si>
    <t>ORD100425</t>
  </si>
  <si>
    <t>2025-09-18</t>
  </si>
  <si>
    <t>ORD100426</t>
  </si>
  <si>
    <t>ORD100427</t>
  </si>
  <si>
    <t>ORD100428</t>
  </si>
  <si>
    <t>2024-04-15</t>
  </si>
  <si>
    <t>Customer 63</t>
  </si>
  <si>
    <t>ORD100429</t>
  </si>
  <si>
    <t>ORD100430</t>
  </si>
  <si>
    <t>Customer 5</t>
  </si>
  <si>
    <t>ORD100431</t>
  </si>
  <si>
    <t>ORD100432</t>
  </si>
  <si>
    <t>2025-10-21</t>
  </si>
  <si>
    <t>ORD100433</t>
  </si>
  <si>
    <t>2024-04-14</t>
  </si>
  <si>
    <t>ORD100434</t>
  </si>
  <si>
    <t>2024-12-17</t>
  </si>
  <si>
    <t>ORD100435</t>
  </si>
  <si>
    <t>2024-01-30</t>
  </si>
  <si>
    <t>ORD100436</t>
  </si>
  <si>
    <t>ORD100437</t>
  </si>
  <si>
    <t>2024-06-08</t>
  </si>
  <si>
    <t>ORD100438</t>
  </si>
  <si>
    <t>2024-08-28</t>
  </si>
  <si>
    <t>ORD100439</t>
  </si>
  <si>
    <t>ORD100440</t>
  </si>
  <si>
    <t>ORD100441</t>
  </si>
  <si>
    <t>2024-11-08</t>
  </si>
  <si>
    <t>ORD100442</t>
  </si>
  <si>
    <t>2025-11-27</t>
  </si>
  <si>
    <t>ORD100443</t>
  </si>
  <si>
    <t>ORD100444</t>
  </si>
  <si>
    <t>2025-09-06</t>
  </si>
  <si>
    <t>ORD100445</t>
  </si>
  <si>
    <t>2025-07-18</t>
  </si>
  <si>
    <t>ORD100446</t>
  </si>
  <si>
    <t>2024-02-28</t>
  </si>
  <si>
    <t>ORD100447</t>
  </si>
  <si>
    <t>ORD100448</t>
  </si>
  <si>
    <t>ORD100449</t>
  </si>
  <si>
    <t>2024-06-01</t>
  </si>
  <si>
    <t>ORD100450</t>
  </si>
  <si>
    <t>ORD100451</t>
  </si>
  <si>
    <t>2025-05-11</t>
  </si>
  <si>
    <t>Customer 116</t>
  </si>
  <si>
    <t>ORD100452</t>
  </si>
  <si>
    <t>2024-11-28</t>
  </si>
  <si>
    <t>ORD100453</t>
  </si>
  <si>
    <t>2024-03-30</t>
  </si>
  <si>
    <t>ORD100454</t>
  </si>
  <si>
    <t>Customer 31</t>
  </si>
  <si>
    <t>ORD100455</t>
  </si>
  <si>
    <t>2024-08-18</t>
  </si>
  <si>
    <t>ORD100456</t>
  </si>
  <si>
    <t>2025-03-17</t>
  </si>
  <si>
    <t>ORD100457</t>
  </si>
  <si>
    <t>2024-07-07</t>
  </si>
  <si>
    <t>ORD100458</t>
  </si>
  <si>
    <t>2025-08-10</t>
  </si>
  <si>
    <t>ORD100459</t>
  </si>
  <si>
    <t>Customer 152</t>
  </si>
  <si>
    <t>ORD100460</t>
  </si>
  <si>
    <t>2024-06-09</t>
  </si>
  <si>
    <t>Customer 165</t>
  </si>
  <si>
    <t>ORD100461</t>
  </si>
  <si>
    <t>ORD100462</t>
  </si>
  <si>
    <t>ORD100463</t>
  </si>
  <si>
    <t>ORD100464</t>
  </si>
  <si>
    <t>ORD100465</t>
  </si>
  <si>
    <t>ORD100466</t>
  </si>
  <si>
    <t>2024-02-02</t>
  </si>
  <si>
    <t>ORD100467</t>
  </si>
  <si>
    <t>2025-08-27</t>
  </si>
  <si>
    <t>ORD100468</t>
  </si>
  <si>
    <t>ORD100469</t>
  </si>
  <si>
    <t>2024-03-18</t>
  </si>
  <si>
    <t>Customer 168</t>
  </si>
  <si>
    <t>ORD100470</t>
  </si>
  <si>
    <t>2024-10-29</t>
  </si>
  <si>
    <t>ORD100471</t>
  </si>
  <si>
    <t>2024-11-06</t>
  </si>
  <si>
    <t>ORD100472</t>
  </si>
  <si>
    <t>ORD100473</t>
  </si>
  <si>
    <t>ORD100474</t>
  </si>
  <si>
    <t>ORD100475</t>
  </si>
  <si>
    <t>2025-07-29</t>
  </si>
  <si>
    <t>ORD100476</t>
  </si>
  <si>
    <t>ORD100477</t>
  </si>
  <si>
    <t>2024-12-14</t>
  </si>
  <si>
    <t>Customer 83</t>
  </si>
  <si>
    <t>ORD100478</t>
  </si>
  <si>
    <t>ORD100479</t>
  </si>
  <si>
    <t>ORD100480</t>
  </si>
  <si>
    <t>2024-04-18</t>
  </si>
  <si>
    <t>Customer 198</t>
  </si>
  <si>
    <t>ORD100481</t>
  </si>
  <si>
    <t>ORD100482</t>
  </si>
  <si>
    <t>2025-10-28</t>
  </si>
  <si>
    <t>ORD100483</t>
  </si>
  <si>
    <t>2024-11-03</t>
  </si>
  <si>
    <t>ORD100484</t>
  </si>
  <si>
    <t>ORD100485</t>
  </si>
  <si>
    <t>2025-01-05</t>
  </si>
  <si>
    <t>ORD100486</t>
  </si>
  <si>
    <t>ORD100487</t>
  </si>
  <si>
    <t>ORD100488</t>
  </si>
  <si>
    <t>ORD100489</t>
  </si>
  <si>
    <t>2025-01-16</t>
  </si>
  <si>
    <t>ORD100490</t>
  </si>
  <si>
    <t>2024-05-12</t>
  </si>
  <si>
    <t>ORD100491</t>
  </si>
  <si>
    <t>2024-08-10</t>
  </si>
  <si>
    <t>ORD100492</t>
  </si>
  <si>
    <t>ORD100493</t>
  </si>
  <si>
    <t>ORD100494</t>
  </si>
  <si>
    <t>2025-11-13</t>
  </si>
  <si>
    <t>ORD100495</t>
  </si>
  <si>
    <t>2024-03-12</t>
  </si>
  <si>
    <t>ORD100496</t>
  </si>
  <si>
    <t>ORD100497</t>
  </si>
  <si>
    <t>2024-08-27</t>
  </si>
  <si>
    <t>ORD100498</t>
  </si>
  <si>
    <t>2024-11-24</t>
  </si>
  <si>
    <t>ORD100499</t>
  </si>
  <si>
    <t>2024-12-11</t>
  </si>
  <si>
    <t>ORD100500</t>
  </si>
  <si>
    <t>ORD100501</t>
  </si>
  <si>
    <t>2025-05-28</t>
  </si>
  <si>
    <t>ORD100502</t>
  </si>
  <si>
    <t>ORD100503</t>
  </si>
  <si>
    <t>2025-01-17</t>
  </si>
  <si>
    <t>ORD100504</t>
  </si>
  <si>
    <t>2024-10-19</t>
  </si>
  <si>
    <t>ORD100505</t>
  </si>
  <si>
    <t>ORD100506</t>
  </si>
  <si>
    <t>2025-02-26</t>
  </si>
  <si>
    <t>ORD100507</t>
  </si>
  <si>
    <t>2024-09-19</t>
  </si>
  <si>
    <t>ORD100508</t>
  </si>
  <si>
    <t>ORD100509</t>
  </si>
  <si>
    <t>ORD100510</t>
  </si>
  <si>
    <t>2024-06-10</t>
  </si>
  <si>
    <t>ORD100511</t>
  </si>
  <si>
    <t>2025-11-04</t>
  </si>
  <si>
    <t>ORD100512</t>
  </si>
  <si>
    <t>ORD100513</t>
  </si>
  <si>
    <t>ORD100514</t>
  </si>
  <si>
    <t>ORD100515</t>
  </si>
  <si>
    <t>2024-12-27</t>
  </si>
  <si>
    <t>ORD100516</t>
  </si>
  <si>
    <t>ORD100517</t>
  </si>
  <si>
    <t>ORD100518</t>
  </si>
  <si>
    <t>ORD100519</t>
  </si>
  <si>
    <t>2025-10-09</t>
  </si>
  <si>
    <t>ORD100520</t>
  </si>
  <si>
    <t>ORD100521</t>
  </si>
  <si>
    <t>2025-03-15</t>
  </si>
  <si>
    <t>ORD100522</t>
  </si>
  <si>
    <t>ORD100523</t>
  </si>
  <si>
    <t>2024-09-25</t>
  </si>
  <si>
    <t>ORD100524</t>
  </si>
  <si>
    <t>ORD100525</t>
  </si>
  <si>
    <t>2024-01-08</t>
  </si>
  <si>
    <t>ORD100526</t>
  </si>
  <si>
    <t>2025-10-07</t>
  </si>
  <si>
    <t>ORD100527</t>
  </si>
  <si>
    <t>ORD100528</t>
  </si>
  <si>
    <t>2024-09-13</t>
  </si>
  <si>
    <t>ORD100529</t>
  </si>
  <si>
    <t>ORD100530</t>
  </si>
  <si>
    <t>2024-10-11</t>
  </si>
  <si>
    <t>ORD100531</t>
  </si>
  <si>
    <t>2025-12-09</t>
  </si>
  <si>
    <t>ORD100532</t>
  </si>
  <si>
    <t>2025-06-12</t>
  </si>
  <si>
    <t>ORD100533</t>
  </si>
  <si>
    <t>ORD100534</t>
  </si>
  <si>
    <t>2024-06-12</t>
  </si>
  <si>
    <t>ORD100535</t>
  </si>
  <si>
    <t>ORD100536</t>
  </si>
  <si>
    <t>ORD100537</t>
  </si>
  <si>
    <t>ORD100538</t>
  </si>
  <si>
    <t>2024-12-21</t>
  </si>
  <si>
    <t>Customer 102</t>
  </si>
  <si>
    <t>ORD100539</t>
  </si>
  <si>
    <t>ORD100540</t>
  </si>
  <si>
    <t>ORD100541</t>
  </si>
  <si>
    <t>2024-12-09</t>
  </si>
  <si>
    <t>ORD100542</t>
  </si>
  <si>
    <t>2024-06-18</t>
  </si>
  <si>
    <t>ORD100543</t>
  </si>
  <si>
    <t>ORD100544</t>
  </si>
  <si>
    <t>2024-09-22</t>
  </si>
  <si>
    <t>Customer 155</t>
  </si>
  <si>
    <t>ORD100545</t>
  </si>
  <si>
    <t>ORD100546</t>
  </si>
  <si>
    <t>2025-09-26</t>
  </si>
  <si>
    <t>ORD100547</t>
  </si>
  <si>
    <t>ORD100548</t>
  </si>
  <si>
    <t>ORD100549</t>
  </si>
  <si>
    <t>2025-10-18</t>
  </si>
  <si>
    <t>ORD100550</t>
  </si>
  <si>
    <t>ORD100551</t>
  </si>
  <si>
    <t>2024-08-26</t>
  </si>
  <si>
    <t>ORD100552</t>
  </si>
  <si>
    <t>ORD100553</t>
  </si>
  <si>
    <t>2024-09-06</t>
  </si>
  <si>
    <t>ORD100554</t>
  </si>
  <si>
    <t>2024-11-30</t>
  </si>
  <si>
    <t>ORD100555</t>
  </si>
  <si>
    <t>ORD100556</t>
  </si>
  <si>
    <t>2025-06-01</t>
  </si>
  <si>
    <t>ORD100557</t>
  </si>
  <si>
    <t>ORD100558</t>
  </si>
  <si>
    <t>2024-09-24</t>
  </si>
  <si>
    <t>ORD100559</t>
  </si>
  <si>
    <t>2024-08-14</t>
  </si>
  <si>
    <t>ORD100560</t>
  </si>
  <si>
    <t>ORD100561</t>
  </si>
  <si>
    <t>2025-02-11</t>
  </si>
  <si>
    <t>ORD100562</t>
  </si>
  <si>
    <t>ORD100563</t>
  </si>
  <si>
    <t>Customer 97</t>
  </si>
  <si>
    <t>ORD100564</t>
  </si>
  <si>
    <t>ORD100565</t>
  </si>
  <si>
    <t>2025-04-01</t>
  </si>
  <si>
    <t>ORD100566</t>
  </si>
  <si>
    <t>ORD100567</t>
  </si>
  <si>
    <t>ORD100568</t>
  </si>
  <si>
    <t>ORD100569</t>
  </si>
  <si>
    <t>ORD100570</t>
  </si>
  <si>
    <t>2025-11-24</t>
  </si>
  <si>
    <t>ORD100571</t>
  </si>
  <si>
    <t>ORD100572</t>
  </si>
  <si>
    <t>ORD100573</t>
  </si>
  <si>
    <t>ORD100574</t>
  </si>
  <si>
    <t>2025-03-19</t>
  </si>
  <si>
    <t>ORD100575</t>
  </si>
  <si>
    <t>2024-07-15</t>
  </si>
  <si>
    <t>ORD100576</t>
  </si>
  <si>
    <t>ORD100577</t>
  </si>
  <si>
    <t>ORD100578</t>
  </si>
  <si>
    <t>2025-11-09</t>
  </si>
  <si>
    <t>ORD100579</t>
  </si>
  <si>
    <t>ORD100580</t>
  </si>
  <si>
    <t>ORD100581</t>
  </si>
  <si>
    <t>ORD100582</t>
  </si>
  <si>
    <t>ORD100583</t>
  </si>
  <si>
    <t>ORD100584</t>
  </si>
  <si>
    <t>2024-02-05</t>
  </si>
  <si>
    <t>ORD100585</t>
  </si>
  <si>
    <t>ORD100586</t>
  </si>
  <si>
    <t>ORD100587</t>
  </si>
  <si>
    <t>ORD100588</t>
  </si>
  <si>
    <t>2025-05-18</t>
  </si>
  <si>
    <t>ORD100589</t>
  </si>
  <si>
    <t>2024-08-12</t>
  </si>
  <si>
    <t>ORD100590</t>
  </si>
  <si>
    <t>2024-03-19</t>
  </si>
  <si>
    <t>ORD100591</t>
  </si>
  <si>
    <t>2024-07-22</t>
  </si>
  <si>
    <t>ORD100592</t>
  </si>
  <si>
    <t>2024-08-02</t>
  </si>
  <si>
    <t>ORD100593</t>
  </si>
  <si>
    <t>ORD100594</t>
  </si>
  <si>
    <t>ORD100595</t>
  </si>
  <si>
    <t>ORD100596</t>
  </si>
  <si>
    <t>ORD100597</t>
  </si>
  <si>
    <t>2025-05-01</t>
  </si>
  <si>
    <t>ORD100598</t>
  </si>
  <si>
    <t>2024-01-09</t>
  </si>
  <si>
    <t>ORD100599</t>
  </si>
  <si>
    <t>ORD100600</t>
  </si>
  <si>
    <t>ORD100601</t>
  </si>
  <si>
    <t>ORD100602</t>
  </si>
  <si>
    <t>ORD100603</t>
  </si>
  <si>
    <t>ORD100604</t>
  </si>
  <si>
    <t>ORD100605</t>
  </si>
  <si>
    <t>ORD100606</t>
  </si>
  <si>
    <t>2025-04-09</t>
  </si>
  <si>
    <t>ORD100607</t>
  </si>
  <si>
    <t>2024-08-15</t>
  </si>
  <si>
    <t>Customer 57</t>
  </si>
  <si>
    <t>ORD100608</t>
  </si>
  <si>
    <t>2024-05-29</t>
  </si>
  <si>
    <t>ORD100609</t>
  </si>
  <si>
    <t>ORD100610</t>
  </si>
  <si>
    <t>ORD100611</t>
  </si>
  <si>
    <t>ORD100612</t>
  </si>
  <si>
    <t>ORD100613</t>
  </si>
  <si>
    <t>ORD100614</t>
  </si>
  <si>
    <t>ORD100615</t>
  </si>
  <si>
    <t>2025-05-23</t>
  </si>
  <si>
    <t>ORD100616</t>
  </si>
  <si>
    <t>ORD100617</t>
  </si>
  <si>
    <t>2024-01-10</t>
  </si>
  <si>
    <t>ORD100618</t>
  </si>
  <si>
    <t>ORD100619</t>
  </si>
  <si>
    <t>ORD100620</t>
  </si>
  <si>
    <t>ORD100621</t>
  </si>
  <si>
    <t>2025-07-20</t>
  </si>
  <si>
    <t>ORD100622</t>
  </si>
  <si>
    <t>ORD100623</t>
  </si>
  <si>
    <t>ORD100624</t>
  </si>
  <si>
    <t>ORD100625</t>
  </si>
  <si>
    <t>ORD100626</t>
  </si>
  <si>
    <t>ORD100627</t>
  </si>
  <si>
    <t>2025-04-07</t>
  </si>
  <si>
    <t>ORD100628</t>
  </si>
  <si>
    <t>2024-10-01</t>
  </si>
  <si>
    <t>ORD100629</t>
  </si>
  <si>
    <t>ORD100630</t>
  </si>
  <si>
    <t>2025-10-25</t>
  </si>
  <si>
    <t>ORD100631</t>
  </si>
  <si>
    <t>ORD100632</t>
  </si>
  <si>
    <t>ORD100633</t>
  </si>
  <si>
    <t>2024-06-06</t>
  </si>
  <si>
    <t>ORD100634</t>
  </si>
  <si>
    <t>ORD100635</t>
  </si>
  <si>
    <t>ORD100636</t>
  </si>
  <si>
    <t>ORD100637</t>
  </si>
  <si>
    <t>ORD100638</t>
  </si>
  <si>
    <t>2024-12-24</t>
  </si>
  <si>
    <t>ORD100639</t>
  </si>
  <si>
    <t>ORD100640</t>
  </si>
  <si>
    <t>2024-05-04</t>
  </si>
  <si>
    <t>ORD100641</t>
  </si>
  <si>
    <t>2025-04-03</t>
  </si>
  <si>
    <t>ORD100642</t>
  </si>
  <si>
    <t>2025-08-05</t>
  </si>
  <si>
    <t>ORD100643</t>
  </si>
  <si>
    <t>Customer 177</t>
  </si>
  <si>
    <t>ORD100644</t>
  </si>
  <si>
    <t>ORD100645</t>
  </si>
  <si>
    <t>2024-10-21</t>
  </si>
  <si>
    <t>ORD100646</t>
  </si>
  <si>
    <t>2024-07-12</t>
  </si>
  <si>
    <t>ORD100647</t>
  </si>
  <si>
    <t>ORD100648</t>
  </si>
  <si>
    <t>2024-08-20</t>
  </si>
  <si>
    <t>ORD100649</t>
  </si>
  <si>
    <t>2025-02-19</t>
  </si>
  <si>
    <t>Customer 13</t>
  </si>
  <si>
    <t>ORD100650</t>
  </si>
  <si>
    <t>ORD100651</t>
  </si>
  <si>
    <t>ORD100652</t>
  </si>
  <si>
    <t>2024-07-01</t>
  </si>
  <si>
    <t>ORD100653</t>
  </si>
  <si>
    <t>ORD100654</t>
  </si>
  <si>
    <t>2025-04-23</t>
  </si>
  <si>
    <t>ORD100655</t>
  </si>
  <si>
    <t>2025-01-30</t>
  </si>
  <si>
    <t>ORD100656</t>
  </si>
  <si>
    <t>ORD100657</t>
  </si>
  <si>
    <t>ORD100658</t>
  </si>
  <si>
    <t>ORD100659</t>
  </si>
  <si>
    <t>2024-01-07</t>
  </si>
  <si>
    <t>ORD100660</t>
  </si>
  <si>
    <t>2024-03-13</t>
  </si>
  <si>
    <t>ORD100661</t>
  </si>
  <si>
    <t>2024-12-12</t>
  </si>
  <si>
    <t>ORD100662</t>
  </si>
  <si>
    <t>2025-10-15</t>
  </si>
  <si>
    <t>ORD100663</t>
  </si>
  <si>
    <t>2025-05-16</t>
  </si>
  <si>
    <t>ORD100664</t>
  </si>
  <si>
    <t>ORD100665</t>
  </si>
  <si>
    <t>ORD100666</t>
  </si>
  <si>
    <t>ORD100667</t>
  </si>
  <si>
    <t>2024-05-20</t>
  </si>
  <si>
    <t>ORD100668</t>
  </si>
  <si>
    <t>2025-04-25</t>
  </si>
  <si>
    <t>ORD100669</t>
  </si>
  <si>
    <t>ORD100670</t>
  </si>
  <si>
    <t>ORD100671</t>
  </si>
  <si>
    <t>ORD100672</t>
  </si>
  <si>
    <t>ORD100673</t>
  </si>
  <si>
    <t>2024-04-24</t>
  </si>
  <si>
    <t>ORD100674</t>
  </si>
  <si>
    <t>ORD100675</t>
  </si>
  <si>
    <t>2024-02-25</t>
  </si>
  <si>
    <t>ORD100676</t>
  </si>
  <si>
    <t>2024-10-24</t>
  </si>
  <si>
    <t>ORD100677</t>
  </si>
  <si>
    <t>ORD100678</t>
  </si>
  <si>
    <t>2025-11-14</t>
  </si>
  <si>
    <t>ORD100679</t>
  </si>
  <si>
    <t>ORD100680</t>
  </si>
  <si>
    <t>ORD100681</t>
  </si>
  <si>
    <t>2025-07-22</t>
  </si>
  <si>
    <t>ORD100682</t>
  </si>
  <si>
    <t>ORD100683</t>
  </si>
  <si>
    <t>2024-04-19</t>
  </si>
  <si>
    <t>ORD100684</t>
  </si>
  <si>
    <t>ORD100685</t>
  </si>
  <si>
    <t>2024-04-28</t>
  </si>
  <si>
    <t>ORD100686</t>
  </si>
  <si>
    <t>2024-11-27</t>
  </si>
  <si>
    <t>ORD100687</t>
  </si>
  <si>
    <t>ORD100688</t>
  </si>
  <si>
    <t>ORD100689</t>
  </si>
  <si>
    <t>2025-10-16</t>
  </si>
  <si>
    <t>ORD100690</t>
  </si>
  <si>
    <t>ORD100691</t>
  </si>
  <si>
    <t>2024-10-17</t>
  </si>
  <si>
    <t>ORD100692</t>
  </si>
  <si>
    <t>ORD100693</t>
  </si>
  <si>
    <t>ORD100694</t>
  </si>
  <si>
    <t>ORD100695</t>
  </si>
  <si>
    <t>ORD100696</t>
  </si>
  <si>
    <t>ORD100697</t>
  </si>
  <si>
    <t>2025-09-29</t>
  </si>
  <si>
    <t>ORD100698</t>
  </si>
  <si>
    <t>2024-07-13</t>
  </si>
  <si>
    <t>ORD100699</t>
  </si>
  <si>
    <t>2024-06-19</t>
  </si>
  <si>
    <t>ORD100700</t>
  </si>
  <si>
    <t>2025-08-29</t>
  </si>
  <si>
    <t>ORD100701</t>
  </si>
  <si>
    <t>2025-08-01</t>
  </si>
  <si>
    <t>ORD100702</t>
  </si>
  <si>
    <t>Customer 141</t>
  </si>
  <si>
    <t>ORD100703</t>
  </si>
  <si>
    <t>2024-11-10</t>
  </si>
  <si>
    <t>ORD100704</t>
  </si>
  <si>
    <t>ORD100705</t>
  </si>
  <si>
    <t>ORD100706</t>
  </si>
  <si>
    <t>Customer 110</t>
  </si>
  <si>
    <t>ORD100707</t>
  </si>
  <si>
    <t>2024-06-13</t>
  </si>
  <si>
    <t>ORD100708</t>
  </si>
  <si>
    <t>2025-07-11</t>
  </si>
  <si>
    <t>ORD100709</t>
  </si>
  <si>
    <t>ORD100710</t>
  </si>
  <si>
    <t>2024-10-31</t>
  </si>
  <si>
    <t>ORD100711</t>
  </si>
  <si>
    <t>2025-08-24</t>
  </si>
  <si>
    <t>ORD100712</t>
  </si>
  <si>
    <t>2025-12-25</t>
  </si>
  <si>
    <t>ORD100713</t>
  </si>
  <si>
    <t>2024-01-28</t>
  </si>
  <si>
    <t>ORD100714</t>
  </si>
  <si>
    <t>2025-11-05</t>
  </si>
  <si>
    <t>ORD100715</t>
  </si>
  <si>
    <t>ORD100716</t>
  </si>
  <si>
    <t>2025-01-23</t>
  </si>
  <si>
    <t>ORD100717</t>
  </si>
  <si>
    <t>2024-09-23</t>
  </si>
  <si>
    <t>ORD100718</t>
  </si>
  <si>
    <t>2024-07-27</t>
  </si>
  <si>
    <t>ORD100719</t>
  </si>
  <si>
    <t>ORD100720</t>
  </si>
  <si>
    <t>2025-10-26</t>
  </si>
  <si>
    <t>ORD100721</t>
  </si>
  <si>
    <t>2025-08-20</t>
  </si>
  <si>
    <t>ORD100722</t>
  </si>
  <si>
    <t>ORD100723</t>
  </si>
  <si>
    <t>ORD100724</t>
  </si>
  <si>
    <t>ORD100725</t>
  </si>
  <si>
    <t>2024-11-05</t>
  </si>
  <si>
    <t>ORD100726</t>
  </si>
  <si>
    <t>2024-12-08</t>
  </si>
  <si>
    <t>Customer 184</t>
  </si>
  <si>
    <t>ORD100727</t>
  </si>
  <si>
    <t>2024-06-29</t>
  </si>
  <si>
    <t>ORD100728</t>
  </si>
  <si>
    <t>2025-07-01</t>
  </si>
  <si>
    <t>ORD100729</t>
  </si>
  <si>
    <t>2024-11-23</t>
  </si>
  <si>
    <t>ORD100730</t>
  </si>
  <si>
    <t>ORD100731</t>
  </si>
  <si>
    <t>2025-07-06</t>
  </si>
  <si>
    <t>ORD100732</t>
  </si>
  <si>
    <t>ORD100733</t>
  </si>
  <si>
    <t>ORD100734</t>
  </si>
  <si>
    <t>2024-05-31</t>
  </si>
  <si>
    <t>ORD100735</t>
  </si>
  <si>
    <t>ORD100736</t>
  </si>
  <si>
    <t>ORD100737</t>
  </si>
  <si>
    <t>2024-03-11</t>
  </si>
  <si>
    <t>ORD100738</t>
  </si>
  <si>
    <t>ORD100739</t>
  </si>
  <si>
    <t>ORD100740</t>
  </si>
  <si>
    <t>ORD100741</t>
  </si>
  <si>
    <t>ORD100742</t>
  </si>
  <si>
    <t>ORD100743</t>
  </si>
  <si>
    <t>2024-05-26</t>
  </si>
  <si>
    <t>ORD100744</t>
  </si>
  <si>
    <t>2024-01-18</t>
  </si>
  <si>
    <t>ORD100745</t>
  </si>
  <si>
    <t>2025-11-01</t>
  </si>
  <si>
    <t>ORD100746</t>
  </si>
  <si>
    <t>ORD100747</t>
  </si>
  <si>
    <t>ORD100748</t>
  </si>
  <si>
    <t>ORD100749</t>
  </si>
  <si>
    <t>ORD100750</t>
  </si>
  <si>
    <t>Customer 33</t>
  </si>
  <si>
    <t>ORD100751</t>
  </si>
  <si>
    <t>ORD100752</t>
  </si>
  <si>
    <t>ORD100753</t>
  </si>
  <si>
    <t>ORD100754</t>
  </si>
  <si>
    <t>Customer 146</t>
  </si>
  <si>
    <t>ORD100755</t>
  </si>
  <si>
    <t>ORD100756</t>
  </si>
  <si>
    <t>ORD100757</t>
  </si>
  <si>
    <t>2024-10-05</t>
  </si>
  <si>
    <t>ORD100758</t>
  </si>
  <si>
    <t>ORD100759</t>
  </si>
  <si>
    <t>ORD100760</t>
  </si>
  <si>
    <t>ORD100761</t>
  </si>
  <si>
    <t>ORD100762</t>
  </si>
  <si>
    <t>2025-07-09</t>
  </si>
  <si>
    <t>ORD100763</t>
  </si>
  <si>
    <t>2024-04-04</t>
  </si>
  <si>
    <t>ORD100764</t>
  </si>
  <si>
    <t>2024-03-09</t>
  </si>
  <si>
    <t>ORD100765</t>
  </si>
  <si>
    <t>ORD100766</t>
  </si>
  <si>
    <t>ORD100767</t>
  </si>
  <si>
    <t>ORD100768</t>
  </si>
  <si>
    <t>ORD100769</t>
  </si>
  <si>
    <t>2025-06-04</t>
  </si>
  <si>
    <t>ORD100770</t>
  </si>
  <si>
    <t>ORD100771</t>
  </si>
  <si>
    <t>ORD100772</t>
  </si>
  <si>
    <t>2024-02-22</t>
  </si>
  <si>
    <t>ORD100773</t>
  </si>
  <si>
    <t>2025-12-20</t>
  </si>
  <si>
    <t>ORD100774</t>
  </si>
  <si>
    <t>2025-12-07</t>
  </si>
  <si>
    <t>ORD100775</t>
  </si>
  <si>
    <t>ORD100776</t>
  </si>
  <si>
    <t>2024-06-17</t>
  </si>
  <si>
    <t>ORD100777</t>
  </si>
  <si>
    <t>2024-10-30</t>
  </si>
  <si>
    <t>ORD100778</t>
  </si>
  <si>
    <t>ORD100779</t>
  </si>
  <si>
    <t>ORD100780</t>
  </si>
  <si>
    <t>ORD100781</t>
  </si>
  <si>
    <t>ORD100782</t>
  </si>
  <si>
    <t>ORD100783</t>
  </si>
  <si>
    <t>2025-09-14</t>
  </si>
  <si>
    <t>ORD100784</t>
  </si>
  <si>
    <t>ORD100785</t>
  </si>
  <si>
    <t>ORD100786</t>
  </si>
  <si>
    <t>ORD100787</t>
  </si>
  <si>
    <t>2024-07-06</t>
  </si>
  <si>
    <t>ORD100788</t>
  </si>
  <si>
    <t>ORD100789</t>
  </si>
  <si>
    <t>ORD100790</t>
  </si>
  <si>
    <t>2024-03-02</t>
  </si>
  <si>
    <t>ORD100791</t>
  </si>
  <si>
    <t>ORD100792</t>
  </si>
  <si>
    <t>ORD100793</t>
  </si>
  <si>
    <t>ORD100794</t>
  </si>
  <si>
    <t>ORD100795</t>
  </si>
  <si>
    <t>2024-02-16</t>
  </si>
  <si>
    <t>ORD100796</t>
  </si>
  <si>
    <t>ORD100797</t>
  </si>
  <si>
    <t>2024-06-04</t>
  </si>
  <si>
    <t>ORD100798</t>
  </si>
  <si>
    <t>ORD100799</t>
  </si>
  <si>
    <t>ORD100800</t>
  </si>
  <si>
    <t>ORD100801</t>
  </si>
  <si>
    <t>ORD100802</t>
  </si>
  <si>
    <t>2024-09-04</t>
  </si>
  <si>
    <t>ORD100803</t>
  </si>
  <si>
    <t>ORD100804</t>
  </si>
  <si>
    <t>ORD100805</t>
  </si>
  <si>
    <t>2025-08-30</t>
  </si>
  <si>
    <t>ORD100806</t>
  </si>
  <si>
    <t>ORD100807</t>
  </si>
  <si>
    <t>ORD100808</t>
  </si>
  <si>
    <t>ORD100809</t>
  </si>
  <si>
    <t>2024-05-30</t>
  </si>
  <si>
    <t>ORD100810</t>
  </si>
  <si>
    <t>2025-10-23</t>
  </si>
  <si>
    <t>ORD100811</t>
  </si>
  <si>
    <t>ORD100812</t>
  </si>
  <si>
    <t>ORD100813</t>
  </si>
  <si>
    <t>ORD100814</t>
  </si>
  <si>
    <t>ORD100815</t>
  </si>
  <si>
    <t>2025-05-30</t>
  </si>
  <si>
    <t>ORD100816</t>
  </si>
  <si>
    <t>ORD100817</t>
  </si>
  <si>
    <t>ORD100818</t>
  </si>
  <si>
    <t>ORD100819</t>
  </si>
  <si>
    <t>2025-07-30</t>
  </si>
  <si>
    <t>ORD100820</t>
  </si>
  <si>
    <t>ORD100821</t>
  </si>
  <si>
    <t>ORD100822</t>
  </si>
  <si>
    <t>ORD100823</t>
  </si>
  <si>
    <t>ORD100824</t>
  </si>
  <si>
    <t>2024-01-01</t>
  </si>
  <si>
    <t>ORD100825</t>
  </si>
  <si>
    <t>ORD100826</t>
  </si>
  <si>
    <t>ORD100827</t>
  </si>
  <si>
    <t>2024-05-11</t>
  </si>
  <si>
    <t>ORD100828</t>
  </si>
  <si>
    <t>ORD100829</t>
  </si>
  <si>
    <t>ORD100830</t>
  </si>
  <si>
    <t>ORD100831</t>
  </si>
  <si>
    <t>2024-11-01</t>
  </si>
  <si>
    <t>ORD100832</t>
  </si>
  <si>
    <t>ORD100833</t>
  </si>
  <si>
    <t>2024-04-08</t>
  </si>
  <si>
    <t>ORD100834</t>
  </si>
  <si>
    <t>2024-12-01</t>
  </si>
  <si>
    <t>ORD100835</t>
  </si>
  <si>
    <t>ORD100836</t>
  </si>
  <si>
    <t>ORD100837</t>
  </si>
  <si>
    <t>ORD100838</t>
  </si>
  <si>
    <t>ORD100839</t>
  </si>
  <si>
    <t>ORD100840</t>
  </si>
  <si>
    <t>ORD100841</t>
  </si>
  <si>
    <t>ORD100842</t>
  </si>
  <si>
    <t>ORD100843</t>
  </si>
  <si>
    <t>2024-04-07</t>
  </si>
  <si>
    <t>ORD100844</t>
  </si>
  <si>
    <t>ORD100845</t>
  </si>
  <si>
    <t>ORD100846</t>
  </si>
  <si>
    <t>ORD100847</t>
  </si>
  <si>
    <t>2024-05-09</t>
  </si>
  <si>
    <t>ORD100848</t>
  </si>
  <si>
    <t>2024-08-05</t>
  </si>
  <si>
    <t>ORD100849</t>
  </si>
  <si>
    <t>ORD100850</t>
  </si>
  <si>
    <t>2024-01-22</t>
  </si>
  <si>
    <t>ORD100851</t>
  </si>
  <si>
    <t>ORD100852</t>
  </si>
  <si>
    <t>ORD100853</t>
  </si>
  <si>
    <t>ORD100854</t>
  </si>
  <si>
    <t>2025-02-21</t>
  </si>
  <si>
    <t>ORD100855</t>
  </si>
  <si>
    <t>Customer 82</t>
  </si>
  <si>
    <t>ORD100856</t>
  </si>
  <si>
    <t>ORD100857</t>
  </si>
  <si>
    <t>ORD100858</t>
  </si>
  <si>
    <t>2025-02-14</t>
  </si>
  <si>
    <t>ORD100859</t>
  </si>
  <si>
    <t>ORD100860</t>
  </si>
  <si>
    <t>2025-06-08</t>
  </si>
  <si>
    <t>ORD100861</t>
  </si>
  <si>
    <t>ORD100862</t>
  </si>
  <si>
    <t>ORD100863</t>
  </si>
  <si>
    <t>2024-04-02</t>
  </si>
  <si>
    <t>ORD100864</t>
  </si>
  <si>
    <t>2025-10-29</t>
  </si>
  <si>
    <t>ORD100865</t>
  </si>
  <si>
    <t>ORD100866</t>
  </si>
  <si>
    <t>ORD100867</t>
  </si>
  <si>
    <t>ORD100868</t>
  </si>
  <si>
    <t>ORD100869</t>
  </si>
  <si>
    <t>2025-09-01</t>
  </si>
  <si>
    <t>ORD100870</t>
  </si>
  <si>
    <t>ORD100871</t>
  </si>
  <si>
    <t>ORD100872</t>
  </si>
  <si>
    <t>2025-10-13</t>
  </si>
  <si>
    <t>ORD100873</t>
  </si>
  <si>
    <t>ORD100874</t>
  </si>
  <si>
    <t>ORD100875</t>
  </si>
  <si>
    <t>ORD100876</t>
  </si>
  <si>
    <t>ORD100877</t>
  </si>
  <si>
    <t>Customer 129</t>
  </si>
  <si>
    <t>ORD100878</t>
  </si>
  <si>
    <t>ORD100879</t>
  </si>
  <si>
    <t>ORD100880</t>
  </si>
  <si>
    <t>2025-08-28</t>
  </si>
  <si>
    <t>ORD100881</t>
  </si>
  <si>
    <t>2024-05-19</t>
  </si>
  <si>
    <t>ORD100882</t>
  </si>
  <si>
    <t>2025-11-07</t>
  </si>
  <si>
    <t>ORD100883</t>
  </si>
  <si>
    <t>2025-10-10</t>
  </si>
  <si>
    <t>ORD100884</t>
  </si>
  <si>
    <t>ORD100885</t>
  </si>
  <si>
    <t>ORD100886</t>
  </si>
  <si>
    <t>2024-08-19</t>
  </si>
  <si>
    <t>ORD100887</t>
  </si>
  <si>
    <t>2024-06-02</t>
  </si>
  <si>
    <t>ORD100888</t>
  </si>
  <si>
    <t>ORD100889</t>
  </si>
  <si>
    <t>ORD100890</t>
  </si>
  <si>
    <t>2024-11-25</t>
  </si>
  <si>
    <t>ORD100891</t>
  </si>
  <si>
    <t>ORD100892</t>
  </si>
  <si>
    <t>ORD100893</t>
  </si>
  <si>
    <t>ORD100894</t>
  </si>
  <si>
    <t>ORD100895</t>
  </si>
  <si>
    <t>ORD100896</t>
  </si>
  <si>
    <t>ORD100897</t>
  </si>
  <si>
    <t>ORD100898</t>
  </si>
  <si>
    <t>ORD100899</t>
  </si>
  <si>
    <t>2024-03-10</t>
  </si>
  <si>
    <t>ORD100900</t>
  </si>
  <si>
    <t>ORD100901</t>
  </si>
  <si>
    <t>ORD100902</t>
  </si>
  <si>
    <t>ORD100903</t>
  </si>
  <si>
    <t>ORD100904</t>
  </si>
  <si>
    <t>ORD100905</t>
  </si>
  <si>
    <t>ORD100906</t>
  </si>
  <si>
    <t>ORD100907</t>
  </si>
  <si>
    <t>ORD100908</t>
  </si>
  <si>
    <t>ORD100909</t>
  </si>
  <si>
    <t>ORD100910</t>
  </si>
  <si>
    <t>2024-08-16</t>
  </si>
  <si>
    <t>ORD100911</t>
  </si>
  <si>
    <t>ORD100912</t>
  </si>
  <si>
    <t>2024-11-26</t>
  </si>
  <si>
    <t>ORD100913</t>
  </si>
  <si>
    <t>2025-02-23</t>
  </si>
  <si>
    <t>ORD100914</t>
  </si>
  <si>
    <t>ORD100915</t>
  </si>
  <si>
    <t>ORD100916</t>
  </si>
  <si>
    <t>ORD100917</t>
  </si>
  <si>
    <t>ORD100918</t>
  </si>
  <si>
    <t>2025-04-18</t>
  </si>
  <si>
    <t>ORD100919</t>
  </si>
  <si>
    <t>ORD100920</t>
  </si>
  <si>
    <t>2024-05-10</t>
  </si>
  <si>
    <t>ORD100921</t>
  </si>
  <si>
    <t>ORD100922</t>
  </si>
  <si>
    <t>ORD100923</t>
  </si>
  <si>
    <t>2025-08-26</t>
  </si>
  <si>
    <t>ORD100924</t>
  </si>
  <si>
    <t>ORD100925</t>
  </si>
  <si>
    <t>ORD100926</t>
  </si>
  <si>
    <t>ORD100927</t>
  </si>
  <si>
    <t>ORD100928</t>
  </si>
  <si>
    <t>ORD100929</t>
  </si>
  <si>
    <t>2024-11-16</t>
  </si>
  <si>
    <t>ORD100930</t>
  </si>
  <si>
    <t>ORD100931</t>
  </si>
  <si>
    <t>2024-03-24</t>
  </si>
  <si>
    <t>ORD100932</t>
  </si>
  <si>
    <t>ORD100933</t>
  </si>
  <si>
    <t>ORD100934</t>
  </si>
  <si>
    <t>ORD100935</t>
  </si>
  <si>
    <t>2024-08-24</t>
  </si>
  <si>
    <t>ORD100936</t>
  </si>
  <si>
    <t>ORD100937</t>
  </si>
  <si>
    <t>ORD100938</t>
  </si>
  <si>
    <t>2024-04-20</t>
  </si>
  <si>
    <t>ORD100939</t>
  </si>
  <si>
    <t>ORD100940</t>
  </si>
  <si>
    <t>ORD100941</t>
  </si>
  <si>
    <t>ORD100942</t>
  </si>
  <si>
    <t>2024-05-03</t>
  </si>
  <si>
    <t>ORD100943</t>
  </si>
  <si>
    <t>ORD100944</t>
  </si>
  <si>
    <t>ORD100945</t>
  </si>
  <si>
    <t>2025-05-27</t>
  </si>
  <si>
    <t>ORD100946</t>
  </si>
  <si>
    <t>ORD100947</t>
  </si>
  <si>
    <t>ORD100948</t>
  </si>
  <si>
    <t>2025-04-19</t>
  </si>
  <si>
    <t>Customer 20</t>
  </si>
  <si>
    <t>ORD100949</t>
  </si>
  <si>
    <t>ORD100950</t>
  </si>
  <si>
    <t>ORD100951</t>
  </si>
  <si>
    <t>ORD100952</t>
  </si>
  <si>
    <t>ORD100953</t>
  </si>
  <si>
    <t>2025-03-03</t>
  </si>
  <si>
    <t>ORD100954</t>
  </si>
  <si>
    <t>ORD100955</t>
  </si>
  <si>
    <t>2024-06-30</t>
  </si>
  <si>
    <t>ORD100956</t>
  </si>
  <si>
    <t>ORD100957</t>
  </si>
  <si>
    <t>ORD100958</t>
  </si>
  <si>
    <t>ORD100959</t>
  </si>
  <si>
    <t>ORD100960</t>
  </si>
  <si>
    <t>ORD100961</t>
  </si>
  <si>
    <t>ORD100962</t>
  </si>
  <si>
    <t>2024-07-16</t>
  </si>
  <si>
    <t>ORD100963</t>
  </si>
  <si>
    <t>2024-05-14</t>
  </si>
  <si>
    <t>ORD100964</t>
  </si>
  <si>
    <t>ORD100965</t>
  </si>
  <si>
    <t>ORD100966</t>
  </si>
  <si>
    <t>ORD100967</t>
  </si>
  <si>
    <t>ORD100968</t>
  </si>
  <si>
    <t>ORD100969</t>
  </si>
  <si>
    <t>2025-01-22</t>
  </si>
  <si>
    <t>ORD100970</t>
  </si>
  <si>
    <t>2024-10-22</t>
  </si>
  <si>
    <t>ORD100971</t>
  </si>
  <si>
    <t>ORD100972</t>
  </si>
  <si>
    <t>ORD100973</t>
  </si>
  <si>
    <t>ORD100974</t>
  </si>
  <si>
    <t>ORD100975</t>
  </si>
  <si>
    <t>ORD100976</t>
  </si>
  <si>
    <t>2024-09-08</t>
  </si>
  <si>
    <t>ORD100977</t>
  </si>
  <si>
    <t>ORD100978</t>
  </si>
  <si>
    <t>ORD100979</t>
  </si>
  <si>
    <t>ORD100980</t>
  </si>
  <si>
    <t>2024-10-25</t>
  </si>
  <si>
    <t>ORD100981</t>
  </si>
  <si>
    <t>2025-07-31</t>
  </si>
  <si>
    <t>ORD100982</t>
  </si>
  <si>
    <t>ORD100983</t>
  </si>
  <si>
    <t>ORD100984</t>
  </si>
  <si>
    <t>ORD100985</t>
  </si>
  <si>
    <t>ORD100986</t>
  </si>
  <si>
    <t>2025-01-10</t>
  </si>
  <si>
    <t>ORD100987</t>
  </si>
  <si>
    <t>ORD100988</t>
  </si>
  <si>
    <t>ORD100989</t>
  </si>
  <si>
    <t>ORD100990</t>
  </si>
  <si>
    <t>ORD100991</t>
  </si>
  <si>
    <t>ORD100992</t>
  </si>
  <si>
    <t>ORD100993</t>
  </si>
  <si>
    <t>ORD100994</t>
  </si>
  <si>
    <t>ORD100995</t>
  </si>
  <si>
    <t>ORD100996</t>
  </si>
  <si>
    <t>ORD100997</t>
  </si>
  <si>
    <t>ORD100998</t>
  </si>
  <si>
    <t>ORD100999</t>
  </si>
  <si>
    <t>ORD101000</t>
  </si>
  <si>
    <t>2025-08-31</t>
  </si>
  <si>
    <t>ORD101001</t>
  </si>
  <si>
    <t>order_date_new</t>
  </si>
  <si>
    <t>year</t>
  </si>
  <si>
    <t>month</t>
  </si>
  <si>
    <t>month_name</t>
  </si>
  <si>
    <t>Discount Bucket</t>
  </si>
  <si>
    <t>Profit margin%</t>
  </si>
  <si>
    <t>KPI CARDS Total Sales
• Total Profit
• Orders
• Quantity
• Profit Margin
• Average Order Value</t>
  </si>
  <si>
    <t>Sum of Sales</t>
  </si>
  <si>
    <t>Count of Order ID</t>
  </si>
  <si>
    <t>Sum of Quantity</t>
  </si>
  <si>
    <t>Average of Profit margin%</t>
  </si>
  <si>
    <t>January</t>
  </si>
  <si>
    <t>February</t>
  </si>
  <si>
    <t>October</t>
  </si>
  <si>
    <t>March</t>
  </si>
  <si>
    <t>December</t>
  </si>
  <si>
    <t>September</t>
  </si>
  <si>
    <t>July</t>
  </si>
  <si>
    <t>May</t>
  </si>
  <si>
    <t>April</t>
  </si>
  <si>
    <t>June</t>
  </si>
  <si>
    <t>November</t>
  </si>
  <si>
    <t>August</t>
  </si>
  <si>
    <t>Avg order value</t>
  </si>
  <si>
    <t>KPI Cards</t>
  </si>
  <si>
    <t>Monthly Sales Trend (Line)
• Monthly Profit Trend (Line)
• Sales by Region (Bar)
• Profit by Category (Column)
• Sales by Segment (Donut)
• Top 10 Products (Bar)
• Top 10 Customers (Bar)
• Salesperson Performance (Column)
• Discount vs Profit (Scatter)
• Pareto Chart (Combo</t>
  </si>
  <si>
    <t>Row Labels</t>
  </si>
  <si>
    <t>Grand Total</t>
  </si>
  <si>
    <t>Sum of Profit</t>
  </si>
  <si>
    <t xml:space="preserve">Running total </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</si>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</sst>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Calibri"/>
      <family val="2"/>
      <scheme val="minor"/>
    </font>
    <font>
      <sz val="11"/>
      <color theme="1"/>
      <name val="Calibri"/>
      <family val="2"/>
      <scheme val="minor"/>
    </font>
    <font>
      <b/>
      <sz val="11.5"/>
      <color theme="1"/>
      <name val="Calibri"/>
      <family val="2"/>
      <scheme val="minor"/>
    </font>
    <font>
      <b/>
      <sz val="20"/>
      <color theme="1"/>
      <name val="Calibri"/>
      <family val="2"/>
      <scheme val="minor"/>
    </font>
    <font>
      <b/>
      <sz val="18"/>
      <color theme="6" tint="-0.249977111117893"/>
      <name val="Calibri"/>
      <family val="2"/>
      <scheme val="minor"/>
    </font>
    <font>
      <b/>
      <sz val="24"/>
      <color theme="6" tint="-0.249977111117893"/>
      <name val="Calibri"/>
      <family val="2"/>
      <scheme val="minor"/>
    </font>
    <font>
      <b/>
      <sz val="22"/>
      <color theme="1"/>
      <name val="Calibri"/>
      <family val="2"/>
      <scheme val="minor"/>
    </font>
    <font>
      <b/>
      <sz val="26"/>
      <color theme="1"/>
      <name val="Calibri"/>
      <family val="2"/>
      <scheme val="minor"/>
    </font>
  </fonts>
  <fills count="5">
    <fill>
      <patternFill patternType="none"/>
    </fill>
    <fill>
      <patternFill patternType="gray125"/>
    </fill>
    <fill>
      <patternFill patternType="solid">
        <fgColor theme="3" tint="0.79998168889431442"/>
        <bgColor indexed="64"/>
      </patternFill>
    </fill>
    <fill>
      <patternFill patternType="solid">
        <fgColor theme="4" tint="0.79998168889431442"/>
        <bgColor indexed="64"/>
      </patternFill>
    </fill>
    <fill>
      <patternFill patternType="solid">
        <fgColor theme="9" tint="0.7999816888943144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7">
    <xf numFmtId="0" fontId="0" fillId="0" borderId="0" xfId="0"/>
    <xf numFmtId="9" fontId="0" fillId="0" borderId="0" xfId="1" applyFont="1"/>
    <xf numFmtId="0" fontId="0" fillId="2" borderId="0" xfId="0" applyFill="1"/>
    <xf numFmtId="9" fontId="0" fillId="0" borderId="0" xfId="0" applyNumberFormat="1"/>
    <xf numFmtId="0" fontId="2" fillId="3" borderId="0" xfId="0" applyFont="1" applyFill="1"/>
    <xf numFmtId="0" fontId="0" fillId="0" borderId="0" xfId="0" pivotButton="1"/>
    <xf numFmtId="0" fontId="0" fillId="0" borderId="0" xfId="0" applyAlignment="1">
      <alignment horizontal="left"/>
    </xf>
    <xf numFmtId="9" fontId="5" fillId="4" borderId="0" xfId="1" applyFont="1" applyFill="1" applyAlignment="1">
      <alignment horizontal="center"/>
    </xf>
    <xf numFmtId="164" fontId="4" fillId="4" borderId="0" xfId="0" applyNumberFormat="1" applyFont="1" applyFill="1" applyAlignment="1">
      <alignment horizontal="center"/>
    </xf>
    <xf numFmtId="164" fontId="3" fillId="4" borderId="0" xfId="0" applyNumberFormat="1" applyFont="1" applyFill="1" applyAlignment="1">
      <alignment horizontal="center"/>
    </xf>
    <xf numFmtId="1" fontId="7" fillId="4" borderId="0" xfId="0" applyNumberFormat="1" applyFont="1" applyFill="1" applyAlignment="1">
      <alignment horizontal="center"/>
    </xf>
    <xf numFmtId="0" fontId="5" fillId="4" borderId="0" xfId="0" applyFont="1" applyFill="1" applyAlignment="1">
      <alignment horizontal="center"/>
    </xf>
    <xf numFmtId="0" fontId="6" fillId="4" borderId="0" xfId="0" applyFont="1" applyFill="1" applyAlignment="1">
      <alignment horizontal="center"/>
    </xf>
    <xf numFmtId="0" fontId="0" fillId="0" borderId="0" xfId="0" applyAlignment="1">
      <alignment horizontal="center" wrapText="1"/>
    </xf>
    <xf numFmtId="0" fontId="0" fillId="0" borderId="0" xfId="0" applyAlignment="1">
      <alignment horizontal="center"/>
    </xf>
    <xf numFmtId="0" fontId="0" fillId="0" borderId="0" xfId="0" applyAlignment="1">
      <alignment horizontal="center" vertical="center" wrapText="1"/>
    </xf>
    <xf numFmtId="0" fontId="0" fillId="0" borderId="0" xfId="0" applyAlignment="1">
      <alignment horizontal="center" vertical="center"/>
    </xf>
  </cellXfs>
  <cellStyles count="2">
    <cellStyle name="Normal" xfId="0" builtinId="0"/>
    <cellStyle name="Percent" xfId="1" builtinId="5"/>
  </cellStyles>
  <dxfs count="3">
    <dxf>
      <numFmt numFmtId="0" formatCode="General"/>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microsoft.com/office/2007/relationships/slicerCache" Target="slicerCaches/slicerCache7.xml"/><Relationship Id="rId5" Type="http://schemas.microsoft.com/office/2007/relationships/slicerCache" Target="slicerCaches/slicerCache1.xml"/><Relationship Id="rId15" Type="http://schemas.openxmlformats.org/officeDocument/2006/relationships/calcChain" Target="calcChain.xml"/><Relationship Id="rId10" Type="http://schemas.microsoft.com/office/2007/relationships/slicerCache" Target="slicerCaches/slicerCache6.xml"/><Relationship Id="rId4" Type="http://schemas.openxmlformats.org/officeDocument/2006/relationships/pivotCacheDefinition" Target="pivotCache/pivotCacheDefinition1.xml"/><Relationship Id="rId9" Type="http://schemas.microsoft.com/office/2007/relationships/slicerCache" Target="slicerCaches/slicerCache5.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[AI_Assisted_sales_dashboard_excel_.xlsx]Sheet1!PivotTable2</c:name>
    <c:fmtId val="0"/>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Sheet1!$A$17:$A$29</c:f>
              <c:strCache>
                <c:ptCount val="12"/>
                <c:pt idx="0">
                  <c:v>March</c:v>
                </c:pt>
                <c:pt idx="1">
                  <c:v>January</c:v>
                </c:pt>
                <c:pt idx="2">
                  <c:v>July</c:v>
                </c:pt>
                <c:pt idx="3">
                  <c:v>September</c:v>
                </c:pt>
                <c:pt idx="4">
                  <c:v>August</c:v>
                </c:pt>
                <c:pt idx="5">
                  <c:v>April</c:v>
                </c:pt>
                <c:pt idx="6">
                  <c:v>December</c:v>
                </c:pt>
                <c:pt idx="7">
                  <c:v>October</c:v>
                </c:pt>
                <c:pt idx="8">
                  <c:v>May</c:v>
                </c:pt>
                <c:pt idx="9">
                  <c:v>November</c:v>
                </c:pt>
                <c:pt idx="10">
                  <c:v>June</c:v>
                </c:pt>
                <c:pt idx="11">
                  <c:v>February</c:v>
                </c:pt>
              </c:strCache>
            </c:strRef>
          </c:cat>
          <c:val>
            <c:numRef>
              <c:f>Sheet1!$B$17:$B$29</c:f>
              <c:numCache>
                <c:formatCode>General</c:formatCode>
                <c:ptCount val="12"/>
                <c:pt idx="0">
                  <c:v>74572.570000000007</c:v>
                </c:pt>
                <c:pt idx="1">
                  <c:v>38708.35</c:v>
                </c:pt>
                <c:pt idx="2">
                  <c:v>37760.219999999994</c:v>
                </c:pt>
                <c:pt idx="3">
                  <c:v>35293.360000000001</c:v>
                </c:pt>
                <c:pt idx="4">
                  <c:v>29950.800000000003</c:v>
                </c:pt>
                <c:pt idx="5">
                  <c:v>27424.12</c:v>
                </c:pt>
                <c:pt idx="6">
                  <c:v>19015.849999999999</c:v>
                </c:pt>
                <c:pt idx="7">
                  <c:v>15954.68</c:v>
                </c:pt>
                <c:pt idx="8">
                  <c:v>15478.75</c:v>
                </c:pt>
                <c:pt idx="9">
                  <c:v>12968.55</c:v>
                </c:pt>
                <c:pt idx="10">
                  <c:v>12168.48</c:v>
                </c:pt>
                <c:pt idx="11">
                  <c:v>10217.77</c:v>
                </c:pt>
              </c:numCache>
            </c:numRef>
          </c:val>
          <c:smooth val="0"/>
          <c:extLst>
            <c:ext xmlns:c16="http://schemas.microsoft.com/office/drawing/2014/chart" uri="{C3380CC4-5D6E-409C-BE32-E72D297353CC}">
              <c16:uniqueId val="{00000000-0302-431A-9E76-609FF5B3D611}"/>
            </c:ext>
          </c:extLst>
        </c:ser>
        <c:ser>
          <c:idx val="1"/>
          <c:order val="1"/>
          <c:tx>
            <c:strRef>
              <c:f>Sheet1!$C$16</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Sheet1!$A$17:$A$29</c:f>
              <c:strCache>
                <c:ptCount val="12"/>
                <c:pt idx="0">
                  <c:v>March</c:v>
                </c:pt>
                <c:pt idx="1">
                  <c:v>January</c:v>
                </c:pt>
                <c:pt idx="2">
                  <c:v>July</c:v>
                </c:pt>
                <c:pt idx="3">
                  <c:v>September</c:v>
                </c:pt>
                <c:pt idx="4">
                  <c:v>August</c:v>
                </c:pt>
                <c:pt idx="5">
                  <c:v>April</c:v>
                </c:pt>
                <c:pt idx="6">
                  <c:v>December</c:v>
                </c:pt>
                <c:pt idx="7">
                  <c:v>October</c:v>
                </c:pt>
                <c:pt idx="8">
                  <c:v>May</c:v>
                </c:pt>
                <c:pt idx="9">
                  <c:v>November</c:v>
                </c:pt>
                <c:pt idx="10">
                  <c:v>June</c:v>
                </c:pt>
                <c:pt idx="11">
                  <c:v>February</c:v>
                </c:pt>
              </c:strCache>
            </c:strRef>
          </c:cat>
          <c:val>
            <c:numRef>
              <c:f>Sheet1!$C$17:$C$29</c:f>
              <c:numCache>
                <c:formatCode>General</c:formatCode>
                <c:ptCount val="12"/>
                <c:pt idx="0">
                  <c:v>11122.750000000002</c:v>
                </c:pt>
                <c:pt idx="1">
                  <c:v>5955.5300000000007</c:v>
                </c:pt>
                <c:pt idx="2">
                  <c:v>4396.3500000000004</c:v>
                </c:pt>
                <c:pt idx="3">
                  <c:v>4047.7499999999991</c:v>
                </c:pt>
                <c:pt idx="4">
                  <c:v>3758.2</c:v>
                </c:pt>
                <c:pt idx="5">
                  <c:v>2854.6699999999996</c:v>
                </c:pt>
                <c:pt idx="6">
                  <c:v>1445.02</c:v>
                </c:pt>
                <c:pt idx="7">
                  <c:v>2817.24</c:v>
                </c:pt>
                <c:pt idx="8">
                  <c:v>390.38</c:v>
                </c:pt>
                <c:pt idx="9">
                  <c:v>1157.0999999999999</c:v>
                </c:pt>
                <c:pt idx="10">
                  <c:v>3981.5</c:v>
                </c:pt>
                <c:pt idx="11">
                  <c:v>1591.6899999999998</c:v>
                </c:pt>
              </c:numCache>
            </c:numRef>
          </c:val>
          <c:smooth val="0"/>
          <c:extLst>
            <c:ext xmlns:c16="http://schemas.microsoft.com/office/drawing/2014/chart" uri="{C3380CC4-5D6E-409C-BE32-E72D297353CC}">
              <c16:uniqueId val="{00000001-0302-431A-9E76-609FF5B3D611}"/>
            </c:ext>
          </c:extLst>
        </c:ser>
        <c:dLbls>
          <c:showLegendKey val="0"/>
          <c:showVal val="0"/>
          <c:showCatName val="0"/>
          <c:showSerName val="0"/>
          <c:showPercent val="0"/>
          <c:showBubbleSize val="0"/>
        </c:dLbls>
        <c:marker val="1"/>
        <c:smooth val="0"/>
        <c:axId val="1244675760"/>
        <c:axId val="1244676240"/>
      </c:lineChart>
      <c:catAx>
        <c:axId val="1244675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76240"/>
        <c:crosses val="autoZero"/>
        <c:auto val="1"/>
        <c:lblAlgn val="ctr"/>
        <c:lblOffset val="100"/>
        <c:noMultiLvlLbl val="0"/>
      </c:catAx>
      <c:valAx>
        <c:axId val="12446762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Sheet1!$B$41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FA-4484-A70E-76E12FD52BC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FA-4484-A70E-76E12FD52BC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FA-4484-A70E-76E12FD52BCC}"/>
              </c:ext>
            </c:extLst>
          </c:dPt>
          <c:cat>
            <c:strRef>
              <c:f>Sheet1!$A$42:$A$45</c:f>
              <c:strCache>
                <c:ptCount val="3"/>
                <c:pt idx="0">
                  <c:v>West</c:v>
                </c:pt>
                <c:pt idx="1">
                  <c:v>North</c:v>
                </c:pt>
                <c:pt idx="2">
                  <c:v>East</c:v>
                </c:pt>
              </c:strCache>
            </c:strRef>
          </c:cat>
          <c:val>
            <c:numRef>
              <c:f>Sheet1!$B$42:$B$45</c:f>
              <c:numCache>
                <c:formatCode>General</c:formatCode>
                <c:ptCount val="3"/>
                <c:pt idx="0">
                  <c:v>118999.80000000002</c:v>
                </c:pt>
                <c:pt idx="1">
                  <c:v>112921.44</c:v>
                </c:pt>
                <c:pt idx="2">
                  <c:v>97592.25999999998</c:v>
                </c:pt>
              </c:numCache>
            </c:numRef>
          </c:val>
          <c:extLst>
            <c:ext xmlns:c16="http://schemas.microsoft.com/office/drawing/2014/chart" uri="{C3380CC4-5D6E-409C-BE32-E72D297353CC}">
              <c16:uniqueId val="{00000000-C01C-480C-9098-FB1943DC5F2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Total</c:v>
                </c:pt>
              </c:strCache>
            </c:strRef>
          </c:tx>
          <c:spPr>
            <a:solidFill>
              <a:schemeClr val="accent1"/>
            </a:solidFill>
            <a:ln>
              <a:noFill/>
            </a:ln>
            <a:effectLst/>
          </c:spPr>
          <c:invertIfNegative val="0"/>
          <c:cat>
            <c:strRef>
              <c:f>Sheet1!$A$51:$A$54</c:f>
              <c:strCache>
                <c:ptCount val="3"/>
                <c:pt idx="0">
                  <c:v>Technology</c:v>
                </c:pt>
                <c:pt idx="1">
                  <c:v>Furniture</c:v>
                </c:pt>
                <c:pt idx="2">
                  <c:v>Office Supplies</c:v>
                </c:pt>
              </c:strCache>
            </c:strRef>
          </c:cat>
          <c:val>
            <c:numRef>
              <c:f>Sheet1!$B$51:$B$54</c:f>
              <c:numCache>
                <c:formatCode>General</c:formatCode>
                <c:ptCount val="3"/>
                <c:pt idx="0">
                  <c:v>17955.629999999997</c:v>
                </c:pt>
                <c:pt idx="1">
                  <c:v>13106.809999999998</c:v>
                </c:pt>
                <c:pt idx="2">
                  <c:v>12455.74</c:v>
                </c:pt>
              </c:numCache>
            </c:numRef>
          </c:val>
          <c:extLst>
            <c:ext xmlns:c16="http://schemas.microsoft.com/office/drawing/2014/chart" uri="{C3380CC4-5D6E-409C-BE32-E72D297353CC}">
              <c16:uniqueId val="{00000000-1523-4CF3-B1C6-5EB906E71657}"/>
            </c:ext>
          </c:extLst>
        </c:ser>
        <c:dLbls>
          <c:showLegendKey val="0"/>
          <c:showVal val="0"/>
          <c:showCatName val="0"/>
          <c:showSerName val="0"/>
          <c:showPercent val="0"/>
          <c:showBubbleSize val="0"/>
        </c:dLbls>
        <c:gapWidth val="219"/>
        <c:overlap val="-27"/>
        <c:axId val="1244658960"/>
        <c:axId val="1244667600"/>
      </c:barChart>
      <c:catAx>
        <c:axId val="12446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67600"/>
        <c:crosses val="autoZero"/>
        <c:auto val="1"/>
        <c:lblAlgn val="ctr"/>
        <c:lblOffset val="100"/>
        <c:noMultiLvlLbl val="0"/>
      </c:catAx>
      <c:valAx>
        <c:axId val="12446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Sheet1!$B$59</c:f>
              <c:strCache>
                <c:ptCount val="1"/>
                <c:pt idx="0">
                  <c:v>Total</c:v>
                </c:pt>
              </c:strCache>
            </c:strRef>
          </c:tx>
          <c:spPr>
            <a:solidFill>
              <a:schemeClr val="accent1"/>
            </a:solidFill>
            <a:ln>
              <a:noFill/>
            </a:ln>
            <a:effectLst/>
          </c:spPr>
          <c:invertIfNegative val="0"/>
          <c:cat>
            <c:strRef>
              <c:f>Sheet1!$A$60:$A$64</c:f>
              <c:strCache>
                <c:ptCount val="4"/>
                <c:pt idx="0">
                  <c:v>Consumer</c:v>
                </c:pt>
                <c:pt idx="1">
                  <c:v>Corporate</c:v>
                </c:pt>
                <c:pt idx="2">
                  <c:v>Home Office</c:v>
                </c:pt>
                <c:pt idx="3">
                  <c:v>Small Business</c:v>
                </c:pt>
              </c:strCache>
            </c:strRef>
          </c:cat>
          <c:val>
            <c:numRef>
              <c:f>Sheet1!$B$60:$B$64</c:f>
              <c:numCache>
                <c:formatCode>General</c:formatCode>
                <c:ptCount val="4"/>
                <c:pt idx="0">
                  <c:v>106760.29999999999</c:v>
                </c:pt>
                <c:pt idx="1">
                  <c:v>97646.810000000027</c:v>
                </c:pt>
                <c:pt idx="2">
                  <c:v>62873.429999999993</c:v>
                </c:pt>
                <c:pt idx="3">
                  <c:v>62232.959999999999</c:v>
                </c:pt>
              </c:numCache>
            </c:numRef>
          </c:val>
          <c:extLst>
            <c:ext xmlns:c16="http://schemas.microsoft.com/office/drawing/2014/chart" uri="{C3380CC4-5D6E-409C-BE32-E72D297353CC}">
              <c16:uniqueId val="{00000000-990B-4625-B2BC-E8C42303BB1A}"/>
            </c:ext>
          </c:extLst>
        </c:ser>
        <c:dLbls>
          <c:showLegendKey val="0"/>
          <c:showVal val="0"/>
          <c:showCatName val="0"/>
          <c:showSerName val="0"/>
          <c:showPercent val="0"/>
          <c:showBubbleSize val="0"/>
        </c:dLbls>
        <c:gapWidth val="182"/>
        <c:axId val="1851490000"/>
        <c:axId val="1851490480"/>
      </c:barChart>
      <c:catAx>
        <c:axId val="18514900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490480"/>
        <c:crosses val="autoZero"/>
        <c:auto val="1"/>
        <c:lblAlgn val="ctr"/>
        <c:lblOffset val="100"/>
        <c:noMultiLvlLbl val="0"/>
      </c:catAx>
      <c:valAx>
        <c:axId val="1851490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4900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Sheet1!$B$70</c:f>
              <c:strCache>
                <c:ptCount val="1"/>
                <c:pt idx="0">
                  <c:v>Total</c:v>
                </c:pt>
              </c:strCache>
            </c:strRef>
          </c:tx>
          <c:spPr>
            <a:solidFill>
              <a:schemeClr val="accent1"/>
            </a:solidFill>
            <a:ln>
              <a:noFill/>
            </a:ln>
            <a:effectLst/>
          </c:spPr>
          <c:invertIfNegative val="0"/>
          <c:cat>
            <c:strRef>
              <c:f>Sheet1!$A$71:$A$81</c:f>
              <c:strCache>
                <c:ptCount val="10"/>
                <c:pt idx="0">
                  <c:v>Sticky Notes</c:v>
                </c:pt>
                <c:pt idx="1">
                  <c:v>Headset</c:v>
                </c:pt>
                <c:pt idx="2">
                  <c:v>Office Chair</c:v>
                </c:pt>
                <c:pt idx="3">
                  <c:v>Desk Phone</c:v>
                </c:pt>
                <c:pt idx="4">
                  <c:v>Pen Pack</c:v>
                </c:pt>
                <c:pt idx="5">
                  <c:v>Conference Table</c:v>
                </c:pt>
                <c:pt idx="6">
                  <c:v>Webcam</c:v>
                </c:pt>
                <c:pt idx="7">
                  <c:v>Marker Set</c:v>
                </c:pt>
                <c:pt idx="8">
                  <c:v>Drawer Unit</c:v>
                </c:pt>
                <c:pt idx="9">
                  <c:v>Desktop</c:v>
                </c:pt>
              </c:strCache>
            </c:strRef>
          </c:cat>
          <c:val>
            <c:numRef>
              <c:f>Sheet1!$B$71:$B$81</c:f>
              <c:numCache>
                <c:formatCode>General</c:formatCode>
                <c:ptCount val="10"/>
                <c:pt idx="0">
                  <c:v>22356.15</c:v>
                </c:pt>
                <c:pt idx="1">
                  <c:v>21802.05</c:v>
                </c:pt>
                <c:pt idx="2">
                  <c:v>21407.589999999997</c:v>
                </c:pt>
                <c:pt idx="3">
                  <c:v>19727.68</c:v>
                </c:pt>
                <c:pt idx="4">
                  <c:v>19338.38</c:v>
                </c:pt>
                <c:pt idx="5">
                  <c:v>19327.849999999999</c:v>
                </c:pt>
                <c:pt idx="6">
                  <c:v>18470.510000000002</c:v>
                </c:pt>
                <c:pt idx="7">
                  <c:v>18150.07</c:v>
                </c:pt>
                <c:pt idx="8">
                  <c:v>17379.910000000003</c:v>
                </c:pt>
                <c:pt idx="9">
                  <c:v>15685.53</c:v>
                </c:pt>
              </c:numCache>
            </c:numRef>
          </c:val>
          <c:extLst>
            <c:ext xmlns:c16="http://schemas.microsoft.com/office/drawing/2014/chart" uri="{C3380CC4-5D6E-409C-BE32-E72D297353CC}">
              <c16:uniqueId val="{00000000-E152-452D-8FA2-7515AB5FFC6B}"/>
            </c:ext>
          </c:extLst>
        </c:ser>
        <c:dLbls>
          <c:showLegendKey val="0"/>
          <c:showVal val="0"/>
          <c:showCatName val="0"/>
          <c:showSerName val="0"/>
          <c:showPercent val="0"/>
          <c:showBubbleSize val="0"/>
        </c:dLbls>
        <c:gapWidth val="219"/>
        <c:overlap val="-27"/>
        <c:axId val="1851503920"/>
        <c:axId val="1851504400"/>
      </c:barChart>
      <c:catAx>
        <c:axId val="1851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4400"/>
        <c:crosses val="autoZero"/>
        <c:auto val="1"/>
        <c:lblAlgn val="ctr"/>
        <c:lblOffset val="100"/>
        <c:noMultiLvlLbl val="0"/>
      </c:catAx>
      <c:valAx>
        <c:axId val="1851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Sheet1!$B$86</c:f>
              <c:strCache>
                <c:ptCount val="1"/>
                <c:pt idx="0">
                  <c:v>Total</c:v>
                </c:pt>
              </c:strCache>
            </c:strRef>
          </c:tx>
          <c:spPr>
            <a:solidFill>
              <a:schemeClr val="accent1"/>
            </a:solidFill>
            <a:ln>
              <a:noFill/>
            </a:ln>
            <a:effectLst/>
          </c:spPr>
          <c:invertIfNegative val="0"/>
          <c:cat>
            <c:strRef>
              <c:f>Sheet1!$A$87:$A$97</c:f>
              <c:strCache>
                <c:ptCount val="10"/>
                <c:pt idx="0">
                  <c:v>Customer 6</c:v>
                </c:pt>
                <c:pt idx="1">
                  <c:v>Customer 162</c:v>
                </c:pt>
                <c:pt idx="2">
                  <c:v>Customer 17</c:v>
                </c:pt>
                <c:pt idx="3">
                  <c:v>Customer 97</c:v>
                </c:pt>
                <c:pt idx="4">
                  <c:v>Customer 90</c:v>
                </c:pt>
                <c:pt idx="5">
                  <c:v>Customer 47</c:v>
                </c:pt>
                <c:pt idx="6">
                  <c:v>Customer 2</c:v>
                </c:pt>
                <c:pt idx="7">
                  <c:v>Customer 83</c:v>
                </c:pt>
                <c:pt idx="8">
                  <c:v>Customer 161</c:v>
                </c:pt>
                <c:pt idx="9">
                  <c:v>Customer 149</c:v>
                </c:pt>
              </c:strCache>
            </c:strRef>
          </c:cat>
          <c:val>
            <c:numRef>
              <c:f>Sheet1!$B$87:$B$97</c:f>
              <c:numCache>
                <c:formatCode>General</c:formatCode>
                <c:ptCount val="10"/>
                <c:pt idx="0">
                  <c:v>14125.939999999999</c:v>
                </c:pt>
                <c:pt idx="1">
                  <c:v>13708.99</c:v>
                </c:pt>
                <c:pt idx="2">
                  <c:v>13291.46</c:v>
                </c:pt>
                <c:pt idx="3">
                  <c:v>12517.07</c:v>
                </c:pt>
                <c:pt idx="4">
                  <c:v>11943.3</c:v>
                </c:pt>
                <c:pt idx="5">
                  <c:v>11554.6</c:v>
                </c:pt>
                <c:pt idx="6">
                  <c:v>10359.74</c:v>
                </c:pt>
                <c:pt idx="7">
                  <c:v>10217.5</c:v>
                </c:pt>
                <c:pt idx="8">
                  <c:v>10145.290000000001</c:v>
                </c:pt>
                <c:pt idx="9">
                  <c:v>7943.11</c:v>
                </c:pt>
              </c:numCache>
            </c:numRef>
          </c:val>
          <c:extLst>
            <c:ext xmlns:c16="http://schemas.microsoft.com/office/drawing/2014/chart" uri="{C3380CC4-5D6E-409C-BE32-E72D297353CC}">
              <c16:uniqueId val="{00000000-1518-4A80-8AE1-1903E82DA722}"/>
            </c:ext>
          </c:extLst>
        </c:ser>
        <c:dLbls>
          <c:showLegendKey val="0"/>
          <c:showVal val="0"/>
          <c:showCatName val="0"/>
          <c:showSerName val="0"/>
          <c:showPercent val="0"/>
          <c:showBubbleSize val="0"/>
        </c:dLbls>
        <c:gapWidth val="182"/>
        <c:axId val="1858335072"/>
        <c:axId val="1858336992"/>
      </c:barChart>
      <c:catAx>
        <c:axId val="18583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6992"/>
        <c:crosses val="autoZero"/>
        <c:auto val="1"/>
        <c:lblAlgn val="ctr"/>
        <c:lblOffset val="100"/>
        <c:noMultiLvlLbl val="0"/>
      </c:catAx>
      <c:valAx>
        <c:axId val="18583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Sheet1!$B$105</c:f>
              <c:strCache>
                <c:ptCount val="1"/>
                <c:pt idx="0">
                  <c:v>Total</c:v>
                </c:pt>
              </c:strCache>
            </c:strRef>
          </c:tx>
          <c:spPr>
            <a:solidFill>
              <a:schemeClr val="accent1"/>
            </a:solidFill>
            <a:ln>
              <a:noFill/>
            </a:ln>
            <a:effectLst/>
          </c:spPr>
          <c:invertIfNegative val="0"/>
          <c:cat>
            <c:strRef>
              <c:f>Sheet1!$A$106:$A$111</c:f>
              <c:strCache>
                <c:ptCount val="5"/>
                <c:pt idx="0">
                  <c:v>Pooja</c:v>
                </c:pt>
                <c:pt idx="1">
                  <c:v>Neha</c:v>
                </c:pt>
                <c:pt idx="2">
                  <c:v>Amit</c:v>
                </c:pt>
                <c:pt idx="3">
                  <c:v>Anjali</c:v>
                </c:pt>
                <c:pt idx="4">
                  <c:v>Karan</c:v>
                </c:pt>
              </c:strCache>
            </c:strRef>
          </c:cat>
          <c:val>
            <c:numRef>
              <c:f>Sheet1!$B$106:$B$111</c:f>
              <c:numCache>
                <c:formatCode>General</c:formatCode>
                <c:ptCount val="5"/>
                <c:pt idx="0">
                  <c:v>100529.95</c:v>
                </c:pt>
                <c:pt idx="1">
                  <c:v>73412.27</c:v>
                </c:pt>
                <c:pt idx="2">
                  <c:v>53205.530000000006</c:v>
                </c:pt>
                <c:pt idx="3">
                  <c:v>52913.66</c:v>
                </c:pt>
                <c:pt idx="4">
                  <c:v>49452.09</c:v>
                </c:pt>
              </c:numCache>
            </c:numRef>
          </c:val>
          <c:extLst>
            <c:ext xmlns:c16="http://schemas.microsoft.com/office/drawing/2014/chart" uri="{C3380CC4-5D6E-409C-BE32-E72D297353CC}">
              <c16:uniqueId val="{00000000-33D2-4098-8919-CB416CA9AF1D}"/>
            </c:ext>
          </c:extLst>
        </c:ser>
        <c:dLbls>
          <c:showLegendKey val="0"/>
          <c:showVal val="0"/>
          <c:showCatName val="0"/>
          <c:showSerName val="0"/>
          <c:showPercent val="0"/>
          <c:showBubbleSize val="0"/>
        </c:dLbls>
        <c:gapWidth val="219"/>
        <c:overlap val="-27"/>
        <c:axId val="1849625376"/>
        <c:axId val="1849625856"/>
      </c:barChart>
      <c:catAx>
        <c:axId val="18496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25856"/>
        <c:crosses val="autoZero"/>
        <c:auto val="1"/>
        <c:lblAlgn val="ctr"/>
        <c:lblOffset val="100"/>
        <c:noMultiLvlLbl val="0"/>
      </c:catAx>
      <c:valAx>
        <c:axId val="184962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496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[AI_Assisted_sales_dashboard_excel_.xlsx]Sheet1!PivotTable2</c:name>
    <c:fmtId val="3"/>
  </c:pivotSource>
  <c:chart>
    <c:title>
      <c:tx>
        <c:rich>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r>
              <a:rPr lang="en-IN"/>
              <a:t>Monthly Sales/Profit</a:t>
            </a:r>
            <a:r>
              <a:rPr lang="en-IN" baseline="0"/>
              <a:t> Trends </a:t>
            </a:r>
            <a:endParaRPr lang="en-IN"/>
          </a:p>
        </c:rich>
      </c:tx>
      <c:layout>
        <c:manualLayout>
          <c:xMode val="edge"/>
          <c:yMode val="edge"/>
          <c:x val="4.8986001749781294E-2"/>
          <c:y val="3.2407407407407406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dk1"/>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Sheet1!$B$16</c:f>
              <c:strCache>
                <c:ptCount val="1"/>
                <c:pt idx="0">
                  <c:v>Sum of Sales</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Sheet1!$A$17:$A$29</c:f>
              <c:strCache>
                <c:ptCount val="12"/>
                <c:pt idx="0">
                  <c:v>March</c:v>
                </c:pt>
                <c:pt idx="1">
                  <c:v>January</c:v>
                </c:pt>
                <c:pt idx="2">
                  <c:v>July</c:v>
                </c:pt>
                <c:pt idx="3">
                  <c:v>September</c:v>
                </c:pt>
                <c:pt idx="4">
                  <c:v>August</c:v>
                </c:pt>
                <c:pt idx="5">
                  <c:v>April</c:v>
                </c:pt>
                <c:pt idx="6">
                  <c:v>December</c:v>
                </c:pt>
                <c:pt idx="7">
                  <c:v>October</c:v>
                </c:pt>
                <c:pt idx="8">
                  <c:v>May</c:v>
                </c:pt>
                <c:pt idx="9">
                  <c:v>November</c:v>
                </c:pt>
                <c:pt idx="10">
                  <c:v>June</c:v>
                </c:pt>
                <c:pt idx="11">
                  <c:v>February</c:v>
                </c:pt>
              </c:strCache>
            </c:strRef>
          </c:cat>
          <c:val>
            <c:numRef>
              <c:f>Sheet1!$B$17:$B$29</c:f>
              <c:numCache>
                <c:formatCode>General</c:formatCode>
                <c:ptCount val="12"/>
                <c:pt idx="0">
                  <c:v>74572.570000000007</c:v>
                </c:pt>
                <c:pt idx="1">
                  <c:v>38708.35</c:v>
                </c:pt>
                <c:pt idx="2">
                  <c:v>37760.219999999994</c:v>
                </c:pt>
                <c:pt idx="3">
                  <c:v>35293.360000000001</c:v>
                </c:pt>
                <c:pt idx="4">
                  <c:v>29950.800000000003</c:v>
                </c:pt>
                <c:pt idx="5">
                  <c:v>27424.12</c:v>
                </c:pt>
                <c:pt idx="6">
                  <c:v>19015.849999999999</c:v>
                </c:pt>
                <c:pt idx="7">
                  <c:v>15954.68</c:v>
                </c:pt>
                <c:pt idx="8">
                  <c:v>15478.75</c:v>
                </c:pt>
                <c:pt idx="9">
                  <c:v>12968.55</c:v>
                </c:pt>
                <c:pt idx="10">
                  <c:v>12168.48</c:v>
                </c:pt>
                <c:pt idx="11">
                  <c:v>10217.77</c:v>
                </c:pt>
              </c:numCache>
            </c:numRef>
          </c:val>
          <c:smooth val="0"/>
          <c:extLst>
            <c:ext xmlns:c16="http://schemas.microsoft.com/office/drawing/2014/chart" uri="{C3380CC4-5D6E-409C-BE32-E72D297353CC}">
              <c16:uniqueId val="{00000000-2A94-4594-998E-BB5F0169E6DB}"/>
            </c:ext>
          </c:extLst>
        </c:ser>
        <c:ser>
          <c:idx val="1"/>
          <c:order val="1"/>
          <c:tx>
            <c:strRef>
              <c:f>Sheet1!$C$16</c:f>
              <c:strCache>
                <c:ptCount val="1"/>
                <c:pt idx="0">
                  <c:v>Sum of 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cat>
            <c:strRef>
              <c:f>Sheet1!$A$17:$A$29</c:f>
              <c:strCache>
                <c:ptCount val="12"/>
                <c:pt idx="0">
                  <c:v>March</c:v>
                </c:pt>
                <c:pt idx="1">
                  <c:v>January</c:v>
                </c:pt>
                <c:pt idx="2">
                  <c:v>July</c:v>
                </c:pt>
                <c:pt idx="3">
                  <c:v>September</c:v>
                </c:pt>
                <c:pt idx="4">
                  <c:v>August</c:v>
                </c:pt>
                <c:pt idx="5">
                  <c:v>April</c:v>
                </c:pt>
                <c:pt idx="6">
                  <c:v>December</c:v>
                </c:pt>
                <c:pt idx="7">
                  <c:v>October</c:v>
                </c:pt>
                <c:pt idx="8">
                  <c:v>May</c:v>
                </c:pt>
                <c:pt idx="9">
                  <c:v>November</c:v>
                </c:pt>
                <c:pt idx="10">
                  <c:v>June</c:v>
                </c:pt>
                <c:pt idx="11">
                  <c:v>February</c:v>
                </c:pt>
              </c:strCache>
            </c:strRef>
          </c:cat>
          <c:val>
            <c:numRef>
              <c:f>Sheet1!$C$17:$C$29</c:f>
              <c:numCache>
                <c:formatCode>General</c:formatCode>
                <c:ptCount val="12"/>
                <c:pt idx="0">
                  <c:v>11122.750000000002</c:v>
                </c:pt>
                <c:pt idx="1">
                  <c:v>5955.5300000000007</c:v>
                </c:pt>
                <c:pt idx="2">
                  <c:v>4396.3500000000004</c:v>
                </c:pt>
                <c:pt idx="3">
                  <c:v>4047.7499999999991</c:v>
                </c:pt>
                <c:pt idx="4">
                  <c:v>3758.2</c:v>
                </c:pt>
                <c:pt idx="5">
                  <c:v>2854.6699999999996</c:v>
                </c:pt>
                <c:pt idx="6">
                  <c:v>1445.02</c:v>
                </c:pt>
                <c:pt idx="7">
                  <c:v>2817.24</c:v>
                </c:pt>
                <c:pt idx="8">
                  <c:v>390.38</c:v>
                </c:pt>
                <c:pt idx="9">
                  <c:v>1157.0999999999999</c:v>
                </c:pt>
                <c:pt idx="10">
                  <c:v>3981.5</c:v>
                </c:pt>
                <c:pt idx="11">
                  <c:v>1591.6899999999998</c:v>
                </c:pt>
              </c:numCache>
            </c:numRef>
          </c:val>
          <c:smooth val="0"/>
          <c:extLst>
            <c:ext xmlns:c16="http://schemas.microsoft.com/office/drawing/2014/chart" uri="{C3380CC4-5D6E-409C-BE32-E72D297353CC}">
              <c16:uniqueId val="{00000001-2A94-4594-998E-BB5F0169E6DB}"/>
            </c:ext>
          </c:extLst>
        </c:ser>
        <c:dLbls>
          <c:showLegendKey val="0"/>
          <c:showVal val="0"/>
          <c:showCatName val="0"/>
          <c:showSerName val="0"/>
          <c:showPercent val="0"/>
          <c:showBubbleSize val="0"/>
        </c:dLbls>
        <c:marker val="1"/>
        <c:smooth val="0"/>
        <c:axId val="1244675760"/>
        <c:axId val="1244676240"/>
      </c:lineChart>
      <c:catAx>
        <c:axId val="124467576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5400000" spcFirstLastPara="1" vertOverflow="ellipsis" wrap="square" anchor="ctr" anchorCtr="1"/>
          <a:lstStyle/>
          <a:p>
            <a:pPr>
              <a:defRPr sz="900" b="0" i="0" u="none" strike="noStrike" kern="1200" baseline="0">
                <a:solidFill>
                  <a:schemeClr val="dk1"/>
                </a:solidFill>
                <a:latin typeface="+mn-lt"/>
                <a:ea typeface="+mn-ea"/>
                <a:cs typeface="+mn-cs"/>
              </a:defRPr>
            </a:pPr>
            <a:endParaRPr lang="en-US"/>
          </a:p>
        </c:txPr>
        <c:crossAx val="1244676240"/>
        <c:crosses val="autoZero"/>
        <c:auto val="1"/>
        <c:lblAlgn val="ctr"/>
        <c:lblOffset val="100"/>
        <c:noMultiLvlLbl val="0"/>
      </c:catAx>
      <c:valAx>
        <c:axId val="1244676240"/>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crossAx val="1244675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dk1">
          <a:lumMod val="15000"/>
          <a:lumOff val="85000"/>
        </a:schemeClr>
      </a:solidFill>
      <a:round/>
    </a:ln>
    <a:effectLst/>
  </c:spPr>
  <c:txPr>
    <a:bodyPr/>
    <a:lstStyle/>
    <a:p>
      <a:pPr>
        <a:defRPr>
          <a:solidFill>
            <a:schemeClr val="dk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[AI_Assisted_sales_dashboard_excel_.xlsx]Sheet1!PivotTable4</c:name>
    <c:fmtId val="4"/>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b="1">
                <a:solidFill>
                  <a:schemeClr val="tx1"/>
                </a:solidFill>
              </a:rPr>
              <a:t>Sales by Region</a:t>
            </a:r>
          </a:p>
        </c:rich>
      </c:tx>
      <c:layout>
        <c:manualLayout>
          <c:xMode val="edge"/>
          <c:yMode val="edge"/>
          <c:x val="3.9003481035790898E-2"/>
          <c:y val="3.973536032717908E-2"/>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60000"/>
              <a:lumOff val="4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pivotFmt>
      <c:pivotFmt>
        <c:idx val="8"/>
      </c:pivotFmt>
      <c:pivotFmt>
        <c:idx val="9"/>
        <c:spPr>
          <a:solidFill>
            <a:schemeClr val="tx2">
              <a:lumMod val="40000"/>
              <a:lumOff val="6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57111A7C-9FF7-4E54-9026-45DDFAAC074C}" type="PERCENTAGE">
                  <a:rPr lang="en-US">
                    <a:solidFill>
                      <a:schemeClr val="tx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tx2">
              <a:lumMod val="5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Sheet1!$B$41</c:f>
              <c:strCache>
                <c:ptCount val="1"/>
                <c:pt idx="0">
                  <c:v>Total</c:v>
                </c:pt>
              </c:strCache>
            </c:strRef>
          </c:tx>
          <c:spPr>
            <a:ln>
              <a:solidFill>
                <a:schemeClr val="tx2">
                  <a:lumMod val="50000"/>
                </a:schemeClr>
              </a:solidFill>
            </a:ln>
          </c:spPr>
          <c:dPt>
            <c:idx val="0"/>
            <c:bubble3D val="0"/>
            <c:spPr>
              <a:solidFill>
                <a:schemeClr val="tx2">
                  <a:lumMod val="40000"/>
                  <a:lumOff val="6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96E-4F3D-9363-63A093123ABE}"/>
              </c:ext>
            </c:extLst>
          </c:dPt>
          <c:dPt>
            <c:idx val="1"/>
            <c:bubble3D val="0"/>
            <c:spPr>
              <a:solidFill>
                <a:schemeClr val="tx2">
                  <a:lumMod val="60000"/>
                  <a:lumOff val="4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96E-4F3D-9363-63A093123ABE}"/>
              </c:ext>
            </c:extLst>
          </c:dPt>
          <c:dPt>
            <c:idx val="2"/>
            <c:bubble3D val="0"/>
            <c:spPr>
              <a:solidFill>
                <a:schemeClr val="tx2">
                  <a:lumMod val="50000"/>
                </a:schemeClr>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96E-4F3D-9363-63A093123ABE}"/>
              </c:ext>
            </c:extLst>
          </c:dPt>
          <c:dPt>
            <c:idx val="3"/>
            <c:bubble3D val="0"/>
            <c:spPr>
              <a:solidFill>
                <a:schemeClr val="accent4"/>
              </a:solidFill>
              <a:ln>
                <a:solidFill>
                  <a:schemeClr val="tx2">
                    <a:lumMod val="50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96E-4F3D-9363-63A093123ABE}"/>
              </c:ext>
            </c:extLst>
          </c:dPt>
          <c:dLbls>
            <c:dLbl>
              <c:idx val="0"/>
              <c:tx>
                <c:rich>
                  <a:bodyPr/>
                  <a:lstStyle/>
                  <a:p>
                    <a:fld id="{57111A7C-9FF7-4E54-9026-45DDFAAC074C}" type="PERCENTAGE">
                      <a:rPr lang="en-US">
                        <a:solidFill>
                          <a:schemeClr val="tx1"/>
                        </a:solidFill>
                      </a:rPr>
                      <a:pPr/>
                      <a:t>[PERCENTAGE]</a:t>
                    </a:fld>
                    <a:endParaRPr lang="en-IN"/>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96E-4F3D-9363-63A093123ABE}"/>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Sheet1!$A$42:$A$45</c:f>
              <c:strCache>
                <c:ptCount val="3"/>
                <c:pt idx="0">
                  <c:v>West</c:v>
                </c:pt>
                <c:pt idx="1">
                  <c:v>North</c:v>
                </c:pt>
                <c:pt idx="2">
                  <c:v>East</c:v>
                </c:pt>
              </c:strCache>
            </c:strRef>
          </c:cat>
          <c:val>
            <c:numRef>
              <c:f>Sheet1!$B$42:$B$45</c:f>
              <c:numCache>
                <c:formatCode>General</c:formatCode>
                <c:ptCount val="3"/>
                <c:pt idx="0">
                  <c:v>118999.80000000002</c:v>
                </c:pt>
                <c:pt idx="1">
                  <c:v>112921.44</c:v>
                </c:pt>
                <c:pt idx="2">
                  <c:v>97592.25999999998</c:v>
                </c:pt>
              </c:numCache>
            </c:numRef>
          </c:val>
          <c:extLst>
            <c:ext xmlns:c16="http://schemas.microsoft.com/office/drawing/2014/chart" uri="{C3380CC4-5D6E-409C-BE32-E72D297353CC}">
              <c16:uniqueId val="{00000008-E96E-4F3D-9363-63A093123AB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Profit</a:t>
            </a:r>
            <a:r>
              <a:rPr lang="en-US" b="1" baseline="0">
                <a:solidFill>
                  <a:schemeClr val="tx2">
                    <a:lumMod val="50000"/>
                  </a:schemeClr>
                </a:solidFill>
              </a:rPr>
              <a:t> by Category</a:t>
            </a:r>
            <a:endParaRPr lang="en-US" b="1">
              <a:solidFill>
                <a:schemeClr val="tx2">
                  <a:lumMod val="50000"/>
                </a:schemeClr>
              </a:solidFill>
            </a:endParaRPr>
          </a:p>
        </c:rich>
      </c:tx>
      <c:layout>
        <c:manualLayout>
          <c:xMode val="edge"/>
          <c:yMode val="edge"/>
          <c:x val="0.3846626504875717"/>
          <c:y val="5.958235084863550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Sheet1!$B$50</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Sheet1!$A$51:$A$54</c:f>
              <c:strCache>
                <c:ptCount val="3"/>
                <c:pt idx="0">
                  <c:v>Technology</c:v>
                </c:pt>
                <c:pt idx="1">
                  <c:v>Furniture</c:v>
                </c:pt>
                <c:pt idx="2">
                  <c:v>Office Supplies</c:v>
                </c:pt>
              </c:strCache>
            </c:strRef>
          </c:cat>
          <c:val>
            <c:numRef>
              <c:f>Sheet1!$B$51:$B$54</c:f>
              <c:numCache>
                <c:formatCode>General</c:formatCode>
                <c:ptCount val="3"/>
                <c:pt idx="0">
                  <c:v>17955.629999999997</c:v>
                </c:pt>
                <c:pt idx="1">
                  <c:v>13106.809999999998</c:v>
                </c:pt>
                <c:pt idx="2">
                  <c:v>12455.74</c:v>
                </c:pt>
              </c:numCache>
            </c:numRef>
          </c:val>
          <c:extLst>
            <c:ext xmlns:c16="http://schemas.microsoft.com/office/drawing/2014/chart" uri="{C3380CC4-5D6E-409C-BE32-E72D297353CC}">
              <c16:uniqueId val="{00000000-2EBA-461D-9A73-513FEEA75CE0}"/>
            </c:ext>
          </c:extLst>
        </c:ser>
        <c:dLbls>
          <c:showLegendKey val="0"/>
          <c:showVal val="0"/>
          <c:showCatName val="0"/>
          <c:showSerName val="0"/>
          <c:showPercent val="0"/>
          <c:showBubbleSize val="0"/>
        </c:dLbls>
        <c:gapWidth val="219"/>
        <c:overlap val="-27"/>
        <c:axId val="1244658960"/>
        <c:axId val="1244667600"/>
      </c:barChart>
      <c:catAx>
        <c:axId val="1244658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4667600"/>
        <c:crosses val="autoZero"/>
        <c:auto val="1"/>
        <c:lblAlgn val="ctr"/>
        <c:lblOffset val="100"/>
        <c:noMultiLvlLbl val="0"/>
      </c:catAx>
      <c:valAx>
        <c:axId val="1244667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4658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Sales</a:t>
            </a:r>
            <a:r>
              <a:rPr lang="en-US" b="1" baseline="0">
                <a:solidFill>
                  <a:schemeClr val="tx1"/>
                </a:solidFill>
              </a:rPr>
              <a:t> by Segment</a:t>
            </a:r>
            <a:endParaRPr lang="en-US"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schemeClr>
          </a:solidFill>
          <a:ln>
            <a:noFill/>
          </a:ln>
          <a:effectLst/>
        </c:spPr>
        <c:dLbl>
          <c:idx val="0"/>
          <c:layout>
            <c:manualLayout>
              <c:x val="0.12384310173337003"/>
              <c:y val="-9.00663833662730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B95E656-2BF1-46AE-9A5B-4AA1CD06D993}"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bg1"/>
          </a:solidFill>
          <a:ln>
            <a:noFill/>
          </a:ln>
          <a:effectLst/>
        </c:spPr>
        <c:dLbl>
          <c:idx val="0"/>
          <c:layout>
            <c:manualLayout>
              <c:x val="0.17613241135412616"/>
              <c:y val="5.68840315997512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75000"/>
            </a:schemeClr>
          </a:solidFill>
          <a:ln>
            <a:noFill/>
          </a:ln>
          <a:effectLst/>
        </c:spPr>
        <c:dLbl>
          <c:idx val="0"/>
          <c:layout>
            <c:manualLayout>
              <c:x val="-0.11283482602373715"/>
              <c:y val="4.74033596664586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c:spPr>
        <c:dLbl>
          <c:idx val="0"/>
          <c:layout>
            <c:manualLayout>
              <c:x val="-0.11008275709632893"/>
              <c:y val="-9.9547055299564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Sheet1!$B$59</c:f>
              <c:strCache>
                <c:ptCount val="1"/>
                <c:pt idx="0">
                  <c:v>Total</c:v>
                </c:pt>
              </c:strCache>
            </c:strRef>
          </c:tx>
          <c:dPt>
            <c:idx val="0"/>
            <c:bubble3D val="0"/>
            <c:spPr>
              <a:solidFill>
                <a:schemeClr val="tx2">
                  <a:lumMod val="50000"/>
                </a:schemeClr>
              </a:solidFill>
              <a:ln>
                <a:noFill/>
              </a:ln>
              <a:effectLst/>
            </c:spPr>
            <c:extLst>
              <c:ext xmlns:c16="http://schemas.microsoft.com/office/drawing/2014/chart" uri="{C3380CC4-5D6E-409C-BE32-E72D297353CC}">
                <c16:uniqueId val="{00000001-0A32-4A99-A7A4-6459A84EAC96}"/>
              </c:ext>
            </c:extLst>
          </c:dPt>
          <c:dPt>
            <c:idx val="1"/>
            <c:bubble3D val="0"/>
            <c:spPr>
              <a:solidFill>
                <a:schemeClr val="bg1"/>
              </a:solidFill>
              <a:ln>
                <a:noFill/>
              </a:ln>
              <a:effectLst/>
            </c:spPr>
            <c:extLst>
              <c:ext xmlns:c16="http://schemas.microsoft.com/office/drawing/2014/chart" uri="{C3380CC4-5D6E-409C-BE32-E72D297353CC}">
                <c16:uniqueId val="{00000002-0A32-4A99-A7A4-6459A84EAC96}"/>
              </c:ext>
            </c:extLst>
          </c:dPt>
          <c:dPt>
            <c:idx val="2"/>
            <c:bubble3D val="0"/>
            <c:spPr>
              <a:solidFill>
                <a:schemeClr val="tx2">
                  <a:lumMod val="75000"/>
                </a:schemeClr>
              </a:solidFill>
              <a:ln>
                <a:noFill/>
              </a:ln>
              <a:effectLst/>
            </c:spPr>
            <c:extLst>
              <c:ext xmlns:c16="http://schemas.microsoft.com/office/drawing/2014/chart" uri="{C3380CC4-5D6E-409C-BE32-E72D297353CC}">
                <c16:uniqueId val="{00000003-0A32-4A99-A7A4-6459A84EAC96}"/>
              </c:ext>
            </c:extLst>
          </c:dPt>
          <c:dPt>
            <c:idx val="3"/>
            <c:bubble3D val="0"/>
            <c:spPr>
              <a:solidFill>
                <a:schemeClr val="tx2">
                  <a:lumMod val="60000"/>
                  <a:lumOff val="40000"/>
                </a:schemeClr>
              </a:solidFill>
              <a:ln>
                <a:noFill/>
              </a:ln>
              <a:effectLst/>
            </c:spPr>
            <c:extLst>
              <c:ext xmlns:c16="http://schemas.microsoft.com/office/drawing/2014/chart" uri="{C3380CC4-5D6E-409C-BE32-E72D297353CC}">
                <c16:uniqueId val="{00000004-0A32-4A99-A7A4-6459A84EAC96}"/>
              </c:ext>
            </c:extLst>
          </c:dPt>
          <c:dLbls>
            <c:dLbl>
              <c:idx val="0"/>
              <c:layout>
                <c:manualLayout>
                  <c:x val="0.12384310173337003"/>
                  <c:y val="-9.0066383366273067E-2"/>
                </c:manualLayout>
              </c:layout>
              <c:tx>
                <c:rich>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fld id="{7B95E656-2BF1-46AE-9A5B-4AA1CD06D993}" type="VALUE">
                      <a:rPr lang="en-US" b="1">
                        <a:solidFill>
                          <a:schemeClr val="tx1"/>
                        </a:solidFill>
                      </a:rPr>
                      <a:pPr>
                        <a:defRPr b="1">
                          <a:solidFill>
                            <a:schemeClr val="tx1"/>
                          </a:solidFill>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IN"/>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A32-4A99-A7A4-6459A84EAC96}"/>
                </c:ext>
              </c:extLst>
            </c:dLbl>
            <c:dLbl>
              <c:idx val="1"/>
              <c:layout>
                <c:manualLayout>
                  <c:x val="0.17613241135412616"/>
                  <c:y val="5.688403159975123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32-4A99-A7A4-6459A84EAC96}"/>
                </c:ext>
              </c:extLst>
            </c:dLbl>
            <c:dLbl>
              <c:idx val="2"/>
              <c:layout>
                <c:manualLayout>
                  <c:x val="-0.11283482602373715"/>
                  <c:y val="4.7403359666458641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32-4A99-A7A4-6459A84EAC96}"/>
                </c:ext>
              </c:extLst>
            </c:dLbl>
            <c:dLbl>
              <c:idx val="3"/>
              <c:layout>
                <c:manualLayout>
                  <c:x val="-0.11008275709632893"/>
                  <c:y val="-9.954705529956496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32-4A99-A7A4-6459A84EAC9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Sheet1!$A$60:$A$64</c:f>
              <c:strCache>
                <c:ptCount val="4"/>
                <c:pt idx="0">
                  <c:v>Consumer</c:v>
                </c:pt>
                <c:pt idx="1">
                  <c:v>Corporate</c:v>
                </c:pt>
                <c:pt idx="2">
                  <c:v>Home Office</c:v>
                </c:pt>
                <c:pt idx="3">
                  <c:v>Small Business</c:v>
                </c:pt>
              </c:strCache>
            </c:strRef>
          </c:cat>
          <c:val>
            <c:numRef>
              <c:f>Sheet1!$B$60:$B$64</c:f>
              <c:numCache>
                <c:formatCode>General</c:formatCode>
                <c:ptCount val="4"/>
                <c:pt idx="0">
                  <c:v>106760.29999999999</c:v>
                </c:pt>
                <c:pt idx="1">
                  <c:v>97646.810000000027</c:v>
                </c:pt>
                <c:pt idx="2">
                  <c:v>62873.429999999993</c:v>
                </c:pt>
                <c:pt idx="3">
                  <c:v>62232.959999999999</c:v>
                </c:pt>
              </c:numCache>
            </c:numRef>
          </c:val>
          <c:extLst>
            <c:ext xmlns:c16="http://schemas.microsoft.com/office/drawing/2014/chart" uri="{C3380CC4-5D6E-409C-BE32-E72D297353CC}">
              <c16:uniqueId val="{00000000-0A32-4A99-A7A4-6459A84EAC96}"/>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Sales</a:t>
            </a:r>
            <a:r>
              <a:rPr lang="en-US" b="1" baseline="0">
                <a:solidFill>
                  <a:schemeClr val="tx2">
                    <a:lumMod val="50000"/>
                  </a:schemeClr>
                </a:solidFill>
              </a:rPr>
              <a:t> by Products</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4"/>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5"/>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6"/>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s>
    <c:plotArea>
      <c:layout/>
      <c:barChart>
        <c:barDir val="col"/>
        <c:grouping val="clustered"/>
        <c:varyColors val="0"/>
        <c:ser>
          <c:idx val="0"/>
          <c:order val="0"/>
          <c:tx>
            <c:strRef>
              <c:f>Sheet1!$B$70</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cat>
            <c:strRef>
              <c:f>Sheet1!$A$71:$A$81</c:f>
              <c:strCache>
                <c:ptCount val="10"/>
                <c:pt idx="0">
                  <c:v>Sticky Notes</c:v>
                </c:pt>
                <c:pt idx="1">
                  <c:v>Headset</c:v>
                </c:pt>
                <c:pt idx="2">
                  <c:v>Office Chair</c:v>
                </c:pt>
                <c:pt idx="3">
                  <c:v>Desk Phone</c:v>
                </c:pt>
                <c:pt idx="4">
                  <c:v>Pen Pack</c:v>
                </c:pt>
                <c:pt idx="5">
                  <c:v>Conference Table</c:v>
                </c:pt>
                <c:pt idx="6">
                  <c:v>Webcam</c:v>
                </c:pt>
                <c:pt idx="7">
                  <c:v>Marker Set</c:v>
                </c:pt>
                <c:pt idx="8">
                  <c:v>Drawer Unit</c:v>
                </c:pt>
                <c:pt idx="9">
                  <c:v>Desktop</c:v>
                </c:pt>
              </c:strCache>
            </c:strRef>
          </c:cat>
          <c:val>
            <c:numRef>
              <c:f>Sheet1!$B$71:$B$81</c:f>
              <c:numCache>
                <c:formatCode>General</c:formatCode>
                <c:ptCount val="10"/>
                <c:pt idx="0">
                  <c:v>22356.15</c:v>
                </c:pt>
                <c:pt idx="1">
                  <c:v>21802.05</c:v>
                </c:pt>
                <c:pt idx="2">
                  <c:v>21407.589999999997</c:v>
                </c:pt>
                <c:pt idx="3">
                  <c:v>19727.68</c:v>
                </c:pt>
                <c:pt idx="4">
                  <c:v>19338.38</c:v>
                </c:pt>
                <c:pt idx="5">
                  <c:v>19327.849999999999</c:v>
                </c:pt>
                <c:pt idx="6">
                  <c:v>18470.510000000002</c:v>
                </c:pt>
                <c:pt idx="7">
                  <c:v>18150.07</c:v>
                </c:pt>
                <c:pt idx="8">
                  <c:v>17379.910000000003</c:v>
                </c:pt>
                <c:pt idx="9">
                  <c:v>15685.53</c:v>
                </c:pt>
              </c:numCache>
            </c:numRef>
          </c:val>
          <c:extLst>
            <c:ext xmlns:c16="http://schemas.microsoft.com/office/drawing/2014/chart" uri="{C3380CC4-5D6E-409C-BE32-E72D297353CC}">
              <c16:uniqueId val="{00000000-B306-4C0E-BACC-F1389BAC4664}"/>
            </c:ext>
          </c:extLst>
        </c:ser>
        <c:dLbls>
          <c:showLegendKey val="0"/>
          <c:showVal val="0"/>
          <c:showCatName val="0"/>
          <c:showSerName val="0"/>
          <c:showPercent val="0"/>
          <c:showBubbleSize val="0"/>
        </c:dLbls>
        <c:gapWidth val="219"/>
        <c:overlap val="-27"/>
        <c:axId val="1851503920"/>
        <c:axId val="1851504400"/>
      </c:barChart>
      <c:catAx>
        <c:axId val="185150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51504400"/>
        <c:crosses val="autoZero"/>
        <c:auto val="1"/>
        <c:lblAlgn val="ctr"/>
        <c:lblOffset val="100"/>
        <c:noMultiLvlLbl val="0"/>
      </c:catAx>
      <c:valAx>
        <c:axId val="1851504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150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Customer</a:t>
            </a:r>
            <a:r>
              <a:rPr lang="en-US" b="1" baseline="0">
                <a:solidFill>
                  <a:schemeClr val="tx2">
                    <a:lumMod val="50000"/>
                  </a:schemeClr>
                </a:solidFill>
              </a:rPr>
              <a:t> by Sales</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4"/>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5"/>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
        <c:idx val="6"/>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pivotFmt>
    </c:pivotFmts>
    <c:plotArea>
      <c:layout/>
      <c:barChart>
        <c:barDir val="bar"/>
        <c:grouping val="clustered"/>
        <c:varyColors val="0"/>
        <c:ser>
          <c:idx val="0"/>
          <c:order val="0"/>
          <c:tx>
            <c:strRef>
              <c:f>Sheet1!$B$86</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Sheet1!$A$87:$A$97</c:f>
              <c:strCache>
                <c:ptCount val="10"/>
                <c:pt idx="0">
                  <c:v>Customer 6</c:v>
                </c:pt>
                <c:pt idx="1">
                  <c:v>Customer 162</c:v>
                </c:pt>
                <c:pt idx="2">
                  <c:v>Customer 17</c:v>
                </c:pt>
                <c:pt idx="3">
                  <c:v>Customer 97</c:v>
                </c:pt>
                <c:pt idx="4">
                  <c:v>Customer 90</c:v>
                </c:pt>
                <c:pt idx="5">
                  <c:v>Customer 47</c:v>
                </c:pt>
                <c:pt idx="6">
                  <c:v>Customer 2</c:v>
                </c:pt>
                <c:pt idx="7">
                  <c:v>Customer 83</c:v>
                </c:pt>
                <c:pt idx="8">
                  <c:v>Customer 161</c:v>
                </c:pt>
                <c:pt idx="9">
                  <c:v>Customer 149</c:v>
                </c:pt>
              </c:strCache>
            </c:strRef>
          </c:cat>
          <c:val>
            <c:numRef>
              <c:f>Sheet1!$B$87:$B$97</c:f>
              <c:numCache>
                <c:formatCode>General</c:formatCode>
                <c:ptCount val="10"/>
                <c:pt idx="0">
                  <c:v>14125.939999999999</c:v>
                </c:pt>
                <c:pt idx="1">
                  <c:v>13708.99</c:v>
                </c:pt>
                <c:pt idx="2">
                  <c:v>13291.46</c:v>
                </c:pt>
                <c:pt idx="3">
                  <c:v>12517.07</c:v>
                </c:pt>
                <c:pt idx="4">
                  <c:v>11943.3</c:v>
                </c:pt>
                <c:pt idx="5">
                  <c:v>11554.6</c:v>
                </c:pt>
                <c:pt idx="6">
                  <c:v>10359.74</c:v>
                </c:pt>
                <c:pt idx="7">
                  <c:v>10217.5</c:v>
                </c:pt>
                <c:pt idx="8">
                  <c:v>10145.290000000001</c:v>
                </c:pt>
                <c:pt idx="9">
                  <c:v>7943.11</c:v>
                </c:pt>
              </c:numCache>
            </c:numRef>
          </c:val>
          <c:extLst>
            <c:ext xmlns:c16="http://schemas.microsoft.com/office/drawing/2014/chart" uri="{C3380CC4-5D6E-409C-BE32-E72D297353CC}">
              <c16:uniqueId val="{00000000-57FE-4EF3-BE59-2ED0089ABD6B}"/>
            </c:ext>
          </c:extLst>
        </c:ser>
        <c:dLbls>
          <c:dLblPos val="outEnd"/>
          <c:showLegendKey val="0"/>
          <c:showVal val="1"/>
          <c:showCatName val="0"/>
          <c:showSerName val="0"/>
          <c:showPercent val="0"/>
          <c:showBubbleSize val="0"/>
        </c:dLbls>
        <c:gapWidth val="182"/>
        <c:axId val="1858335072"/>
        <c:axId val="1858336992"/>
      </c:barChart>
      <c:catAx>
        <c:axId val="1858335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6992"/>
        <c:crosses val="autoZero"/>
        <c:auto val="1"/>
        <c:lblAlgn val="ctr"/>
        <c:lblOffset val="100"/>
        <c:noMultiLvlLbl val="0"/>
      </c:catAx>
      <c:valAx>
        <c:axId val="18583369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83350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[AI_Assisted_sales_dashboard_excel_.xlsx]Sheet1!PivotTable9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2">
                    <a:lumMod val="50000"/>
                  </a:schemeClr>
                </a:solidFill>
              </a:rPr>
              <a:t>Salesperson</a:t>
            </a:r>
            <a:r>
              <a:rPr lang="en-US" b="1" baseline="0">
                <a:solidFill>
                  <a:schemeClr val="tx2">
                    <a:lumMod val="50000"/>
                  </a:schemeClr>
                </a:solidFill>
              </a:rPr>
              <a:t> Performance</a:t>
            </a:r>
            <a:endParaRPr lang="en-US" b="1">
              <a:solidFill>
                <a:schemeClr val="tx2">
                  <a:lumMod val="5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Sheet1!$B$105</c:f>
              <c:strCache>
                <c:ptCount val="1"/>
                <c:pt idx="0">
                  <c:v>Total</c:v>
                </c:pt>
              </c:strCache>
            </c:strRef>
          </c:tx>
          <c: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Sheet1!$A$106:$A$111</c:f>
              <c:strCache>
                <c:ptCount val="5"/>
                <c:pt idx="0">
                  <c:v>Pooja</c:v>
                </c:pt>
                <c:pt idx="1">
                  <c:v>Neha</c:v>
                </c:pt>
                <c:pt idx="2">
                  <c:v>Amit</c:v>
                </c:pt>
                <c:pt idx="3">
                  <c:v>Anjali</c:v>
                </c:pt>
                <c:pt idx="4">
                  <c:v>Karan</c:v>
                </c:pt>
              </c:strCache>
            </c:strRef>
          </c:cat>
          <c:val>
            <c:numRef>
              <c:f>Sheet1!$B$106:$B$111</c:f>
              <c:numCache>
                <c:formatCode>General</c:formatCode>
                <c:ptCount val="5"/>
                <c:pt idx="0">
                  <c:v>100529.95</c:v>
                </c:pt>
                <c:pt idx="1">
                  <c:v>73412.27</c:v>
                </c:pt>
                <c:pt idx="2">
                  <c:v>53205.530000000006</c:v>
                </c:pt>
                <c:pt idx="3">
                  <c:v>52913.66</c:v>
                </c:pt>
                <c:pt idx="4">
                  <c:v>49452.09</c:v>
                </c:pt>
              </c:numCache>
            </c:numRef>
          </c:val>
          <c:extLst>
            <c:ext xmlns:c16="http://schemas.microsoft.com/office/drawing/2014/chart" uri="{C3380CC4-5D6E-409C-BE32-E72D297353CC}">
              <c16:uniqueId val="{00000000-ACD4-44CD-AC6A-C32CB9D29045}"/>
            </c:ext>
          </c:extLst>
        </c:ser>
        <c:dLbls>
          <c:dLblPos val="outEnd"/>
          <c:showLegendKey val="0"/>
          <c:showVal val="1"/>
          <c:showCatName val="0"/>
          <c:showSerName val="0"/>
          <c:showPercent val="0"/>
          <c:showBubbleSize val="0"/>
        </c:dLbls>
        <c:gapWidth val="219"/>
        <c:overlap val="-27"/>
        <c:axId val="1849625376"/>
        <c:axId val="1849625856"/>
      </c:barChart>
      <c:catAx>
        <c:axId val="18496253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49625856"/>
        <c:crosses val="autoZero"/>
        <c:auto val="1"/>
        <c:lblAlgn val="ctr"/>
        <c:lblOffset val="100"/>
        <c:noMultiLvlLbl val="0"/>
      </c:catAx>
      <c:valAx>
        <c:axId val="18496258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49625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data id="1">
      <cx:numDim type="val">
        <cx:f>_xlchart.v1.3</cx:f>
      </cx:numDim>
    </cx:data>
  </cx:chartData>
  <cx:chart>
    <cx:title pos="t" align="ctr" overlay="0">
      <cx:tx>
        <cx:txData>
          <cx:v>Chart Title</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0" i="0" u="none" strike="noStrike" kern="1200" cap="none" spc="0" normalizeH="0" baseline="0" noProof="0">
              <a:ln>
                <a:noFill/>
              </a:ln>
              <a:solidFill>
                <a:sysClr val="windowText" lastClr="000000">
                  <a:lumMod val="65000"/>
                  <a:lumOff val="35000"/>
                </a:sysClr>
              </a:solidFill>
              <a:effectLst/>
              <a:uLnTx/>
              <a:uFillTx/>
              <a:latin typeface="Calibri"/>
            </a:rPr>
            <a:t>Chart Title</a:t>
          </a:r>
        </a:p>
      </cx:txPr>
    </cx:title>
    <cx:plotArea>
      <cx:plotAreaRegion>
        <cx:series layoutId="boxWhisker" uniqueId="{B297D917-EFDD-40D7-B92B-9E07888CD708}">
          <cx:tx>
            <cx:txData>
              <cx:f>_xlchart.v1.0</cx:f>
              <cx:v>Discount</cx:v>
            </cx:txData>
          </cx:tx>
          <cx:dataId val="0"/>
          <cx:layoutPr>
            <cx:statistics quartileMethod="exclusive"/>
          </cx:layoutPr>
        </cx:series>
        <cx:series layoutId="boxWhisker" uniqueId="{AB819349-443A-4F34-91BB-A41275880BD3}">
          <cx:tx>
            <cx:txData>
              <cx:f>_xlchart.v1.2</cx:f>
              <cx:v>Profit</cx:v>
            </cx:txData>
          </cx:tx>
          <cx:dataId val="1"/>
          <cx:layoutPr>
            <cx:statistics quartileMethod="exclusive"/>
          </cx:layoutPr>
        </cx:series>
      </cx:plotAreaRegion>
      <cx:axis id="0">
        <cx:catScaling/>
        <cx:tickLabels/>
      </cx:axis>
      <cx:axis id="1">
        <cx:valScaling/>
        <cx:majorGridlines/>
        <cx:tickLabels/>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data id="1">
      <cx:strDim type="cat">
        <cx:f>_xlchart.v1.4</cx:f>
      </cx:strDim>
      <cx:numDim type="val">
        <cx:f>_xlchart.v1.8</cx:f>
      </cx:numDim>
    </cx:data>
  </cx:chartData>
  <cx:chart>
    <cx:title pos="t" align="ctr" overlay="0"/>
    <cx:plotArea>
      <cx:plotAreaRegion>
        <cx:series layoutId="clusteredColumn" uniqueId="{6737C41F-783A-44A6-B958-A8D7B6C5D091}" formatIdx="0">
          <cx:tx>
            <cx:txData>
              <cx:f>_xlchart.v1.5</cx:f>
              <cx:v>Sales</cx:v>
            </cx:txData>
          </cx:tx>
          <cx:dataId val="0"/>
          <cx:layoutPr>
            <cx:aggregation/>
          </cx:layoutPr>
          <cx:axisId val="1"/>
        </cx:series>
        <cx:series layoutId="paretoLine" ownerIdx="0" uniqueId="{8644A794-3273-41E7-99EB-E8A324C8A5AE}" formatIdx="1">
          <cx:axisId val="2"/>
        </cx:series>
        <cx:series layoutId="clusteredColumn" hidden="1" uniqueId="{B4064438-E574-4FB8-9EB9-A928D6F1B2AE}" formatIdx="2">
          <cx:tx>
            <cx:txData>
              <cx:f>_xlchart.v1.7</cx:f>
              <cx:v>Column1</cx:v>
            </cx:txData>
          </cx:tx>
          <cx:dataId val="1"/>
          <cx:layoutPr>
            <cx:aggregation/>
          </cx:layoutPr>
          <cx:axisId val="1"/>
        </cx:series>
        <cx:series layoutId="paretoLine" ownerIdx="2" uniqueId="{1542FF68-B5D9-4B71-997E-846764EE1F0A}" formatIdx="3">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_xlchart.v1.15</cx:f>
      </cx:numDim>
    </cx:data>
    <cx:data id="1">
      <cx:numDim type="val">
        <cx:f>_xlchart.v1.17</cx:f>
      </cx:numDim>
    </cx:data>
  </cx:chartData>
  <cx:chart>
    <cx:title pos="t" align="ctr" overlay="0">
      <cx:tx>
        <cx:txData>
          <cx:v>Discount vs Profit </cx:v>
        </cx:txData>
      </cx:tx>
      <cx:txPr>
        <a:bodyPr rot="0" spcFirstLastPara="1" vertOverflow="ellipsis" vert="horz" wrap="square" lIns="38100" tIns="19050" rIns="38100" bIns="19050" anchor="ctr" anchorCtr="1" compatLnSpc="0"/>
        <a:lstStyle/>
        <a:p>
          <a:pPr algn="ctr" rtl="0">
            <a:defRPr sz="1400" b="0" i="0" u="none" strike="noStrike" kern="1200" spc="0" baseline="0">
              <a:solidFill>
                <a:sysClr val="windowText" lastClr="000000">
                  <a:lumMod val="65000"/>
                  <a:lumOff val="35000"/>
                </a:sysClr>
              </a:solidFill>
              <a:latin typeface="+mn-lt"/>
              <a:ea typeface="+mn-ea"/>
              <a:cs typeface="+mn-cs"/>
            </a:defRPr>
          </a:pPr>
          <a:r>
            <a:rPr kumimoji="0" lang="en-IN" sz="1400" b="1" i="0" u="none" strike="noStrike" kern="1200" cap="none" spc="0" normalizeH="0" baseline="0" noProof="0">
              <a:ln>
                <a:noFill/>
              </a:ln>
              <a:solidFill>
                <a:schemeClr val="tx1"/>
              </a:solidFill>
              <a:effectLst/>
              <a:uLnTx/>
              <a:uFillTx/>
              <a:latin typeface="Calibri"/>
            </a:rPr>
            <a:t>Discount vs Profit </a:t>
          </a:r>
        </a:p>
      </cx:txPr>
    </cx:title>
    <cx:plotArea>
      <cx:plotAreaRegion>
        <cx:series layoutId="boxWhisker" uniqueId="{B297D917-EFDD-40D7-B92B-9E07888CD708}">
          <cx:tx>
            <cx:txData>
              <cx:f>_xlchart.v1.14</cx:f>
              <cx:v>Discount</cx:v>
            </cx:txData>
          </cx:tx>
          <cx:dataId val="0"/>
          <cx:layoutPr>
            <cx:statistics quartileMethod="exclusive"/>
          </cx:layoutPr>
        </cx:series>
        <cx:series layoutId="boxWhisker" uniqueId="{AB819349-443A-4F34-91BB-A41275880BD3}">
          <cx:tx>
            <cx:txData>
              <cx:f>_xlchart.v1.16</cx:f>
              <cx:v>Profit</cx:v>
            </cx:txData>
          </cx:tx>
          <cx:dataId val="1"/>
          <cx:layoutPr>
            <cx:statistics quartileMethod="exclusive"/>
          </cx:layoutPr>
        </cx:series>
      </cx:plotAreaRegion>
      <cx:axis id="0">
        <cx:catScaling/>
        <cx:tickLabels/>
      </cx:axis>
      <cx:axis id="1">
        <cx:valScaling/>
        <cx:majorGridlines/>
        <cx:tickLabels/>
      </cx:axis>
    </cx:plotArea>
    <cx:legend pos="t" align="ctr" overlay="0"/>
  </cx:chart>
  <cx: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val">
        <cx:f>_xlchart.v1.11</cx:f>
      </cx:numDim>
    </cx:data>
    <cx:data id="1">
      <cx:strDim type="cat">
        <cx:f>_xlchart.v1.9</cx:f>
      </cx:strDim>
      <cx:numDim type="val">
        <cx:f>_xlchart.v1.13</cx:f>
      </cx:numDim>
    </cx:data>
  </cx:chartData>
  <cx:chart>
    <cx:title pos="t" align="ctr" overlay="0">
      <cx:tx>
        <cx:rich>
          <a:bodyPr spcFirstLastPara="1" vertOverflow="ellipsis" horzOverflow="overflow" wrap="square" lIns="0" tIns="0" rIns="0" bIns="0" anchor="ctr" anchorCtr="1"/>
          <a:lstStyle/>
          <a:p>
            <a:pPr algn="ctr" rtl="0">
              <a:defRPr>
                <a:solidFill>
                  <a:schemeClr val="tx1">
                    <a:lumMod val="95000"/>
                    <a:lumOff val="5000"/>
                  </a:schemeClr>
                </a:solidFill>
              </a:defRPr>
            </a:pPr>
            <a:r>
              <a:rPr lang="en-IN" b="1">
                <a:solidFill>
                  <a:schemeClr val="tx1">
                    <a:lumMod val="95000"/>
                    <a:lumOff val="5000"/>
                  </a:schemeClr>
                </a:solidFill>
              </a:rPr>
              <a:t>Running Total Sales by Product</a:t>
            </a:r>
            <a:endParaRPr lang="en-US" sz="1400" b="1" i="0" u="none" strike="noStrike" baseline="0">
              <a:solidFill>
                <a:schemeClr val="tx1">
                  <a:lumMod val="95000"/>
                  <a:lumOff val="5000"/>
                </a:schemeClr>
              </a:solidFill>
              <a:latin typeface="Calibri"/>
            </a:endParaRPr>
          </a:p>
        </cx:rich>
      </cx:tx>
    </cx:title>
    <cx:plotArea>
      <cx:plotAreaRegion>
        <cx:series layoutId="clusteredColumn" uniqueId="{6737C41F-783A-44A6-B958-A8D7B6C5D091}" formatIdx="0">
          <cx:tx>
            <cx:txData>
              <cx:f>_xlchart.v1.10</cx:f>
              <cx:v>Sales</cx:v>
            </cx:txData>
          </cx:tx>
          <cx:spPr>
            <a:gradFill>
              <a:gsLst>
                <a:gs pos="0">
                  <a:schemeClr val="tx2">
                    <a:lumMod val="40000"/>
                    <a:lumOff val="60000"/>
                  </a:schemeClr>
                </a:gs>
                <a:gs pos="11000">
                  <a:schemeClr val="accent1">
                    <a:lumMod val="60000"/>
                    <a:lumOff val="40000"/>
                  </a:schemeClr>
                </a:gs>
                <a:gs pos="36000">
                  <a:schemeClr val="accent1">
                    <a:lumMod val="50000"/>
                  </a:schemeClr>
                </a:gs>
                <a:gs pos="60000">
                  <a:schemeClr val="accent6">
                    <a:lumMod val="60000"/>
                    <a:lumOff val="40000"/>
                  </a:schemeClr>
                </a:gs>
              </a:gsLst>
              <a:lin ang="5400000" scaled="1"/>
            </a:gradFill>
          </cx:spPr>
          <cx:dataId val="0"/>
          <cx:layoutPr>
            <cx:aggregation/>
          </cx:layoutPr>
          <cx:axisId val="1"/>
        </cx:series>
        <cx:series layoutId="paretoLine" ownerIdx="0" uniqueId="{8644A794-3273-41E7-99EB-E8A324C8A5AE}" formatIdx="1">
          <cx:axisId val="2"/>
        </cx:series>
        <cx:series layoutId="clusteredColumn" hidden="1" uniqueId="{B4064438-E574-4FB8-9EB9-A928D6F1B2AE}" formatIdx="2">
          <cx:tx>
            <cx:txData>
              <cx:f>_xlchart.v1.12</cx:f>
              <cx:v>Column1</cx:v>
            </cx:txData>
          </cx:tx>
          <cx:dataId val="1"/>
          <cx:layoutPr>
            <cx:aggregation/>
          </cx:layoutPr>
          <cx:axisId val="1"/>
        </cx:series>
        <cx:series layoutId="paretoLine" ownerIdx="2" uniqueId="{1542FF68-B5D9-4B71-997E-846764EE1F0A}" formatIdx="3">
          <cx:axisId val="2"/>
        </cx:series>
      </cx:plotAreaRegion>
      <cx:axis id="0">
        <cx:catScaling gapWidth="0"/>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a:endParaRPr>
          </a:p>
        </cx:txPr>
      </cx:axis>
      <cx:axis id="1">
        <cx:valScaling/>
        <cx:majorGridlines/>
        <cx:tickLabels/>
      </cx:axis>
      <cx:axis id="2">
        <cx:valScaling max="1" min="0"/>
        <cx:units unit="percentage"/>
        <cx:tickLabels/>
      </cx:axis>
    </cx:plotArea>
  </cx:chart>
  <cx:spPr>
    <a:gradFill>
      <a:gsLst>
        <a:gs pos="33000">
          <a:schemeClr val="tx2">
            <a:lumMod val="20000"/>
            <a:lumOff val="80000"/>
          </a:schemeClr>
        </a:gs>
        <a:gs pos="72000">
          <a:schemeClr val="accent1">
            <a:lumMod val="60000"/>
            <a:lumOff val="40000"/>
          </a:schemeClr>
        </a:gs>
        <a:gs pos="100000">
          <a:schemeClr val="accent1">
            <a:lumMod val="50000"/>
          </a:schemeClr>
        </a:gs>
        <a:gs pos="100000">
          <a:schemeClr val="tx2">
            <a:lumMod val="60000"/>
            <a:lumOff val="4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image" Target="../media/image3.png"/><Relationship Id="rId7" Type="http://schemas.microsoft.com/office/2007/relationships/hdphoto" Target="../media/hdphoto1.wdp"/><Relationship Id="rId12" Type="http://schemas.openxmlformats.org/officeDocument/2006/relationships/chart" Target="../charts/chart12.xml"/><Relationship Id="rId2" Type="http://schemas.openxmlformats.org/officeDocument/2006/relationships/image" Target="../media/image2.png"/><Relationship Id="rId16" Type="http://schemas.microsoft.com/office/2014/relationships/chartEx" Target="../charts/chartEx4.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11.xml"/><Relationship Id="rId5" Type="http://schemas.openxmlformats.org/officeDocument/2006/relationships/image" Target="../media/image5.png"/><Relationship Id="rId15" Type="http://schemas.microsoft.com/office/2014/relationships/chartEx" Target="../charts/chartEx3.xml"/><Relationship Id="rId10" Type="http://schemas.openxmlformats.org/officeDocument/2006/relationships/chart" Target="../charts/chart10.xml"/><Relationship Id="rId4" Type="http://schemas.openxmlformats.org/officeDocument/2006/relationships/image" Target="../media/image4.png"/><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9</xdr:col>
      <xdr:colOff>259080</xdr:colOff>
      <xdr:row>5</xdr:row>
      <xdr:rowOff>148590</xdr:rowOff>
    </xdr:from>
    <xdr:to>
      <xdr:col>14</xdr:col>
      <xdr:colOff>746760</xdr:colOff>
      <xdr:row>20</xdr:row>
      <xdr:rowOff>148590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D6D422D-560C-9484-908B-CDB2E5C0507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7429500" y="1062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396240</xdr:colOff>
      <xdr:row>5</xdr:row>
      <xdr:rowOff>148590</xdr:rowOff>
    </xdr:from>
    <xdr:to>
      <xdr:col>23</xdr:col>
      <xdr:colOff>30480</xdr:colOff>
      <xdr:row>20</xdr:row>
      <xdr:rowOff>148590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619B3659-8517-BE56-13FC-D827A50F028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019020" y="106299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640080</xdr:colOff>
      <xdr:row>23</xdr:row>
      <xdr:rowOff>114301</xdr:rowOff>
    </xdr:from>
    <xdr:to>
      <xdr:col>6</xdr:col>
      <xdr:colOff>449580</xdr:colOff>
      <xdr:row>28</xdr:row>
      <xdr:rowOff>137160</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D224CB19-6A79-4625-329E-40AC380156E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732020" y="4328161"/>
              <a:ext cx="1851660" cy="9372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1135380</xdr:colOff>
      <xdr:row>6</xdr:row>
      <xdr:rowOff>121921</xdr:rowOff>
    </xdr:from>
    <xdr:to>
      <xdr:col>8</xdr:col>
      <xdr:colOff>556260</xdr:colOff>
      <xdr:row>14</xdr:row>
      <xdr:rowOff>114301</xdr:rowOff>
    </xdr:to>
    <mc:AlternateContent xmlns:mc="http://schemas.openxmlformats.org/markup-compatibility/2006" xmlns:a14="http://schemas.microsoft.com/office/drawing/2010/main">
      <mc:Choice Requires="a14">
        <xdr:graphicFrame macro="">
          <xdr:nvGraphicFramePr>
            <xdr:cNvPr id="3" name="State">
              <a:extLst>
                <a:ext uri="{FF2B5EF4-FFF2-40B4-BE49-F238E27FC236}">
                  <a16:creationId xmlns:a16="http://schemas.microsoft.com/office/drawing/2014/main" id="{B835BF8E-B20A-8D36-2DE0-D73F9E31F812}"/>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3627120" y="1226821"/>
              <a:ext cx="4282440" cy="14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563880</xdr:colOff>
      <xdr:row>0</xdr:row>
      <xdr:rowOff>137161</xdr:rowOff>
    </xdr:from>
    <xdr:to>
      <xdr:col>13</xdr:col>
      <xdr:colOff>274320</xdr:colOff>
      <xdr:row>4</xdr:row>
      <xdr:rowOff>30480</xdr:rowOff>
    </xdr:to>
    <mc:AlternateContent xmlns:mc="http://schemas.openxmlformats.org/markup-compatibility/2006" xmlns:a14="http://schemas.microsoft.com/office/drawing/2010/main">
      <mc:Choice Requires="a14">
        <xdr:graphicFrame macro="">
          <xdr:nvGraphicFramePr>
            <xdr:cNvPr id="4" name="Category">
              <a:extLst>
                <a:ext uri="{FF2B5EF4-FFF2-40B4-BE49-F238E27FC236}">
                  <a16:creationId xmlns:a16="http://schemas.microsoft.com/office/drawing/2014/main" id="{C7F744B8-D458-29C6-ED23-93294ABB74B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7307580" y="137161"/>
              <a:ext cx="3368040" cy="6248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7620</xdr:colOff>
      <xdr:row>7</xdr:row>
      <xdr:rowOff>175261</xdr:rowOff>
    </xdr:from>
    <xdr:to>
      <xdr:col>13</xdr:col>
      <xdr:colOff>350520</xdr:colOff>
      <xdr:row>14</xdr:row>
      <xdr:rowOff>114301</xdr:rowOff>
    </xdr:to>
    <mc:AlternateContent xmlns:mc="http://schemas.openxmlformats.org/markup-compatibility/2006" xmlns:a14="http://schemas.microsoft.com/office/drawing/2010/main">
      <mc:Choice Requires="a14">
        <xdr:graphicFrame macro="">
          <xdr:nvGraphicFramePr>
            <xdr:cNvPr id="5" name="Sub Category">
              <a:extLst>
                <a:ext uri="{FF2B5EF4-FFF2-40B4-BE49-F238E27FC236}">
                  <a16:creationId xmlns:a16="http://schemas.microsoft.com/office/drawing/2014/main" id="{3B38C35E-B752-B825-AF6C-391B852CBD73}"/>
                </a:ext>
              </a:extLst>
            </xdr:cNvPr>
            <xdr:cNvGraphicFramePr/>
          </xdr:nvGraphicFramePr>
          <xdr:xfrm>
            <a:off x="0" y="0"/>
            <a:ext cx="0" cy="0"/>
          </xdr:xfrm>
          <a:graphic>
            <a:graphicData uri="http://schemas.microsoft.com/office/drawing/2010/slicer">
              <sle:slicer xmlns:sle="http://schemas.microsoft.com/office/drawing/2010/slicer" name="Sub Category"/>
            </a:graphicData>
          </a:graphic>
        </xdr:graphicFrame>
      </mc:Choice>
      <mc:Fallback xmlns="">
        <xdr:sp macro="" textlink="">
          <xdr:nvSpPr>
            <xdr:cNvPr id="0" name=""/>
            <xdr:cNvSpPr>
              <a:spLocks noTextEdit="1"/>
            </xdr:cNvSpPr>
          </xdr:nvSpPr>
          <xdr:spPr>
            <a:xfrm>
              <a:off x="8580120" y="1463041"/>
              <a:ext cx="2171700" cy="1219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106680</xdr:colOff>
      <xdr:row>15</xdr:row>
      <xdr:rowOff>129541</xdr:rowOff>
    </xdr:from>
    <xdr:to>
      <xdr:col>17</xdr:col>
      <xdr:colOff>419100</xdr:colOff>
      <xdr:row>25</xdr:row>
      <xdr:rowOff>22861</xdr:rowOff>
    </xdr:to>
    <mc:AlternateContent xmlns:mc="http://schemas.openxmlformats.org/markup-compatibility/2006" xmlns:a14="http://schemas.microsoft.com/office/drawing/2010/main">
      <mc:Choice Requires="a14">
        <xdr:graphicFrame macro="">
          <xdr:nvGraphicFramePr>
            <xdr:cNvPr id="6" name="Sales Person">
              <a:extLst>
                <a:ext uri="{FF2B5EF4-FFF2-40B4-BE49-F238E27FC236}">
                  <a16:creationId xmlns:a16="http://schemas.microsoft.com/office/drawing/2014/main" id="{EF33AF9D-93DC-2F19-FDDD-A04D462C0217}"/>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117580" y="2880361"/>
              <a:ext cx="2141220" cy="1722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182880</xdr:colOff>
      <xdr:row>10</xdr:row>
      <xdr:rowOff>30481</xdr:rowOff>
    </xdr:from>
    <xdr:to>
      <xdr:col>17</xdr:col>
      <xdr:colOff>464820</xdr:colOff>
      <xdr:row>15</xdr:row>
      <xdr:rowOff>7620</xdr:rowOff>
    </xdr:to>
    <mc:AlternateContent xmlns:mc="http://schemas.openxmlformats.org/markup-compatibility/2006" xmlns:a14="http://schemas.microsoft.com/office/drawing/2010/main">
      <mc:Choice Requires="a14">
        <xdr:graphicFrame macro="">
          <xdr:nvGraphicFramePr>
            <xdr:cNvPr id="7" name="Segment">
              <a:extLst>
                <a:ext uri="{FF2B5EF4-FFF2-40B4-BE49-F238E27FC236}">
                  <a16:creationId xmlns:a16="http://schemas.microsoft.com/office/drawing/2014/main" id="{CFBAF363-ADAE-6DF8-5D8D-F475F52A80D9}"/>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584180" y="1866901"/>
              <a:ext cx="2720340" cy="8915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251460</xdr:colOff>
      <xdr:row>5</xdr:row>
      <xdr:rowOff>144781</xdr:rowOff>
    </xdr:from>
    <xdr:to>
      <xdr:col>17</xdr:col>
      <xdr:colOff>286110</xdr:colOff>
      <xdr:row>9</xdr:row>
      <xdr:rowOff>38101</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F2D170CB-BF1D-3C68-D7C5-E7F9A79C0B5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1262360" y="1059181"/>
              <a:ext cx="1863450" cy="6324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640080</xdr:colOff>
      <xdr:row>5</xdr:row>
      <xdr:rowOff>148590</xdr:rowOff>
    </xdr:from>
    <xdr:to>
      <xdr:col>8</xdr:col>
      <xdr:colOff>350520</xdr:colOff>
      <xdr:row>20</xdr:row>
      <xdr:rowOff>140970</xdr:rowOff>
    </xdr:to>
    <xdr:graphicFrame macro="">
      <xdr:nvGraphicFramePr>
        <xdr:cNvPr id="9" name="Chart 8">
          <a:extLst>
            <a:ext uri="{FF2B5EF4-FFF2-40B4-BE49-F238E27FC236}">
              <a16:creationId xmlns:a16="http://schemas.microsoft.com/office/drawing/2014/main" id="{A74B53C6-1C7B-D132-704E-0ACC065C95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640080</xdr:colOff>
      <xdr:row>30</xdr:row>
      <xdr:rowOff>148590</xdr:rowOff>
    </xdr:from>
    <xdr:to>
      <xdr:col>8</xdr:col>
      <xdr:colOff>350520</xdr:colOff>
      <xdr:row>45</xdr:row>
      <xdr:rowOff>148590</xdr:rowOff>
    </xdr:to>
    <xdr:graphicFrame macro="">
      <xdr:nvGraphicFramePr>
        <xdr:cNvPr id="11" name="Chart 10">
          <a:extLst>
            <a:ext uri="{FF2B5EF4-FFF2-40B4-BE49-F238E27FC236}">
              <a16:creationId xmlns:a16="http://schemas.microsoft.com/office/drawing/2014/main" id="{F941E5FB-8AF5-940D-92ED-E65D966A5D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640080</xdr:colOff>
      <xdr:row>42</xdr:row>
      <xdr:rowOff>148590</xdr:rowOff>
    </xdr:from>
    <xdr:to>
      <xdr:col>8</xdr:col>
      <xdr:colOff>350520</xdr:colOff>
      <xdr:row>57</xdr:row>
      <xdr:rowOff>148590</xdr:rowOff>
    </xdr:to>
    <xdr:graphicFrame macro="">
      <xdr:nvGraphicFramePr>
        <xdr:cNvPr id="12" name="Chart 11">
          <a:extLst>
            <a:ext uri="{FF2B5EF4-FFF2-40B4-BE49-F238E27FC236}">
              <a16:creationId xmlns:a16="http://schemas.microsoft.com/office/drawing/2014/main" id="{5DB7BF38-4970-B68F-8E69-7B178AB104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640080</xdr:colOff>
      <xdr:row>51</xdr:row>
      <xdr:rowOff>148590</xdr:rowOff>
    </xdr:from>
    <xdr:to>
      <xdr:col>8</xdr:col>
      <xdr:colOff>350520</xdr:colOff>
      <xdr:row>66</xdr:row>
      <xdr:rowOff>148590</xdr:rowOff>
    </xdr:to>
    <xdr:graphicFrame macro="">
      <xdr:nvGraphicFramePr>
        <xdr:cNvPr id="13" name="Chart 12">
          <a:extLst>
            <a:ext uri="{FF2B5EF4-FFF2-40B4-BE49-F238E27FC236}">
              <a16:creationId xmlns:a16="http://schemas.microsoft.com/office/drawing/2014/main" id="{FC0CF2C8-0FE3-E4AC-8337-ABEFD224D9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640080</xdr:colOff>
      <xdr:row>67</xdr:row>
      <xdr:rowOff>148590</xdr:rowOff>
    </xdr:from>
    <xdr:to>
      <xdr:col>8</xdr:col>
      <xdr:colOff>350520</xdr:colOff>
      <xdr:row>82</xdr:row>
      <xdr:rowOff>148590</xdr:rowOff>
    </xdr:to>
    <xdr:graphicFrame macro="">
      <xdr:nvGraphicFramePr>
        <xdr:cNvPr id="14" name="Chart 13">
          <a:extLst>
            <a:ext uri="{FF2B5EF4-FFF2-40B4-BE49-F238E27FC236}">
              <a16:creationId xmlns:a16="http://schemas.microsoft.com/office/drawing/2014/main" id="{EC0B6C8F-0ECA-92C7-E3A0-36209646B4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640080</xdr:colOff>
      <xdr:row>83</xdr:row>
      <xdr:rowOff>148590</xdr:rowOff>
    </xdr:from>
    <xdr:to>
      <xdr:col>8</xdr:col>
      <xdr:colOff>350520</xdr:colOff>
      <xdr:row>98</xdr:row>
      <xdr:rowOff>148590</xdr:rowOff>
    </xdr:to>
    <xdr:graphicFrame macro="">
      <xdr:nvGraphicFramePr>
        <xdr:cNvPr id="15" name="Chart 14">
          <a:extLst>
            <a:ext uri="{FF2B5EF4-FFF2-40B4-BE49-F238E27FC236}">
              <a16:creationId xmlns:a16="http://schemas.microsoft.com/office/drawing/2014/main" id="{CAA790A5-13FD-3281-4E39-989B9866DD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640080</xdr:colOff>
      <xdr:row>95</xdr:row>
      <xdr:rowOff>148590</xdr:rowOff>
    </xdr:from>
    <xdr:to>
      <xdr:col>8</xdr:col>
      <xdr:colOff>350520</xdr:colOff>
      <xdr:row>110</xdr:row>
      <xdr:rowOff>148590</xdr:rowOff>
    </xdr:to>
    <xdr:graphicFrame macro="">
      <xdr:nvGraphicFramePr>
        <xdr:cNvPr id="16" name="Chart 15">
          <a:extLst>
            <a:ext uri="{FF2B5EF4-FFF2-40B4-BE49-F238E27FC236}">
              <a16:creationId xmlns:a16="http://schemas.microsoft.com/office/drawing/2014/main" id="{5CA0F9A2-B23C-9F1E-B8D5-7434D8CB8C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118242</xdr:colOff>
      <xdr:row>86</xdr:row>
      <xdr:rowOff>170793</xdr:rowOff>
    </xdr:from>
    <xdr:to>
      <xdr:col>45</xdr:col>
      <xdr:colOff>172108</xdr:colOff>
      <xdr:row>104</xdr:row>
      <xdr:rowOff>118240</xdr:rowOff>
    </xdr:to>
    <xdr:sp macro="" textlink="">
      <xdr:nvSpPr>
        <xdr:cNvPr id="2" name="TextBox 1">
          <a:extLst>
            <a:ext uri="{FF2B5EF4-FFF2-40B4-BE49-F238E27FC236}">
              <a16:creationId xmlns:a16="http://schemas.microsoft.com/office/drawing/2014/main" id="{8DC87561-35BB-22DF-BE68-D692A5AA9F7F}"/>
            </a:ext>
          </a:extLst>
        </xdr:cNvPr>
        <xdr:cNvSpPr txBox="1"/>
      </xdr:nvSpPr>
      <xdr:spPr>
        <a:xfrm>
          <a:off x="26105070" y="15988862"/>
          <a:ext cx="1262555" cy="3258206"/>
        </a:xfrm>
        <a:prstGeom prst="rect">
          <a:avLst/>
        </a:prstGeom>
        <a:solidFill>
          <a:schemeClr val="accent1">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editAs="oneCell">
    <xdr:from>
      <xdr:col>4</xdr:col>
      <xdr:colOff>106680</xdr:colOff>
      <xdr:row>0</xdr:row>
      <xdr:rowOff>83820</xdr:rowOff>
    </xdr:from>
    <xdr:to>
      <xdr:col>4</xdr:col>
      <xdr:colOff>594360</xdr:colOff>
      <xdr:row>3</xdr:row>
      <xdr:rowOff>37204</xdr:rowOff>
    </xdr:to>
    <xdr:pic>
      <xdr:nvPicPr>
        <xdr:cNvPr id="3" name="Picture 2">
          <a:extLst>
            <a:ext uri="{FF2B5EF4-FFF2-40B4-BE49-F238E27FC236}">
              <a16:creationId xmlns:a16="http://schemas.microsoft.com/office/drawing/2014/main" id="{8E5E663F-5640-8C86-65E2-21A4F4C282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45080" y="83820"/>
          <a:ext cx="487680" cy="502024"/>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0</xdr:row>
      <xdr:rowOff>0</xdr:rowOff>
    </xdr:from>
    <xdr:to>
      <xdr:col>1</xdr:col>
      <xdr:colOff>228600</xdr:colOff>
      <xdr:row>3</xdr:row>
      <xdr:rowOff>120036</xdr:rowOff>
    </xdr:to>
    <xdr:pic>
      <xdr:nvPicPr>
        <xdr:cNvPr id="4" name="Picture 3">
          <a:extLst>
            <a:ext uri="{FF2B5EF4-FFF2-40B4-BE49-F238E27FC236}">
              <a16:creationId xmlns:a16="http://schemas.microsoft.com/office/drawing/2014/main" id="{B24CDFF5-9E6C-A03F-E676-D8824377BAE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0"/>
          <a:ext cx="838200" cy="668676"/>
        </a:xfrm>
        <a:prstGeom prst="rect">
          <a:avLst/>
        </a:prstGeom>
        <a:noFill/>
        <a:effectLst>
          <a:outerShdw blurRad="50800" dist="38100" dir="2700000" algn="t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44824</xdr:colOff>
      <xdr:row>0</xdr:row>
      <xdr:rowOff>0</xdr:rowOff>
    </xdr:from>
    <xdr:to>
      <xdr:col>8</xdr:col>
      <xdr:colOff>585844</xdr:colOff>
      <xdr:row>7</xdr:row>
      <xdr:rowOff>15240</xdr:rowOff>
    </xdr:to>
    <xdr:pic>
      <xdr:nvPicPr>
        <xdr:cNvPr id="5" name="Picture 4">
          <a:extLst>
            <a:ext uri="{FF2B5EF4-FFF2-40B4-BE49-F238E27FC236}">
              <a16:creationId xmlns:a16="http://schemas.microsoft.com/office/drawing/2014/main" id="{D864A466-030F-A7CF-49F5-DA80599A6CA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4921624" y="0"/>
          <a:ext cx="541020" cy="1270299"/>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12</xdr:col>
      <xdr:colOff>125505</xdr:colOff>
      <xdr:row>0</xdr:row>
      <xdr:rowOff>0</xdr:rowOff>
    </xdr:from>
    <xdr:to>
      <xdr:col>13</xdr:col>
      <xdr:colOff>56925</xdr:colOff>
      <xdr:row>3</xdr:row>
      <xdr:rowOff>83821</xdr:rowOff>
    </xdr:to>
    <xdr:pic>
      <xdr:nvPicPr>
        <xdr:cNvPr id="6" name="Picture 5">
          <a:extLst>
            <a:ext uri="{FF2B5EF4-FFF2-40B4-BE49-F238E27FC236}">
              <a16:creationId xmlns:a16="http://schemas.microsoft.com/office/drawing/2014/main" id="{4010A1AD-B040-2983-B0BA-4B3469181D6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440705" y="0"/>
          <a:ext cx="541020" cy="621703"/>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editAs="oneCell">
    <xdr:from>
      <xdr:col>16</xdr:col>
      <xdr:colOff>24857</xdr:colOff>
      <xdr:row>0</xdr:row>
      <xdr:rowOff>20782</xdr:rowOff>
    </xdr:from>
    <xdr:to>
      <xdr:col>16</xdr:col>
      <xdr:colOff>581117</xdr:colOff>
      <xdr:row>3</xdr:row>
      <xdr:rowOff>66502</xdr:rowOff>
    </xdr:to>
    <xdr:pic>
      <xdr:nvPicPr>
        <xdr:cNvPr id="7" name="Picture 6">
          <a:extLst>
            <a:ext uri="{FF2B5EF4-FFF2-40B4-BE49-F238E27FC236}">
              <a16:creationId xmlns:a16="http://schemas.microsoft.com/office/drawing/2014/main" id="{454FC837-195E-A760-7B7C-9722CBB141CE}"/>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9778457" y="20782"/>
          <a:ext cx="556260" cy="586047"/>
        </a:xfrm>
        <a:prstGeom prst="rect">
          <a:avLst/>
        </a:prstGeom>
        <a:noFill/>
        <a:effectLst>
          <a:outerShdw blurRad="50800" dist="38100" algn="l" rotWithShape="0">
            <a:prstClr val="black">
              <a:alpha val="40000"/>
            </a:prst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152400</xdr:colOff>
      <xdr:row>1</xdr:row>
      <xdr:rowOff>22860</xdr:rowOff>
    </xdr:from>
    <xdr:to>
      <xdr:col>2</xdr:col>
      <xdr:colOff>449580</xdr:colOff>
      <xdr:row>2</xdr:row>
      <xdr:rowOff>76200</xdr:rowOff>
    </xdr:to>
    <xdr:sp macro="" textlink="">
      <xdr:nvSpPr>
        <xdr:cNvPr id="8" name="Rectangle 7">
          <a:extLst>
            <a:ext uri="{FF2B5EF4-FFF2-40B4-BE49-F238E27FC236}">
              <a16:creationId xmlns:a16="http://schemas.microsoft.com/office/drawing/2014/main" id="{CC41B184-3DC8-7F93-EFC6-1E4C3F5770BF}"/>
            </a:ext>
          </a:extLst>
        </xdr:cNvPr>
        <xdr:cNvSpPr/>
      </xdr:nvSpPr>
      <xdr:spPr>
        <a:xfrm>
          <a:off x="762000" y="205740"/>
          <a:ext cx="906780" cy="23622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Sales</a:t>
          </a:r>
          <a:endParaRPr lang="en-IN" sz="1100"/>
        </a:p>
      </xdr:txBody>
    </xdr:sp>
    <xdr:clientData/>
  </xdr:twoCellAnchor>
  <xdr:twoCellAnchor>
    <xdr:from>
      <xdr:col>4</xdr:col>
      <xdr:colOff>115467</xdr:colOff>
      <xdr:row>3</xdr:row>
      <xdr:rowOff>146771</xdr:rowOff>
    </xdr:from>
    <xdr:to>
      <xdr:col>4</xdr:col>
      <xdr:colOff>237387</xdr:colOff>
      <xdr:row>4</xdr:row>
      <xdr:rowOff>70490</xdr:rowOff>
    </xdr:to>
    <xdr:sp macro="" textlink="">
      <xdr:nvSpPr>
        <xdr:cNvPr id="9" name="Arrow: Up 8">
          <a:extLst>
            <a:ext uri="{FF2B5EF4-FFF2-40B4-BE49-F238E27FC236}">
              <a16:creationId xmlns:a16="http://schemas.microsoft.com/office/drawing/2014/main" id="{0DAE15AA-C540-332E-D529-8E9549606B57}"/>
            </a:ext>
          </a:extLst>
        </xdr:cNvPr>
        <xdr:cNvSpPr/>
      </xdr:nvSpPr>
      <xdr:spPr>
        <a:xfrm>
          <a:off x="2552259" y="695652"/>
          <a:ext cx="121920" cy="106680"/>
        </a:xfrm>
        <a:prstGeom prst="upArrow">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30480</xdr:colOff>
      <xdr:row>1</xdr:row>
      <xdr:rowOff>45720</xdr:rowOff>
    </xdr:from>
    <xdr:to>
      <xdr:col>6</xdr:col>
      <xdr:colOff>274320</xdr:colOff>
      <xdr:row>2</xdr:row>
      <xdr:rowOff>53340</xdr:rowOff>
    </xdr:to>
    <xdr:sp macro="" textlink="">
      <xdr:nvSpPr>
        <xdr:cNvPr id="10" name="Rectangle 9">
          <a:extLst>
            <a:ext uri="{FF2B5EF4-FFF2-40B4-BE49-F238E27FC236}">
              <a16:creationId xmlns:a16="http://schemas.microsoft.com/office/drawing/2014/main" id="{62A0A9AA-5EF5-B118-7EE5-E3AE91B32509}"/>
            </a:ext>
          </a:extLst>
        </xdr:cNvPr>
        <xdr:cNvSpPr/>
      </xdr:nvSpPr>
      <xdr:spPr>
        <a:xfrm>
          <a:off x="3078480" y="228600"/>
          <a:ext cx="853440" cy="1905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 Profit</a:t>
          </a:r>
          <a:r>
            <a:rPr lang="en-IN" sz="1100" baseline="0"/>
            <a:t> </a:t>
          </a:r>
          <a:endParaRPr lang="en-IN" sz="1100"/>
        </a:p>
      </xdr:txBody>
    </xdr:sp>
    <xdr:clientData/>
  </xdr:twoCellAnchor>
  <xdr:twoCellAnchor>
    <xdr:from>
      <xdr:col>9</xdr:col>
      <xdr:colOff>26894</xdr:colOff>
      <xdr:row>0</xdr:row>
      <xdr:rowOff>170328</xdr:rowOff>
    </xdr:from>
    <xdr:to>
      <xdr:col>10</xdr:col>
      <xdr:colOff>564776</xdr:colOff>
      <xdr:row>2</xdr:row>
      <xdr:rowOff>170330</xdr:rowOff>
    </xdr:to>
    <xdr:sp macro="" textlink="">
      <xdr:nvSpPr>
        <xdr:cNvPr id="11" name="Rectangle 10">
          <a:extLst>
            <a:ext uri="{FF2B5EF4-FFF2-40B4-BE49-F238E27FC236}">
              <a16:creationId xmlns:a16="http://schemas.microsoft.com/office/drawing/2014/main" id="{FD43DD7B-8DD6-5636-00CE-0C5DBF306A6D}"/>
            </a:ext>
          </a:extLst>
        </xdr:cNvPr>
        <xdr:cNvSpPr/>
      </xdr:nvSpPr>
      <xdr:spPr>
        <a:xfrm>
          <a:off x="5513294" y="170328"/>
          <a:ext cx="1147482" cy="35859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Avg order value</a:t>
          </a:r>
        </a:p>
      </xdr:txBody>
    </xdr:sp>
    <xdr:clientData/>
  </xdr:twoCellAnchor>
  <xdr:twoCellAnchor>
    <xdr:from>
      <xdr:col>13</xdr:col>
      <xdr:colOff>152400</xdr:colOff>
      <xdr:row>1</xdr:row>
      <xdr:rowOff>35859</xdr:rowOff>
    </xdr:from>
    <xdr:to>
      <xdr:col>14</xdr:col>
      <xdr:colOff>537882</xdr:colOff>
      <xdr:row>2</xdr:row>
      <xdr:rowOff>71718</xdr:rowOff>
    </xdr:to>
    <xdr:sp macro="" textlink="">
      <xdr:nvSpPr>
        <xdr:cNvPr id="12" name="Rectangle 11">
          <a:extLst>
            <a:ext uri="{FF2B5EF4-FFF2-40B4-BE49-F238E27FC236}">
              <a16:creationId xmlns:a16="http://schemas.microsoft.com/office/drawing/2014/main" id="{8A83C4A3-D307-D7BA-5578-87B1AFDDDD2F}"/>
            </a:ext>
          </a:extLst>
        </xdr:cNvPr>
        <xdr:cNvSpPr/>
      </xdr:nvSpPr>
      <xdr:spPr>
        <a:xfrm>
          <a:off x="8077200" y="215153"/>
          <a:ext cx="995082" cy="215153"/>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order</a:t>
          </a:r>
          <a:endParaRPr lang="en-IN" sz="1100"/>
        </a:p>
      </xdr:txBody>
    </xdr:sp>
    <xdr:clientData/>
  </xdr:twoCellAnchor>
  <xdr:twoCellAnchor>
    <xdr:from>
      <xdr:col>16</xdr:col>
      <xdr:colOff>559886</xdr:colOff>
      <xdr:row>0</xdr:row>
      <xdr:rowOff>167069</xdr:rowOff>
    </xdr:from>
    <xdr:to>
      <xdr:col>18</xdr:col>
      <xdr:colOff>362663</xdr:colOff>
      <xdr:row>2</xdr:row>
      <xdr:rowOff>86388</xdr:rowOff>
    </xdr:to>
    <xdr:sp macro="" textlink="">
      <xdr:nvSpPr>
        <xdr:cNvPr id="13" name="Rectangle 12">
          <a:extLst>
            <a:ext uri="{FF2B5EF4-FFF2-40B4-BE49-F238E27FC236}">
              <a16:creationId xmlns:a16="http://schemas.microsoft.com/office/drawing/2014/main" id="{ABD167B0-603F-97EC-4561-60EBABF43A31}"/>
            </a:ext>
          </a:extLst>
        </xdr:cNvPr>
        <xdr:cNvSpPr/>
      </xdr:nvSpPr>
      <xdr:spPr>
        <a:xfrm>
          <a:off x="10313486" y="167069"/>
          <a:ext cx="1021977" cy="27953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Total</a:t>
          </a:r>
          <a:r>
            <a:rPr lang="en-IN" sz="1100" baseline="0"/>
            <a:t> Quantity</a:t>
          </a:r>
          <a:endParaRPr lang="en-IN" sz="1100"/>
        </a:p>
      </xdr:txBody>
    </xdr:sp>
    <xdr:clientData/>
  </xdr:twoCellAnchor>
  <xdr:twoCellAnchor>
    <xdr:from>
      <xdr:col>12</xdr:col>
      <xdr:colOff>295835</xdr:colOff>
      <xdr:row>3</xdr:row>
      <xdr:rowOff>44824</xdr:rowOff>
    </xdr:from>
    <xdr:to>
      <xdr:col>12</xdr:col>
      <xdr:colOff>591670</xdr:colOff>
      <xdr:row>4</xdr:row>
      <xdr:rowOff>107577</xdr:rowOff>
    </xdr:to>
    <xdr:sp macro="" textlink="">
      <xdr:nvSpPr>
        <xdr:cNvPr id="14" name="Plus Sign 13">
          <a:extLst>
            <a:ext uri="{FF2B5EF4-FFF2-40B4-BE49-F238E27FC236}">
              <a16:creationId xmlns:a16="http://schemas.microsoft.com/office/drawing/2014/main" id="{6D49DD09-322C-D20B-CCC0-4C9A226BAD43}"/>
            </a:ext>
          </a:extLst>
        </xdr:cNvPr>
        <xdr:cNvSpPr/>
      </xdr:nvSpPr>
      <xdr:spPr>
        <a:xfrm>
          <a:off x="7611035" y="596153"/>
          <a:ext cx="295835" cy="246530"/>
        </a:xfrm>
        <a:prstGeom prst="mathPlus">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20</xdr:col>
      <xdr:colOff>5591</xdr:colOff>
      <xdr:row>0</xdr:row>
      <xdr:rowOff>0</xdr:rowOff>
    </xdr:from>
    <xdr:to>
      <xdr:col>21</xdr:col>
      <xdr:colOff>176782</xdr:colOff>
      <xdr:row>3</xdr:row>
      <xdr:rowOff>78828</xdr:rowOff>
    </xdr:to>
    <xdr:pic>
      <xdr:nvPicPr>
        <xdr:cNvPr id="15" name="Picture 14">
          <a:extLst>
            <a:ext uri="{FF2B5EF4-FFF2-40B4-BE49-F238E27FC236}">
              <a16:creationId xmlns:a16="http://schemas.microsoft.com/office/drawing/2014/main" id="{3CCBE175-00FA-2F0D-E940-CC6BA125E970}"/>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10000" b="90000" l="10000" r="90000">
                      <a14:foregroundMark x1="64350" y1="30882" x2="63444" y2="63235"/>
                      <a14:foregroundMark x1="63444" y1="63235" x2="61934" y2="22426"/>
                      <a14:foregroundMark x1="61934" y1="22426" x2="65257" y2="81618"/>
                      <a14:foregroundMark x1="61631" y1="44853" x2="57704" y2="67279"/>
                      <a14:foregroundMark x1="41088" y1="40441" x2="40483" y2="66912"/>
                      <a14:foregroundMark x1="40483" y1="66912" x2="40785" y2="40441"/>
                      <a14:foregroundMark x1="17523" y1="54412" x2="17523" y2="84926"/>
                      <a14:foregroundMark x1="17523" y1="84926" x2="21148" y2="55882"/>
                      <a14:foregroundMark x1="21148" y1="55882" x2="19335" y2="80515"/>
                      <a14:foregroundMark x1="79758" y1="10294" x2="79758" y2="10294"/>
                    </a14:backgroundRemoval>
                  </a14:imgEffect>
                </a14:imgLayer>
              </a14:imgProps>
            </a:ext>
          </a:extLst>
        </a:blip>
        <a:stretch>
          <a:fillRect/>
        </a:stretch>
      </xdr:blipFill>
      <xdr:spPr>
        <a:xfrm>
          <a:off x="12267660" y="0"/>
          <a:ext cx="784294" cy="630621"/>
        </a:xfrm>
        <a:prstGeom prst="rect">
          <a:avLst/>
        </a:prstGeom>
        <a:effectLst>
          <a:outerShdw blurRad="50800" dist="38100" algn="l" rotWithShape="0">
            <a:prstClr val="black">
              <a:alpha val="40000"/>
            </a:prstClr>
          </a:outerShdw>
        </a:effectLst>
      </xdr:spPr>
    </xdr:pic>
    <xdr:clientData/>
  </xdr:twoCellAnchor>
  <xdr:twoCellAnchor>
    <xdr:from>
      <xdr:col>20</xdr:col>
      <xdr:colOff>486201</xdr:colOff>
      <xdr:row>3</xdr:row>
      <xdr:rowOff>150694</xdr:rowOff>
    </xdr:from>
    <xdr:to>
      <xdr:col>20</xdr:col>
      <xdr:colOff>602776</xdr:colOff>
      <xdr:row>4</xdr:row>
      <xdr:rowOff>113731</xdr:rowOff>
    </xdr:to>
    <xdr:sp macro="" textlink="">
      <xdr:nvSpPr>
        <xdr:cNvPr id="16" name="Arrow: Up 15">
          <a:extLst>
            <a:ext uri="{FF2B5EF4-FFF2-40B4-BE49-F238E27FC236}">
              <a16:creationId xmlns:a16="http://schemas.microsoft.com/office/drawing/2014/main" id="{EC8A8106-7B16-8B04-282F-7C3CF52CB90F}"/>
            </a:ext>
          </a:extLst>
        </xdr:cNvPr>
        <xdr:cNvSpPr/>
      </xdr:nvSpPr>
      <xdr:spPr>
        <a:xfrm>
          <a:off x="12655455" y="696604"/>
          <a:ext cx="116575" cy="145008"/>
        </a:xfrm>
        <a:prstGeom prst="upArrow">
          <a:avLst>
            <a:gd name="adj1" fmla="val 50000"/>
            <a:gd name="adj2" fmla="val 50000"/>
          </a:avLst>
        </a:prstGeom>
      </xdr:spPr>
      <xdr:style>
        <a:lnRef idx="1">
          <a:schemeClr val="accent3"/>
        </a:lnRef>
        <a:fillRef idx="3">
          <a:schemeClr val="accent3"/>
        </a:fillRef>
        <a:effectRef idx="2">
          <a:schemeClr val="accent3"/>
        </a:effectRef>
        <a:fontRef idx="minor">
          <a:schemeClr val="lt1"/>
        </a:fontRef>
      </xdr:style>
      <xdr:txBody>
        <a:bodyPr vertOverflow="clip" horzOverflow="clip" rtlCol="0" anchor="t"/>
        <a:lstStyle/>
        <a:p>
          <a:pPr algn="l"/>
          <a:endParaRPr lang="en-IN" sz="1100"/>
        </a:p>
      </xdr:txBody>
    </xdr:sp>
    <xdr:clientData/>
  </xdr:twoCellAnchor>
  <xdr:twoCellAnchor>
    <xdr:from>
      <xdr:col>21</xdr:col>
      <xdr:colOff>192218</xdr:colOff>
      <xdr:row>0</xdr:row>
      <xdr:rowOff>185350</xdr:rowOff>
    </xdr:from>
    <xdr:to>
      <xdr:col>22</xdr:col>
      <xdr:colOff>535461</xdr:colOff>
      <xdr:row>2</xdr:row>
      <xdr:rowOff>75512</xdr:rowOff>
    </xdr:to>
    <xdr:sp macro="" textlink="">
      <xdr:nvSpPr>
        <xdr:cNvPr id="17" name="Rectangle 16">
          <a:extLst>
            <a:ext uri="{FF2B5EF4-FFF2-40B4-BE49-F238E27FC236}">
              <a16:creationId xmlns:a16="http://schemas.microsoft.com/office/drawing/2014/main" id="{A961E976-4820-32C6-9C83-2517B82270BF}"/>
            </a:ext>
          </a:extLst>
        </xdr:cNvPr>
        <xdr:cNvSpPr/>
      </xdr:nvSpPr>
      <xdr:spPr>
        <a:xfrm>
          <a:off x="13022650" y="185350"/>
          <a:ext cx="954216" cy="26086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pPr algn="l"/>
          <a:r>
            <a:rPr lang="en-IN" sz="1100"/>
            <a:t>Profit</a:t>
          </a:r>
          <a:r>
            <a:rPr lang="en-IN" sz="1100" baseline="0"/>
            <a:t> Margin</a:t>
          </a:r>
          <a:endParaRPr lang="en-IN" sz="1100"/>
        </a:p>
      </xdr:txBody>
    </xdr:sp>
    <xdr:clientData/>
  </xdr:twoCellAnchor>
  <xdr:twoCellAnchor editAs="oneCell">
    <xdr:from>
      <xdr:col>0</xdr:col>
      <xdr:colOff>0</xdr:colOff>
      <xdr:row>10</xdr:row>
      <xdr:rowOff>51785</xdr:rowOff>
    </xdr:from>
    <xdr:to>
      <xdr:col>2</xdr:col>
      <xdr:colOff>577048</xdr:colOff>
      <xdr:row>15</xdr:row>
      <xdr:rowOff>73980</xdr:rowOff>
    </xdr:to>
    <mc:AlternateContent xmlns:mc="http://schemas.openxmlformats.org/markup-compatibility/2006" xmlns:a14="http://schemas.microsoft.com/office/drawing/2010/main">
      <mc:Choice Requires="a14">
        <xdr:graphicFrame macro="">
          <xdr:nvGraphicFramePr>
            <xdr:cNvPr id="18" name="Region 1">
              <a:extLst>
                <a:ext uri="{FF2B5EF4-FFF2-40B4-BE49-F238E27FC236}">
                  <a16:creationId xmlns:a16="http://schemas.microsoft.com/office/drawing/2014/main" id="{09CB2DC9-1D1E-4FA4-B587-A44E93C136E4}"/>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1858589"/>
              <a:ext cx="1802533" cy="92559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14796</xdr:colOff>
      <xdr:row>6</xdr:row>
      <xdr:rowOff>14795</xdr:rowOff>
    </xdr:from>
    <xdr:to>
      <xdr:col>2</xdr:col>
      <xdr:colOff>591844</xdr:colOff>
      <xdr:row>9</xdr:row>
      <xdr:rowOff>147961</xdr:rowOff>
    </xdr:to>
    <mc:AlternateContent xmlns:mc="http://schemas.openxmlformats.org/markup-compatibility/2006" xmlns:a14="http://schemas.microsoft.com/office/drawing/2010/main">
      <mc:Choice Requires="a14">
        <xdr:graphicFrame macro="">
          <xdr:nvGraphicFramePr>
            <xdr:cNvPr id="19" name="year 1">
              <a:extLst>
                <a:ext uri="{FF2B5EF4-FFF2-40B4-BE49-F238E27FC236}">
                  <a16:creationId xmlns:a16="http://schemas.microsoft.com/office/drawing/2014/main" id="{47AE5553-D01A-4718-8D21-269F915E3209}"/>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4796" y="1098877"/>
              <a:ext cx="1802533" cy="6752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14797</xdr:colOff>
      <xdr:row>15</xdr:row>
      <xdr:rowOff>155360</xdr:rowOff>
    </xdr:from>
    <xdr:to>
      <xdr:col>3</xdr:col>
      <xdr:colOff>0</xdr:colOff>
      <xdr:row>22</xdr:row>
      <xdr:rowOff>59186</xdr:rowOff>
    </xdr:to>
    <mc:AlternateContent xmlns:mc="http://schemas.openxmlformats.org/markup-compatibility/2006" xmlns:a14="http://schemas.microsoft.com/office/drawing/2010/main">
      <mc:Choice Requires="a14">
        <xdr:graphicFrame macro="">
          <xdr:nvGraphicFramePr>
            <xdr:cNvPr id="20" name="Category 1">
              <a:extLst>
                <a:ext uri="{FF2B5EF4-FFF2-40B4-BE49-F238E27FC236}">
                  <a16:creationId xmlns:a16="http://schemas.microsoft.com/office/drawing/2014/main" id="{2FA926F2-BCC2-40D2-93B4-F5F1C1659204}"/>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4797" y="2865566"/>
              <a:ext cx="1823430" cy="11685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23</xdr:row>
      <xdr:rowOff>29593</xdr:rowOff>
    </xdr:from>
    <xdr:to>
      <xdr:col>2</xdr:col>
      <xdr:colOff>591845</xdr:colOff>
      <xdr:row>33</xdr:row>
      <xdr:rowOff>73981</xdr:rowOff>
    </xdr:to>
    <mc:AlternateContent xmlns:mc="http://schemas.openxmlformats.org/markup-compatibility/2006" xmlns:a14="http://schemas.microsoft.com/office/drawing/2010/main">
      <mc:Choice Requires="a14">
        <xdr:graphicFrame macro="">
          <xdr:nvGraphicFramePr>
            <xdr:cNvPr id="22" name="State 1">
              <a:extLst>
                <a:ext uri="{FF2B5EF4-FFF2-40B4-BE49-F238E27FC236}">
                  <a16:creationId xmlns:a16="http://schemas.microsoft.com/office/drawing/2014/main" id="{E0080DE1-1B3D-4715-B8D6-B12229CA6287}"/>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 y="4185242"/>
              <a:ext cx="1817329" cy="18511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33</xdr:row>
      <xdr:rowOff>170155</xdr:rowOff>
    </xdr:from>
    <xdr:to>
      <xdr:col>3</xdr:col>
      <xdr:colOff>44389</xdr:colOff>
      <xdr:row>41</xdr:row>
      <xdr:rowOff>133164</xdr:rowOff>
    </xdr:to>
    <mc:AlternateContent xmlns:mc="http://schemas.openxmlformats.org/markup-compatibility/2006" xmlns:a14="http://schemas.microsoft.com/office/drawing/2010/main">
      <mc:Choice Requires="a14">
        <xdr:graphicFrame macro="">
          <xdr:nvGraphicFramePr>
            <xdr:cNvPr id="23" name="Sub Category 1">
              <a:extLst>
                <a:ext uri="{FF2B5EF4-FFF2-40B4-BE49-F238E27FC236}">
                  <a16:creationId xmlns:a16="http://schemas.microsoft.com/office/drawing/2014/main" id="{35441EC7-D43B-4C25-9520-320128F43513}"/>
                </a:ext>
              </a:extLst>
            </xdr:cNvPr>
            <xdr:cNvGraphicFramePr/>
          </xdr:nvGraphicFramePr>
          <xdr:xfrm>
            <a:off x="0" y="0"/>
            <a:ext cx="0" cy="0"/>
          </xdr:xfrm>
          <a:graphic>
            <a:graphicData uri="http://schemas.microsoft.com/office/drawing/2010/slicer">
              <sle:slicer xmlns:sle="http://schemas.microsoft.com/office/drawing/2010/slicer" name="Sub Category 1"/>
            </a:graphicData>
          </a:graphic>
        </xdr:graphicFrame>
      </mc:Choice>
      <mc:Fallback xmlns="">
        <xdr:sp macro="" textlink="">
          <xdr:nvSpPr>
            <xdr:cNvPr id="0" name=""/>
            <xdr:cNvSpPr>
              <a:spLocks noTextEdit="1"/>
            </xdr:cNvSpPr>
          </xdr:nvSpPr>
          <xdr:spPr>
            <a:xfrm>
              <a:off x="0" y="6132609"/>
              <a:ext cx="1882616" cy="140845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66582</xdr:rowOff>
    </xdr:from>
    <xdr:to>
      <xdr:col>3</xdr:col>
      <xdr:colOff>0</xdr:colOff>
      <xdr:row>51</xdr:row>
      <xdr:rowOff>147960</xdr:rowOff>
    </xdr:to>
    <mc:AlternateContent xmlns:mc="http://schemas.openxmlformats.org/markup-compatibility/2006" xmlns:a14="http://schemas.microsoft.com/office/drawing/2010/main">
      <mc:Choice Requires="a14">
        <xdr:graphicFrame macro="">
          <xdr:nvGraphicFramePr>
            <xdr:cNvPr id="24" name="Sales Person 1">
              <a:extLst>
                <a:ext uri="{FF2B5EF4-FFF2-40B4-BE49-F238E27FC236}">
                  <a16:creationId xmlns:a16="http://schemas.microsoft.com/office/drawing/2014/main" id="{01AAC820-1479-47BD-93A5-2EBD0C2FCCEB}"/>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0" y="7655159"/>
              <a:ext cx="1838227" cy="1707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81379</xdr:colOff>
      <xdr:row>5</xdr:row>
      <xdr:rowOff>147962</xdr:rowOff>
    </xdr:from>
    <xdr:to>
      <xdr:col>10</xdr:col>
      <xdr:colOff>406893</xdr:colOff>
      <xdr:row>20</xdr:row>
      <xdr:rowOff>116890</xdr:rowOff>
    </xdr:to>
    <xdr:graphicFrame macro="">
      <xdr:nvGraphicFramePr>
        <xdr:cNvPr id="25" name="Chart 24">
          <a:extLst>
            <a:ext uri="{FF2B5EF4-FFF2-40B4-BE49-F238E27FC236}">
              <a16:creationId xmlns:a16="http://schemas.microsoft.com/office/drawing/2014/main" id="{5D9EA24F-A412-433B-835A-204141F21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495670</xdr:colOff>
      <xdr:row>6</xdr:row>
      <xdr:rowOff>14796</xdr:rowOff>
    </xdr:from>
    <xdr:to>
      <xdr:col>16</xdr:col>
      <xdr:colOff>29594</xdr:colOff>
      <xdr:row>20</xdr:row>
      <xdr:rowOff>140564</xdr:rowOff>
    </xdr:to>
    <xdr:graphicFrame macro="">
      <xdr:nvGraphicFramePr>
        <xdr:cNvPr id="26" name="Chart 25">
          <a:extLst>
            <a:ext uri="{FF2B5EF4-FFF2-40B4-BE49-F238E27FC236}">
              <a16:creationId xmlns:a16="http://schemas.microsoft.com/office/drawing/2014/main" id="{6DBAA00B-370D-4F87-AE22-1C253410C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16</xdr:col>
      <xdr:colOff>125768</xdr:colOff>
      <xdr:row>5</xdr:row>
      <xdr:rowOff>133165</xdr:rowOff>
    </xdr:from>
    <xdr:to>
      <xdr:col>26</xdr:col>
      <xdr:colOff>114822</xdr:colOff>
      <xdr:row>20</xdr:row>
      <xdr:rowOff>135698</xdr:rowOff>
    </xdr:to>
    <xdr:graphicFrame macro="">
      <xdr:nvGraphicFramePr>
        <xdr:cNvPr id="27" name="Chart 26">
          <a:extLst>
            <a:ext uri="{FF2B5EF4-FFF2-40B4-BE49-F238E27FC236}">
              <a16:creationId xmlns:a16="http://schemas.microsoft.com/office/drawing/2014/main" id="{2DCA8421-4BE2-433A-B1E3-0B1078445E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258933</xdr:colOff>
      <xdr:row>21</xdr:row>
      <xdr:rowOff>66582</xdr:rowOff>
    </xdr:from>
    <xdr:to>
      <xdr:col>10</xdr:col>
      <xdr:colOff>584447</xdr:colOff>
      <xdr:row>36</xdr:row>
      <xdr:rowOff>35511</xdr:rowOff>
    </xdr:to>
    <xdr:graphicFrame macro="">
      <xdr:nvGraphicFramePr>
        <xdr:cNvPr id="28" name="Chart 27">
          <a:extLst>
            <a:ext uri="{FF2B5EF4-FFF2-40B4-BE49-F238E27FC236}">
              <a16:creationId xmlns:a16="http://schemas.microsoft.com/office/drawing/2014/main" id="{E9624902-6A0F-4718-A14E-098E233E4C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266330</xdr:colOff>
      <xdr:row>37</xdr:row>
      <xdr:rowOff>66583</xdr:rowOff>
    </xdr:from>
    <xdr:to>
      <xdr:col>10</xdr:col>
      <xdr:colOff>591844</xdr:colOff>
      <xdr:row>52</xdr:row>
      <xdr:rowOff>35511</xdr:rowOff>
    </xdr:to>
    <xdr:graphicFrame macro="">
      <xdr:nvGraphicFramePr>
        <xdr:cNvPr id="29" name="Chart 28">
          <a:extLst>
            <a:ext uri="{FF2B5EF4-FFF2-40B4-BE49-F238E27FC236}">
              <a16:creationId xmlns:a16="http://schemas.microsoft.com/office/drawing/2014/main" id="{2D86AA57-40E4-4204-947E-9D149C515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xdr:col>
      <xdr:colOff>162757</xdr:colOff>
      <xdr:row>37</xdr:row>
      <xdr:rowOff>103571</xdr:rowOff>
    </xdr:from>
    <xdr:to>
      <xdr:col>18</xdr:col>
      <xdr:colOff>488272</xdr:colOff>
      <xdr:row>52</xdr:row>
      <xdr:rowOff>72499</xdr:rowOff>
    </xdr:to>
    <xdr:graphicFrame macro="">
      <xdr:nvGraphicFramePr>
        <xdr:cNvPr id="30" name="Chart 29">
          <a:extLst>
            <a:ext uri="{FF2B5EF4-FFF2-40B4-BE49-F238E27FC236}">
              <a16:creationId xmlns:a16="http://schemas.microsoft.com/office/drawing/2014/main" id="{C4AAB43E-CFE5-4D08-9600-0134F7723B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7399</xdr:colOff>
      <xdr:row>37</xdr:row>
      <xdr:rowOff>125767</xdr:rowOff>
    </xdr:from>
    <xdr:to>
      <xdr:col>26</xdr:col>
      <xdr:colOff>332914</xdr:colOff>
      <xdr:row>52</xdr:row>
      <xdr:rowOff>94695</xdr:rowOff>
    </xdr:to>
    <xdr:graphicFrame macro="">
      <xdr:nvGraphicFramePr>
        <xdr:cNvPr id="31" name="Chart 30">
          <a:extLst>
            <a:ext uri="{FF2B5EF4-FFF2-40B4-BE49-F238E27FC236}">
              <a16:creationId xmlns:a16="http://schemas.microsoft.com/office/drawing/2014/main" id="{ED21B47B-E555-40CC-83C4-7DC1A7803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44388</xdr:colOff>
      <xdr:row>21</xdr:row>
      <xdr:rowOff>51786</xdr:rowOff>
    </xdr:from>
    <xdr:to>
      <xdr:col>18</xdr:col>
      <xdr:colOff>369903</xdr:colOff>
      <xdr:row>36</xdr:row>
      <xdr:rowOff>20715</xdr:rowOff>
    </xdr:to>
    <mc:AlternateContent xmlns:mc="http://schemas.openxmlformats.org/markup-compatibility/2006">
      <mc:Choice xmlns:cx1="http://schemas.microsoft.com/office/drawing/2015/9/8/chartex" Requires="cx1">
        <xdr:graphicFrame macro="">
          <xdr:nvGraphicFramePr>
            <xdr:cNvPr id="33" name="Chart 32">
              <a:extLst>
                <a:ext uri="{FF2B5EF4-FFF2-40B4-BE49-F238E27FC236}">
                  <a16:creationId xmlns:a16="http://schemas.microsoft.com/office/drawing/2014/main" id="{25936674-E684-4B7B-825A-8001F9AC22B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6749988" y="3892266"/>
              <a:ext cx="4592715" cy="27121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451281</xdr:colOff>
      <xdr:row>21</xdr:row>
      <xdr:rowOff>73980</xdr:rowOff>
    </xdr:from>
    <xdr:to>
      <xdr:col>26</xdr:col>
      <xdr:colOff>170155</xdr:colOff>
      <xdr:row>36</xdr:row>
      <xdr:rowOff>42909</xdr:rowOff>
    </xdr:to>
    <mc:AlternateContent xmlns:mc="http://schemas.openxmlformats.org/markup-compatibility/2006">
      <mc:Choice xmlns:cx1="http://schemas.microsoft.com/office/drawing/2015/9/8/chartex" Requires="cx1">
        <xdr:graphicFrame macro="">
          <xdr:nvGraphicFramePr>
            <xdr:cNvPr id="34" name="Chart 33">
              <a:extLst>
                <a:ext uri="{FF2B5EF4-FFF2-40B4-BE49-F238E27FC236}">
                  <a16:creationId xmlns:a16="http://schemas.microsoft.com/office/drawing/2014/main" id="{D24523AC-B736-4FCD-AF30-94707B627E8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6"/>
            </a:graphicData>
          </a:graphic>
        </xdr:graphicFrame>
      </mc:Choice>
      <mc:Fallback>
        <xdr:sp macro="" textlink="">
          <xdr:nvSpPr>
            <xdr:cNvPr id="0" name=""/>
            <xdr:cNvSpPr>
              <a:spLocks noTextEdit="1"/>
            </xdr:cNvSpPr>
          </xdr:nvSpPr>
          <xdr:spPr>
            <a:xfrm>
              <a:off x="11424081" y="3914460"/>
              <a:ext cx="4595674" cy="271212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kansha Shrivastava" refreshedDate="46227.430966087966" createdVersion="8" refreshedVersion="8" minRefreshableVersion="3" recordCount="1000" xr:uid="{60C02403-05C2-4B63-8AEE-332C1E90C08A}">
  <cacheSource type="worksheet">
    <worksheetSource name="Table1"/>
  </cacheSource>
  <cacheFields count="21">
    <cacheField name="Order ID" numFmtId="0">
      <sharedItems/>
    </cacheField>
    <cacheField name="Order Date" numFmtId="0">
      <sharedItems/>
    </cacheField>
    <cacheField name="Customer Name" numFmtId="0">
      <sharedItems count="199">
        <s v="Customer 87"/>
        <s v="Customer 64"/>
        <s v="Customer 49"/>
        <s v="Customer 75"/>
        <s v="Customer 191"/>
        <s v="Customer 166"/>
        <s v="Customer 167"/>
        <s v="Customer 94"/>
        <s v="Customer 39"/>
        <s v="Customer 196"/>
        <s v="Customer 26"/>
        <s v="Customer 100"/>
        <s v="Customer 16"/>
        <s v="Customer 8"/>
        <s v="Customer 109"/>
        <s v="Customer 44"/>
        <s v="Customer 106"/>
        <s v="Customer 190"/>
        <s v="Customer 153"/>
        <s v="Customer 61"/>
        <s v="Customer 115"/>
        <s v="Customer 76"/>
        <s v="Customer 160"/>
        <s v="Customer 23"/>
        <s v="Customer 15"/>
        <s v="Customer 164"/>
        <s v="Customer 38"/>
        <s v="Customer 59"/>
        <s v="Customer 54"/>
        <s v="Customer 159"/>
        <s v="Customer 120"/>
        <s v="Customer 132"/>
        <s v="Customer 161"/>
        <s v="Customer 72"/>
        <s v="Customer 154"/>
        <s v="Customer 30"/>
        <s v="Customer 194"/>
        <s v="Customer 199"/>
        <s v="Customer 142"/>
        <s v="Customer 93"/>
        <s v="Customer 103"/>
        <s v="Customer 111"/>
        <s v="Customer 137"/>
        <s v="Customer 151"/>
        <s v="Customer 17"/>
        <s v="Customer 133"/>
        <s v="Customer 104"/>
        <s v="Customer 98"/>
        <s v="Customer 186"/>
        <s v="Customer 144"/>
        <s v="Customer 27"/>
        <s v="Customer 43"/>
        <s v="Customer 92"/>
        <s v="Customer 42"/>
        <s v="Customer 10"/>
        <s v="Customer 176"/>
        <s v="Customer 125"/>
        <s v="Customer 47"/>
        <s v="Customer 183"/>
        <s v="Customer 28"/>
        <s v="Customer 24"/>
        <s v="Customer 121"/>
        <s v="Customer 123"/>
        <s v="Customer 3"/>
        <s v="Customer 41"/>
        <s v="Customer 21"/>
        <s v="Customer 200"/>
        <s v="Customer 185"/>
        <s v="Customer 139"/>
        <s v="Customer 105"/>
        <s v="Customer 138"/>
        <s v="Customer 143"/>
        <s v="Customer 14"/>
        <s v="Customer 53"/>
        <s v="Customer 52"/>
        <s v="Customer 131"/>
        <s v="Customer 11"/>
        <s v="Customer 95"/>
        <s v="Customer 48"/>
        <s v="Customer 108"/>
        <s v="Customer 69"/>
        <s v="Customer 124"/>
        <s v="Customer 12"/>
        <s v="Customer 86"/>
        <s v="Customer 78"/>
        <s v="Customer 67"/>
        <s v="Customer 122"/>
        <s v="Customer 89"/>
        <s v="Customer 179"/>
        <s v="Customer 156"/>
        <s v="Customer 127"/>
        <s v="Customer 29"/>
        <s v="Customer 117"/>
        <s v="Customer 178"/>
        <s v="Customer 46"/>
        <s v="Customer 73"/>
        <s v="Customer 79"/>
        <s v="Customer 50"/>
        <s v="Customer 101"/>
        <s v="Customer 188"/>
        <s v="Customer 77"/>
        <s v="Customer 4"/>
        <s v="Customer 189"/>
        <s v="Customer 85"/>
        <s v="Customer 163"/>
        <s v="Customer 90"/>
        <s v="Customer 193"/>
        <s v="Customer 55"/>
        <s v="Customer 96"/>
        <s v="Customer 81"/>
        <s v="Customer 58"/>
        <s v="Customer 162"/>
        <s v="Customer 174"/>
        <s v="Customer 9"/>
        <s v="Customer 134"/>
        <s v="Customer 91"/>
        <s v="Customer 113"/>
        <s v="Customer 180"/>
        <s v="Customer 119"/>
        <s v="Customer 150"/>
        <s v="Customer 158"/>
        <s v="Customer 149"/>
        <s v="Customer 171"/>
        <s v="Customer 126"/>
        <s v="Customer 107"/>
        <s v="Customer 51"/>
        <s v="Customer 45"/>
        <s v="Customer 135"/>
        <s v="Customer 70"/>
        <s v="Customer 6"/>
        <s v="Customer 173"/>
        <s v="Customer 74"/>
        <s v="Customer 65"/>
        <s v="Customer 71"/>
        <s v="Customer 2"/>
        <s v="Customer 22"/>
        <s v="Customer 170"/>
        <s v="Customer 66"/>
        <s v="Customer 148"/>
        <s v="Customer 112"/>
        <s v="Customer 128"/>
        <s v="Customer 18"/>
        <s v="Customer 32"/>
        <s v="Customer 192"/>
        <s v="Customer 62"/>
        <s v="Customer 7"/>
        <s v="Customer 157"/>
        <s v="Customer 181"/>
        <s v="Customer 140"/>
        <s v="Customer 175"/>
        <s v="Customer 56"/>
        <s v="Customer 195"/>
        <s v="Customer 88"/>
        <s v="Customer 114"/>
        <s v="Customer 99"/>
        <s v="Customer 172"/>
        <s v="Customer 118"/>
        <s v="Customer 182"/>
        <s v="Customer 19"/>
        <s v="Customer 147"/>
        <s v="Customer 68"/>
        <s v="Customer 34"/>
        <s v="Customer 36"/>
        <s v="Customer 1"/>
        <s v="Customer 80"/>
        <s v="Customer 35"/>
        <s v="Customer 197"/>
        <s v="Customer 130"/>
        <s v="Customer 60"/>
        <s v="Customer 187"/>
        <s v="Customer 40"/>
        <s v="Customer 145"/>
        <s v="Customer 25"/>
        <s v="Customer 84"/>
        <s v="Customer 37"/>
        <s v="Customer 136"/>
        <s v="Customer 63"/>
        <s v="Customer 5"/>
        <s v="Customer 116"/>
        <s v="Customer 31"/>
        <s v="Customer 152"/>
        <s v="Customer 165"/>
        <s v="Customer 168"/>
        <s v="Customer 83"/>
        <s v="Customer 198"/>
        <s v="Customer 102"/>
        <s v="Customer 155"/>
        <s v="Customer 97"/>
        <s v="Customer 57"/>
        <s v="Customer 177"/>
        <s v="Customer 13"/>
        <s v="Customer 141"/>
        <s v="Customer 110"/>
        <s v="Customer 184"/>
        <s v="Customer 33"/>
        <s v="Customer 146"/>
        <s v="Customer 82"/>
        <s v="Customer 129"/>
        <s v="Customer 20"/>
      </sharedItems>
    </cacheField>
    <cacheField name="Region" numFmtId="0">
      <sharedItems count="4">
        <s v="South"/>
        <s v="West"/>
        <s v="North"/>
        <s v="East"/>
      </sharedItems>
    </cacheField>
    <cacheField name="State" numFmtId="0">
      <sharedItems count="16">
        <s v="Karnataka"/>
        <s v="Gujarat"/>
        <s v="Rajasthan"/>
        <s v="Punjab"/>
        <s v="Tamil Nadu"/>
        <s v="Maharashtra"/>
        <s v="Uttarakhand"/>
        <s v="Telangana"/>
        <s v="Haryana"/>
        <s v="Kerala"/>
        <s v="Delhi"/>
        <s v="Goa"/>
        <s v="Odisha"/>
        <s v="West Bengal"/>
        <s v="Bihar"/>
        <s v="Assam"/>
      </sharedItems>
    </cacheField>
    <cacheField name="Category" numFmtId="0">
      <sharedItems count="3">
        <s v="Office Supplies"/>
        <s v="Furniture"/>
        <s v="Technology"/>
      </sharedItems>
    </cacheField>
    <cacheField name="Sub Category" numFmtId="0">
      <sharedItems count="9">
        <s v="Binders"/>
        <s v="Writing"/>
        <s v="Paper"/>
        <s v="Chairs"/>
        <s v="Computers"/>
        <s v="Storage"/>
        <s v="Phones"/>
        <s v="Tables"/>
        <s v="Accessories"/>
      </sharedItems>
    </cacheField>
    <cacheField name="Product Name" numFmtId="0">
      <sharedItems count="27">
        <s v="Document Case"/>
        <s v="Highlighter"/>
        <s v="Notebook"/>
        <s v="Pen Pack"/>
        <s v="Gaming Chair"/>
        <s v="Visitor Chair"/>
        <s v="Laptop"/>
        <s v="Cabinet"/>
        <s v="Smartphone"/>
        <s v="Coffee Table"/>
        <s v="Desktop"/>
        <s v="A4 Paper"/>
        <s v="Keyboard"/>
        <s v="Headset"/>
        <s v="Office Chair"/>
        <s v="Drawer Unit"/>
        <s v="Study Table"/>
        <s v="Conference Table"/>
        <s v="Mouse"/>
        <s v="Marker Set"/>
        <s v="Webcam"/>
        <s v="Sticky Notes"/>
        <s v="Ring Binder"/>
        <s v="Desk Phone"/>
        <s v="Bookshelf"/>
        <s v="File Folder"/>
        <s v="Mini PC"/>
      </sharedItems>
    </cacheField>
    <cacheField name="Sales" numFmtId="0">
      <sharedItems containsSemiMixedTypes="0" containsString="0" containsNumber="1" minValue="34.42" maxValue="11977.1"/>
    </cacheField>
    <cacheField name="Quantity" numFmtId="0">
      <sharedItems containsSemiMixedTypes="0" containsString="0" containsNumber="1" containsInteger="1" minValue="1" maxValue="10"/>
    </cacheField>
    <cacheField name="Discount" numFmtId="9">
      <sharedItems containsSemiMixedTypes="0" containsString="0" containsNumber="1" minValue="0" maxValue="0.3"/>
    </cacheField>
    <cacheField name="Profit" numFmtId="0">
      <sharedItems containsSemiMixedTypes="0" containsString="0" containsNumber="1" minValue="-2535.5500000000002" maxValue="3932.76"/>
    </cacheField>
    <cacheField name="Sales Person" numFmtId="0">
      <sharedItems count="10">
        <s v="Amit"/>
        <s v="Vikram"/>
        <s v="Priya"/>
        <s v="Pooja"/>
        <s v="Karan"/>
        <s v="Rahul"/>
        <s v="Rohit"/>
        <s v="Anjali"/>
        <s v="Neha"/>
        <s v="Sneha"/>
      </sharedItems>
    </cacheField>
    <cacheField name="Segment" numFmtId="0">
      <sharedItems count="4">
        <s v="Home Office"/>
        <s v="Consumer"/>
        <s v="Small Business"/>
        <s v="Corporate"/>
      </sharedItems>
    </cacheField>
    <cacheField name="order_date_new" numFmtId="0">
      <sharedItems/>
    </cacheField>
    <cacheField name="year" numFmtId="0">
      <sharedItems containsSemiMixedTypes="0" containsString="0" containsNumber="1" containsInteger="1" minValue="2024" maxValue="2025" count="2">
        <n v="2025"/>
        <n v="2024"/>
      </sharedItems>
    </cacheField>
    <cacheField name="month" numFmtId="0">
      <sharedItems containsSemiMixedTypes="0" containsString="0" containsNumber="1" containsInteger="1" minValue="1" maxValue="12"/>
    </cacheField>
    <cacheField name="month_name" numFmtId="0">
      <sharedItems count="12">
        <s v="January"/>
        <s v="February"/>
        <s v="October"/>
        <s v="March"/>
        <s v="December"/>
        <s v="September"/>
        <s v="July"/>
        <s v="May"/>
        <s v="April"/>
        <s v="June"/>
        <s v="November"/>
        <s v="August"/>
      </sharedItems>
    </cacheField>
    <cacheField name="Discount Bucket" numFmtId="0">
      <sharedItems/>
    </cacheField>
    <cacheField name="Profit margin%" numFmtId="9">
      <sharedItems containsSemiMixedTypes="0" containsString="0" containsNumber="1" minValue="-0.24925303764690257" maxValue="0.44844922082186245"/>
    </cacheField>
    <cacheField name="Avg order value" numFmtId="0" formula=" SUM(Sales)/COUNTA('Order ID')" databaseField="0"/>
  </cacheFields>
  <extLst>
    <ext xmlns:x14="http://schemas.microsoft.com/office/spreadsheetml/2009/9/main" uri="{725AE2AE-9491-48be-B2B4-4EB974FC3084}">
      <x14:pivotCacheDefinition pivotCacheId="19825730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02"/>
    <s v="2025-01-31"/>
    <x v="0"/>
    <x v="0"/>
    <x v="0"/>
    <x v="0"/>
    <x v="0"/>
    <x v="0"/>
    <n v="5565.9"/>
    <n v="10"/>
    <n v="0"/>
    <n v="421.59"/>
    <x v="0"/>
    <x v="0"/>
    <s v="31/01/2025"/>
    <x v="0"/>
    <n v="1"/>
    <x v="0"/>
    <s v="No Discount"/>
    <n v="7.5745162507411201E-2"/>
  </r>
  <r>
    <s v="ORD100003"/>
    <s v="2025-02-08"/>
    <x v="1"/>
    <x v="1"/>
    <x v="1"/>
    <x v="0"/>
    <x v="1"/>
    <x v="1"/>
    <n v="997.04"/>
    <n v="4"/>
    <n v="0.25"/>
    <n v="-161.72"/>
    <x v="1"/>
    <x v="1"/>
    <s v="08/02/2025"/>
    <x v="0"/>
    <n v="2"/>
    <x v="1"/>
    <s v="Low"/>
    <n v="-0.16220011233250423"/>
  </r>
  <r>
    <s v="ORD100004"/>
    <s v="2025-10-31"/>
    <x v="2"/>
    <x v="1"/>
    <x v="1"/>
    <x v="0"/>
    <x v="2"/>
    <x v="2"/>
    <n v="1711.71"/>
    <n v="7"/>
    <n v="0"/>
    <n v="356.91"/>
    <x v="2"/>
    <x v="2"/>
    <s v="31/10/2025"/>
    <x v="0"/>
    <n v="10"/>
    <x v="2"/>
    <s v="No Discount"/>
    <n v="0.20851078745815588"/>
  </r>
  <r>
    <s v="ORD100005"/>
    <s v="2025-03-26"/>
    <x v="3"/>
    <x v="1"/>
    <x v="2"/>
    <x v="0"/>
    <x v="2"/>
    <x v="2"/>
    <n v="1435.1"/>
    <n v="5"/>
    <n v="0.3"/>
    <n v="-122.01"/>
    <x v="3"/>
    <x v="1"/>
    <s v="26/03/2025"/>
    <x v="0"/>
    <n v="3"/>
    <x v="3"/>
    <s v="Low"/>
    <n v="-8.5018465612152469E-2"/>
  </r>
  <r>
    <s v="ORD100006"/>
    <s v="2025-02-10"/>
    <x v="4"/>
    <x v="2"/>
    <x v="3"/>
    <x v="0"/>
    <x v="1"/>
    <x v="3"/>
    <n v="1413.08"/>
    <n v="2"/>
    <n v="0.1"/>
    <n v="416.9"/>
    <x v="1"/>
    <x v="0"/>
    <s v="10/02/2025"/>
    <x v="0"/>
    <n v="2"/>
    <x v="1"/>
    <s v="Low"/>
    <n v="0.29502929770430547"/>
  </r>
  <r>
    <s v="ORD100007"/>
    <s v="2024-12-03"/>
    <x v="5"/>
    <x v="0"/>
    <x v="4"/>
    <x v="1"/>
    <x v="3"/>
    <x v="4"/>
    <n v="6869.16"/>
    <n v="9"/>
    <n v="0"/>
    <n v="721.16"/>
    <x v="3"/>
    <x v="0"/>
    <s v="03/12/2024"/>
    <x v="1"/>
    <n v="12"/>
    <x v="4"/>
    <s v="No Discount"/>
    <n v="0.10498518013847399"/>
  </r>
  <r>
    <s v="ORD100008"/>
    <s v="2024-10-15"/>
    <x v="6"/>
    <x v="1"/>
    <x v="5"/>
    <x v="1"/>
    <x v="3"/>
    <x v="5"/>
    <n v="5509.7"/>
    <n v="10"/>
    <n v="0.2"/>
    <n v="-457.71"/>
    <x v="4"/>
    <x v="0"/>
    <s v="15/10/2024"/>
    <x v="1"/>
    <n v="10"/>
    <x v="2"/>
    <s v="Low"/>
    <n v="-8.3073488574695542E-2"/>
  </r>
  <r>
    <s v="ORD100009"/>
    <s v="2025-09-03"/>
    <x v="7"/>
    <x v="1"/>
    <x v="1"/>
    <x v="2"/>
    <x v="4"/>
    <x v="6"/>
    <n v="4643.04"/>
    <n v="6"/>
    <n v="0.25"/>
    <n v="-634.04"/>
    <x v="4"/>
    <x v="1"/>
    <s v="03/09/2025"/>
    <x v="0"/>
    <n v="9"/>
    <x v="5"/>
    <s v="Low"/>
    <n v="-0.13655708329025809"/>
  </r>
  <r>
    <s v="ORD100010"/>
    <s v="2024-10-02"/>
    <x v="8"/>
    <x v="2"/>
    <x v="6"/>
    <x v="1"/>
    <x v="5"/>
    <x v="7"/>
    <n v="101.16"/>
    <n v="6"/>
    <n v="0.3"/>
    <n v="-23.27"/>
    <x v="1"/>
    <x v="3"/>
    <s v="02/10/2024"/>
    <x v="1"/>
    <n v="10"/>
    <x v="2"/>
    <s v="Low"/>
    <n v="-0.23003163305654409"/>
  </r>
  <r>
    <s v="ORD100011"/>
    <s v="2024-07-11"/>
    <x v="9"/>
    <x v="0"/>
    <x v="7"/>
    <x v="2"/>
    <x v="4"/>
    <x v="6"/>
    <n v="2687.4"/>
    <n v="10"/>
    <n v="0.15"/>
    <n v="145.56"/>
    <x v="2"/>
    <x v="1"/>
    <s v="11/07/2024"/>
    <x v="1"/>
    <n v="7"/>
    <x v="6"/>
    <s v="Low"/>
    <n v="5.4163875865148467E-2"/>
  </r>
  <r>
    <s v="ORD100012"/>
    <s v="2024-03-17"/>
    <x v="10"/>
    <x v="2"/>
    <x v="8"/>
    <x v="2"/>
    <x v="6"/>
    <x v="8"/>
    <n v="1715.22"/>
    <n v="3"/>
    <n v="0.15"/>
    <n v="175.1"/>
    <x v="5"/>
    <x v="3"/>
    <s v="17/03/2024"/>
    <x v="1"/>
    <n v="3"/>
    <x v="3"/>
    <s v="Low"/>
    <n v="0.10208602978043632"/>
  </r>
  <r>
    <s v="ORD100013"/>
    <s v="2024-05-16"/>
    <x v="11"/>
    <x v="1"/>
    <x v="1"/>
    <x v="0"/>
    <x v="2"/>
    <x v="2"/>
    <n v="572.04"/>
    <n v="1"/>
    <n v="0.15"/>
    <n v="117.9"/>
    <x v="3"/>
    <x v="0"/>
    <s v="16/05/2024"/>
    <x v="1"/>
    <n v="5"/>
    <x v="7"/>
    <s v="Low"/>
    <n v="0.20610446821900569"/>
  </r>
  <r>
    <s v="ORD100014"/>
    <s v="2025-05-20"/>
    <x v="12"/>
    <x v="2"/>
    <x v="8"/>
    <x v="2"/>
    <x v="6"/>
    <x v="8"/>
    <n v="4129.79"/>
    <n v="7"/>
    <n v="0.05"/>
    <n v="1549.7"/>
    <x v="3"/>
    <x v="0"/>
    <s v="20/05/2025"/>
    <x v="0"/>
    <n v="5"/>
    <x v="7"/>
    <s v="High"/>
    <n v="0.37524910467602468"/>
  </r>
  <r>
    <s v="ORD100015"/>
    <s v="2025-03-23"/>
    <x v="13"/>
    <x v="0"/>
    <x v="9"/>
    <x v="1"/>
    <x v="7"/>
    <x v="9"/>
    <n v="3401.7"/>
    <n v="10"/>
    <n v="0.3"/>
    <n v="-758.03"/>
    <x v="2"/>
    <x v="2"/>
    <s v="23/03/2025"/>
    <x v="0"/>
    <n v="3"/>
    <x v="3"/>
    <s v="Low"/>
    <n v="-0.22283858070964518"/>
  </r>
  <r>
    <s v="ORD100016"/>
    <s v="2025-03-31"/>
    <x v="14"/>
    <x v="2"/>
    <x v="3"/>
    <x v="2"/>
    <x v="4"/>
    <x v="10"/>
    <n v="4558.92"/>
    <n v="4"/>
    <n v="0"/>
    <n v="1562.19"/>
    <x v="0"/>
    <x v="2"/>
    <s v="31/03/2025"/>
    <x v="0"/>
    <n v="3"/>
    <x v="3"/>
    <s v="No Discount"/>
    <n v="0.34266668421468244"/>
  </r>
  <r>
    <s v="ORD100017"/>
    <s v="2025-03-27"/>
    <x v="15"/>
    <x v="2"/>
    <x v="6"/>
    <x v="0"/>
    <x v="1"/>
    <x v="1"/>
    <n v="10284.39"/>
    <n v="9"/>
    <n v="0.3"/>
    <n v="-1904.11"/>
    <x v="6"/>
    <x v="0"/>
    <s v="27/03/2025"/>
    <x v="0"/>
    <n v="3"/>
    <x v="3"/>
    <s v="Low"/>
    <n v="-0.18514564305709916"/>
  </r>
  <r>
    <s v="ORD100018"/>
    <s v="2025-05-08"/>
    <x v="12"/>
    <x v="2"/>
    <x v="10"/>
    <x v="0"/>
    <x v="2"/>
    <x v="11"/>
    <n v="3409.8"/>
    <n v="3"/>
    <n v="0.3"/>
    <n v="-816.01"/>
    <x v="0"/>
    <x v="3"/>
    <s v="08/05/2025"/>
    <x v="0"/>
    <n v="5"/>
    <x v="7"/>
    <s v="Low"/>
    <n v="-0.23931315619684437"/>
  </r>
  <r>
    <s v="ORD100019"/>
    <s v="2024-01-26"/>
    <x v="16"/>
    <x v="0"/>
    <x v="9"/>
    <x v="2"/>
    <x v="8"/>
    <x v="12"/>
    <n v="2092.9499999999998"/>
    <n v="5"/>
    <n v="0.2"/>
    <n v="206.77"/>
    <x v="7"/>
    <x v="3"/>
    <s v="26/01/2024"/>
    <x v="1"/>
    <n v="1"/>
    <x v="0"/>
    <s v="Low"/>
    <n v="9.8793568886022129E-2"/>
  </r>
  <r>
    <s v="ORD100020"/>
    <s v="2025-12-31"/>
    <x v="17"/>
    <x v="1"/>
    <x v="1"/>
    <x v="0"/>
    <x v="0"/>
    <x v="0"/>
    <n v="4459.5"/>
    <n v="9"/>
    <n v="0.1"/>
    <n v="404.54"/>
    <x v="0"/>
    <x v="2"/>
    <s v="31/12/2025"/>
    <x v="0"/>
    <n v="12"/>
    <x v="4"/>
    <s v="Low"/>
    <n v="9.0714205628433686E-2"/>
  </r>
  <r>
    <s v="ORD100021"/>
    <s v="2025-07-16"/>
    <x v="18"/>
    <x v="1"/>
    <x v="11"/>
    <x v="2"/>
    <x v="6"/>
    <x v="13"/>
    <n v="1628.37"/>
    <n v="3"/>
    <n v="0.3"/>
    <n v="-315.85000000000002"/>
    <x v="4"/>
    <x v="3"/>
    <s v="16/07/2025"/>
    <x v="0"/>
    <n v="7"/>
    <x v="6"/>
    <s v="Low"/>
    <n v="-0.19396697310807742"/>
  </r>
  <r>
    <s v="ORD100022"/>
    <s v="2024-12-20"/>
    <x v="19"/>
    <x v="0"/>
    <x v="9"/>
    <x v="1"/>
    <x v="3"/>
    <x v="14"/>
    <n v="9072.99"/>
    <n v="9"/>
    <n v="0.2"/>
    <n v="1494.8"/>
    <x v="3"/>
    <x v="3"/>
    <s v="20/12/2024"/>
    <x v="1"/>
    <n v="12"/>
    <x v="4"/>
    <s v="Low"/>
    <n v="0.16475274413396246"/>
  </r>
  <r>
    <s v="ORD100023"/>
    <s v="2024-01-14"/>
    <x v="20"/>
    <x v="2"/>
    <x v="6"/>
    <x v="1"/>
    <x v="5"/>
    <x v="15"/>
    <n v="1321.02"/>
    <n v="2"/>
    <n v="0.3"/>
    <n v="66.61"/>
    <x v="3"/>
    <x v="1"/>
    <s v="14/01/2024"/>
    <x v="1"/>
    <n v="1"/>
    <x v="0"/>
    <s v="Low"/>
    <n v="5.0423157862863548E-2"/>
  </r>
  <r>
    <s v="ORD100024"/>
    <s v="2025-07-24"/>
    <x v="21"/>
    <x v="3"/>
    <x v="12"/>
    <x v="1"/>
    <x v="3"/>
    <x v="14"/>
    <n v="191.35"/>
    <n v="1"/>
    <n v="0.25"/>
    <n v="-35.39"/>
    <x v="7"/>
    <x v="2"/>
    <s v="24/07/2025"/>
    <x v="0"/>
    <n v="7"/>
    <x v="6"/>
    <s v="Low"/>
    <n v="-0.18494904625032663"/>
  </r>
  <r>
    <s v="ORD100025"/>
    <s v="2024-05-18"/>
    <x v="22"/>
    <x v="3"/>
    <x v="13"/>
    <x v="2"/>
    <x v="6"/>
    <x v="8"/>
    <n v="6352.3"/>
    <n v="10"/>
    <n v="0"/>
    <n v="1494.43"/>
    <x v="8"/>
    <x v="0"/>
    <s v="18/05/2024"/>
    <x v="1"/>
    <n v="5"/>
    <x v="7"/>
    <s v="No Discount"/>
    <n v="0.23525809549297105"/>
  </r>
  <r>
    <s v="ORD100026"/>
    <s v="2024-12-22"/>
    <x v="23"/>
    <x v="1"/>
    <x v="2"/>
    <x v="1"/>
    <x v="3"/>
    <x v="4"/>
    <n v="10778.04"/>
    <n v="9"/>
    <n v="0.15"/>
    <n v="156.16"/>
    <x v="3"/>
    <x v="0"/>
    <s v="22/12/2024"/>
    <x v="1"/>
    <n v="12"/>
    <x v="4"/>
    <s v="Low"/>
    <n v="1.4488719655892907E-2"/>
  </r>
  <r>
    <s v="ORD100027"/>
    <s v="2025-09-02"/>
    <x v="24"/>
    <x v="0"/>
    <x v="9"/>
    <x v="1"/>
    <x v="7"/>
    <x v="16"/>
    <n v="2001.92"/>
    <n v="8"/>
    <n v="0.05"/>
    <n v="505.07"/>
    <x v="6"/>
    <x v="0"/>
    <s v="02/09/2025"/>
    <x v="0"/>
    <n v="9"/>
    <x v="5"/>
    <s v="High"/>
    <n v="0.25229279891304346"/>
  </r>
  <r>
    <s v="ORD100028"/>
    <s v="2024-07-30"/>
    <x v="25"/>
    <x v="3"/>
    <x v="13"/>
    <x v="1"/>
    <x v="7"/>
    <x v="17"/>
    <n v="2181.9499999999998"/>
    <n v="5"/>
    <n v="0.3"/>
    <n v="260.37"/>
    <x v="6"/>
    <x v="0"/>
    <s v="30/07/2024"/>
    <x v="1"/>
    <n v="7"/>
    <x v="6"/>
    <s v="Low"/>
    <n v="0.11932904053713422"/>
  </r>
  <r>
    <s v="ORD100029"/>
    <s v="2024-01-04"/>
    <x v="26"/>
    <x v="2"/>
    <x v="10"/>
    <x v="2"/>
    <x v="8"/>
    <x v="12"/>
    <n v="2112.54"/>
    <n v="6"/>
    <n v="0.05"/>
    <n v="242.56"/>
    <x v="3"/>
    <x v="1"/>
    <s v="04/01/2024"/>
    <x v="1"/>
    <n v="1"/>
    <x v="0"/>
    <s v="High"/>
    <n v="0.11481912768515626"/>
  </r>
  <r>
    <s v="ORD100030"/>
    <s v="2024-10-15"/>
    <x v="27"/>
    <x v="3"/>
    <x v="14"/>
    <x v="1"/>
    <x v="3"/>
    <x v="14"/>
    <n v="2720.6"/>
    <n v="5"/>
    <n v="0.05"/>
    <n v="240.81"/>
    <x v="6"/>
    <x v="2"/>
    <s v="15/10/2024"/>
    <x v="1"/>
    <n v="10"/>
    <x v="2"/>
    <s v="High"/>
    <n v="8.8513563184591637E-2"/>
  </r>
  <r>
    <s v="ORD100031"/>
    <s v="2025-01-19"/>
    <x v="28"/>
    <x v="2"/>
    <x v="10"/>
    <x v="2"/>
    <x v="4"/>
    <x v="10"/>
    <n v="6996.29"/>
    <n v="7"/>
    <n v="0.3"/>
    <n v="320.13"/>
    <x v="5"/>
    <x v="1"/>
    <s v="19/01/2025"/>
    <x v="0"/>
    <n v="1"/>
    <x v="0"/>
    <s v="Low"/>
    <n v="4.5757108410314606E-2"/>
  </r>
  <r>
    <s v="ORD100032"/>
    <s v="2025-01-06"/>
    <x v="29"/>
    <x v="1"/>
    <x v="2"/>
    <x v="0"/>
    <x v="0"/>
    <x v="0"/>
    <n v="9500.58"/>
    <n v="9"/>
    <n v="0.3"/>
    <n v="-133.25"/>
    <x v="3"/>
    <x v="1"/>
    <s v="06/01/2025"/>
    <x v="0"/>
    <n v="1"/>
    <x v="0"/>
    <s v="Low"/>
    <n v="-1.4025459498262212E-2"/>
  </r>
  <r>
    <s v="ORD100033"/>
    <s v="2025-04-22"/>
    <x v="30"/>
    <x v="3"/>
    <x v="13"/>
    <x v="0"/>
    <x v="0"/>
    <x v="0"/>
    <n v="9145.17"/>
    <n v="9"/>
    <n v="0.2"/>
    <n v="-374.38"/>
    <x v="6"/>
    <x v="2"/>
    <s v="22/04/2025"/>
    <x v="0"/>
    <n v="4"/>
    <x v="8"/>
    <s v="Low"/>
    <n v="-4.0937456602775014E-2"/>
  </r>
  <r>
    <s v="ORD100034"/>
    <s v="2024-07-10"/>
    <x v="31"/>
    <x v="0"/>
    <x v="4"/>
    <x v="1"/>
    <x v="7"/>
    <x v="9"/>
    <n v="367.5"/>
    <n v="10"/>
    <n v="0.05"/>
    <n v="143.15"/>
    <x v="1"/>
    <x v="1"/>
    <s v="10/07/2024"/>
    <x v="1"/>
    <n v="7"/>
    <x v="6"/>
    <s v="High"/>
    <n v="0.38952380952380955"/>
  </r>
  <r>
    <s v="ORD100035"/>
    <s v="2024-06-21"/>
    <x v="32"/>
    <x v="3"/>
    <x v="12"/>
    <x v="2"/>
    <x v="6"/>
    <x v="8"/>
    <n v="1061.6600000000001"/>
    <n v="1"/>
    <n v="0"/>
    <n v="422.8"/>
    <x v="8"/>
    <x v="3"/>
    <s v="21/06/2024"/>
    <x v="1"/>
    <n v="6"/>
    <x v="9"/>
    <s v="No Discount"/>
    <n v="0.39824425899063726"/>
  </r>
  <r>
    <s v="ORD100036"/>
    <s v="2025-03-14"/>
    <x v="18"/>
    <x v="1"/>
    <x v="5"/>
    <x v="2"/>
    <x v="8"/>
    <x v="18"/>
    <n v="1527.6"/>
    <n v="8"/>
    <n v="0"/>
    <n v="419.74"/>
    <x v="0"/>
    <x v="2"/>
    <s v="14/03/2025"/>
    <x v="0"/>
    <n v="3"/>
    <x v="3"/>
    <s v="No Discount"/>
    <n v="0.27477088242995551"/>
  </r>
  <r>
    <s v="ORD100037"/>
    <s v="2024-07-03"/>
    <x v="6"/>
    <x v="0"/>
    <x v="9"/>
    <x v="2"/>
    <x v="4"/>
    <x v="6"/>
    <n v="1241.5"/>
    <n v="2"/>
    <n v="0.25"/>
    <n v="151.36000000000001"/>
    <x v="4"/>
    <x v="2"/>
    <s v="03/07/2024"/>
    <x v="1"/>
    <n v="7"/>
    <x v="6"/>
    <s v="Low"/>
    <n v="0.12191703584373742"/>
  </r>
  <r>
    <s v="ORD100038"/>
    <s v="2024-12-15"/>
    <x v="33"/>
    <x v="0"/>
    <x v="7"/>
    <x v="2"/>
    <x v="6"/>
    <x v="8"/>
    <n v="1378.65"/>
    <n v="7"/>
    <n v="0.05"/>
    <n v="74.28"/>
    <x v="1"/>
    <x v="1"/>
    <s v="15/12/2024"/>
    <x v="1"/>
    <n v="12"/>
    <x v="4"/>
    <s v="High"/>
    <n v="5.3878794472853875E-2"/>
  </r>
  <r>
    <s v="ORD100039"/>
    <s v="2025-09-27"/>
    <x v="34"/>
    <x v="2"/>
    <x v="8"/>
    <x v="2"/>
    <x v="6"/>
    <x v="13"/>
    <n v="1707.48"/>
    <n v="3"/>
    <n v="0.2"/>
    <n v="123.67"/>
    <x v="1"/>
    <x v="3"/>
    <s v="27/09/2025"/>
    <x v="0"/>
    <n v="9"/>
    <x v="5"/>
    <s v="Low"/>
    <n v="7.2428373978026095E-2"/>
  </r>
  <r>
    <s v="ORD100040"/>
    <s v="2025-06-28"/>
    <x v="35"/>
    <x v="1"/>
    <x v="11"/>
    <x v="2"/>
    <x v="8"/>
    <x v="12"/>
    <n v="3156.15"/>
    <n v="5"/>
    <n v="0.25"/>
    <n v="-557.66999999999996"/>
    <x v="7"/>
    <x v="0"/>
    <s v="28/06/2025"/>
    <x v="0"/>
    <n v="6"/>
    <x v="9"/>
    <s v="Low"/>
    <n v="-0.1766931229504301"/>
  </r>
  <r>
    <s v="ORD100041"/>
    <s v="2025-09-17"/>
    <x v="36"/>
    <x v="3"/>
    <x v="13"/>
    <x v="2"/>
    <x v="8"/>
    <x v="18"/>
    <n v="5676.9"/>
    <n v="10"/>
    <n v="0"/>
    <n v="897.82"/>
    <x v="6"/>
    <x v="0"/>
    <s v="17/09/2025"/>
    <x v="0"/>
    <n v="9"/>
    <x v="5"/>
    <s v="No Discount"/>
    <n v="0.1581532174250031"/>
  </r>
  <r>
    <s v="ORD100042"/>
    <s v="2025-05-20"/>
    <x v="37"/>
    <x v="2"/>
    <x v="10"/>
    <x v="1"/>
    <x v="3"/>
    <x v="14"/>
    <n v="8876.4"/>
    <n v="10"/>
    <n v="0.3"/>
    <n v="26.45"/>
    <x v="9"/>
    <x v="3"/>
    <s v="20/05/2025"/>
    <x v="0"/>
    <n v="5"/>
    <x v="7"/>
    <s v="Low"/>
    <n v="2.9798116353476635E-3"/>
  </r>
  <r>
    <s v="ORD100043"/>
    <s v="2025-12-12"/>
    <x v="38"/>
    <x v="2"/>
    <x v="3"/>
    <x v="0"/>
    <x v="1"/>
    <x v="19"/>
    <n v="7931.8"/>
    <n v="10"/>
    <n v="0"/>
    <n v="3114.24"/>
    <x v="7"/>
    <x v="3"/>
    <s v="12/12/2025"/>
    <x v="0"/>
    <n v="12"/>
    <x v="4"/>
    <s v="No Discount"/>
    <n v="0.39262714642325824"/>
  </r>
  <r>
    <s v="ORD100044"/>
    <s v="2024-10-03"/>
    <x v="39"/>
    <x v="2"/>
    <x v="3"/>
    <x v="1"/>
    <x v="7"/>
    <x v="16"/>
    <n v="420.83"/>
    <n v="1"/>
    <n v="0.15"/>
    <n v="77.02"/>
    <x v="8"/>
    <x v="1"/>
    <s v="03/10/2024"/>
    <x v="1"/>
    <n v="10"/>
    <x v="2"/>
    <s v="Low"/>
    <n v="0.18301927143977378"/>
  </r>
  <r>
    <s v="ORD100045"/>
    <s v="2025-11-18"/>
    <x v="40"/>
    <x v="3"/>
    <x v="12"/>
    <x v="1"/>
    <x v="5"/>
    <x v="15"/>
    <n v="1287.3"/>
    <n v="2"/>
    <n v="0.25"/>
    <n v="128.31"/>
    <x v="9"/>
    <x v="1"/>
    <s v="18/11/2025"/>
    <x v="0"/>
    <n v="11"/>
    <x v="10"/>
    <s v="Low"/>
    <n v="9.9673735725938017E-2"/>
  </r>
  <r>
    <s v="ORD100046"/>
    <s v="2024-06-25"/>
    <x v="41"/>
    <x v="2"/>
    <x v="3"/>
    <x v="2"/>
    <x v="8"/>
    <x v="12"/>
    <n v="34.42"/>
    <n v="1"/>
    <n v="0"/>
    <n v="2.4300000000000002"/>
    <x v="9"/>
    <x v="3"/>
    <s v="25/06/2024"/>
    <x v="1"/>
    <n v="6"/>
    <x v="9"/>
    <s v="No Discount"/>
    <n v="7.0598489250435797E-2"/>
  </r>
  <r>
    <s v="ORD100047"/>
    <s v="2024-03-04"/>
    <x v="42"/>
    <x v="1"/>
    <x v="1"/>
    <x v="2"/>
    <x v="8"/>
    <x v="20"/>
    <n v="4291.29"/>
    <n v="9"/>
    <n v="0.3"/>
    <n v="231.34"/>
    <x v="7"/>
    <x v="0"/>
    <s v="04/03/2024"/>
    <x v="1"/>
    <n v="3"/>
    <x v="3"/>
    <s v="Low"/>
    <n v="5.3909197467428213E-2"/>
  </r>
  <r>
    <s v="ORD100048"/>
    <s v="2025-11-26"/>
    <x v="43"/>
    <x v="2"/>
    <x v="3"/>
    <x v="2"/>
    <x v="6"/>
    <x v="8"/>
    <n v="9832.6"/>
    <n v="10"/>
    <n v="0.1"/>
    <n v="-287.81"/>
    <x v="4"/>
    <x v="3"/>
    <s v="26/11/2025"/>
    <x v="0"/>
    <n v="11"/>
    <x v="10"/>
    <s v="Low"/>
    <n v="-2.9270996481093506E-2"/>
  </r>
  <r>
    <s v="ORD100049"/>
    <s v="2025-08-17"/>
    <x v="44"/>
    <x v="3"/>
    <x v="12"/>
    <x v="1"/>
    <x v="5"/>
    <x v="7"/>
    <n v="1748.01"/>
    <n v="3"/>
    <n v="0"/>
    <n v="437.68"/>
    <x v="1"/>
    <x v="2"/>
    <s v="17/08/2025"/>
    <x v="0"/>
    <n v="8"/>
    <x v="11"/>
    <s v="No Discount"/>
    <n v="0.25038758359505953"/>
  </r>
  <r>
    <s v="ORD100050"/>
    <s v="2024-11-19"/>
    <x v="45"/>
    <x v="2"/>
    <x v="6"/>
    <x v="0"/>
    <x v="2"/>
    <x v="21"/>
    <n v="3379.23"/>
    <n v="3"/>
    <n v="0.15"/>
    <n v="254.75"/>
    <x v="8"/>
    <x v="2"/>
    <s v="19/11/2024"/>
    <x v="1"/>
    <n v="11"/>
    <x v="10"/>
    <s v="Low"/>
    <n v="7.5386996445935911E-2"/>
  </r>
  <r>
    <s v="ORD100051"/>
    <s v="2025-05-14"/>
    <x v="46"/>
    <x v="3"/>
    <x v="14"/>
    <x v="1"/>
    <x v="7"/>
    <x v="9"/>
    <n v="144.11000000000001"/>
    <n v="1"/>
    <n v="0.15"/>
    <n v="12.24"/>
    <x v="8"/>
    <x v="3"/>
    <s v="14/05/2025"/>
    <x v="0"/>
    <n v="5"/>
    <x v="7"/>
    <s v="Low"/>
    <n v="8.4935119006314619E-2"/>
  </r>
  <r>
    <s v="ORD100052"/>
    <s v="2025-11-02"/>
    <x v="47"/>
    <x v="2"/>
    <x v="3"/>
    <x v="1"/>
    <x v="3"/>
    <x v="4"/>
    <n v="211.6"/>
    <n v="4"/>
    <n v="0.25"/>
    <n v="21.45"/>
    <x v="7"/>
    <x v="2"/>
    <s v="02/11/2025"/>
    <x v="0"/>
    <n v="11"/>
    <x v="10"/>
    <s v="Low"/>
    <n v="0.10137051039697542"/>
  </r>
  <r>
    <s v="ORD100053"/>
    <s v="2025-03-28"/>
    <x v="32"/>
    <x v="2"/>
    <x v="8"/>
    <x v="0"/>
    <x v="2"/>
    <x v="2"/>
    <n v="2255.5"/>
    <n v="2"/>
    <n v="0.25"/>
    <n v="161.21"/>
    <x v="2"/>
    <x v="0"/>
    <s v="28/03/2025"/>
    <x v="0"/>
    <n v="3"/>
    <x v="3"/>
    <s v="Low"/>
    <n v="7.1474174240744856E-2"/>
  </r>
  <r>
    <s v="ORD100054"/>
    <s v="2024-09-05"/>
    <x v="37"/>
    <x v="0"/>
    <x v="7"/>
    <x v="1"/>
    <x v="7"/>
    <x v="17"/>
    <n v="6092.17"/>
    <n v="7"/>
    <n v="0.2"/>
    <n v="-501.55"/>
    <x v="8"/>
    <x v="2"/>
    <s v="05/09/2024"/>
    <x v="1"/>
    <n v="9"/>
    <x v="5"/>
    <s v="Low"/>
    <n v="-8.2326986935689586E-2"/>
  </r>
  <r>
    <s v="ORD100055"/>
    <s v="2025-03-02"/>
    <x v="48"/>
    <x v="0"/>
    <x v="4"/>
    <x v="1"/>
    <x v="5"/>
    <x v="7"/>
    <n v="6303.06"/>
    <n v="9"/>
    <n v="0.15"/>
    <n v="-535.28"/>
    <x v="2"/>
    <x v="2"/>
    <s v="02/03/2025"/>
    <x v="0"/>
    <n v="3"/>
    <x v="3"/>
    <s v="Low"/>
    <n v="-8.4923830647336357E-2"/>
  </r>
  <r>
    <s v="ORD100056"/>
    <s v="2025-04-14"/>
    <x v="49"/>
    <x v="1"/>
    <x v="11"/>
    <x v="0"/>
    <x v="0"/>
    <x v="22"/>
    <n v="4241.28"/>
    <n v="4"/>
    <n v="0.1"/>
    <n v="-99.53"/>
    <x v="0"/>
    <x v="1"/>
    <s v="14/04/2025"/>
    <x v="0"/>
    <n v="4"/>
    <x v="8"/>
    <s v="Low"/>
    <n v="-2.3466972234797046E-2"/>
  </r>
  <r>
    <s v="ORD100057"/>
    <s v="2025-07-21"/>
    <x v="10"/>
    <x v="3"/>
    <x v="15"/>
    <x v="1"/>
    <x v="3"/>
    <x v="14"/>
    <n v="4413.8999999999996"/>
    <n v="5"/>
    <n v="0.1"/>
    <n v="1054.78"/>
    <x v="5"/>
    <x v="1"/>
    <s v="21/07/2025"/>
    <x v="0"/>
    <n v="7"/>
    <x v="6"/>
    <s v="Low"/>
    <n v="0.23896780624844244"/>
  </r>
  <r>
    <s v="ORD100058"/>
    <s v="2025-03-25"/>
    <x v="14"/>
    <x v="2"/>
    <x v="8"/>
    <x v="0"/>
    <x v="2"/>
    <x v="11"/>
    <n v="631.05999999999995"/>
    <n v="2"/>
    <n v="0.2"/>
    <n v="33.47"/>
    <x v="7"/>
    <x v="1"/>
    <s v="25/03/2025"/>
    <x v="0"/>
    <n v="3"/>
    <x v="3"/>
    <s v="Low"/>
    <n v="5.3037746014642034E-2"/>
  </r>
  <r>
    <s v="ORD100059"/>
    <s v="2025-08-21"/>
    <x v="15"/>
    <x v="1"/>
    <x v="1"/>
    <x v="1"/>
    <x v="7"/>
    <x v="16"/>
    <n v="3151.8"/>
    <n v="3"/>
    <n v="0.15"/>
    <n v="-313.58999999999997"/>
    <x v="2"/>
    <x v="2"/>
    <s v="21/08/2025"/>
    <x v="0"/>
    <n v="8"/>
    <x v="11"/>
    <s v="Low"/>
    <n v="-9.9495526365886142E-2"/>
  </r>
  <r>
    <s v="ORD100060"/>
    <s v="2025-05-29"/>
    <x v="50"/>
    <x v="3"/>
    <x v="13"/>
    <x v="1"/>
    <x v="7"/>
    <x v="17"/>
    <n v="481.87"/>
    <n v="1"/>
    <n v="0"/>
    <n v="68.03"/>
    <x v="4"/>
    <x v="0"/>
    <s v="29/05/2025"/>
    <x v="0"/>
    <n v="5"/>
    <x v="7"/>
    <s v="No Discount"/>
    <n v="0.14117915620395544"/>
  </r>
  <r>
    <s v="ORD100061"/>
    <s v="2024-04-06"/>
    <x v="51"/>
    <x v="1"/>
    <x v="5"/>
    <x v="2"/>
    <x v="6"/>
    <x v="23"/>
    <n v="227.48"/>
    <n v="4"/>
    <n v="0"/>
    <n v="26.5"/>
    <x v="0"/>
    <x v="1"/>
    <s v="06/04/2024"/>
    <x v="1"/>
    <n v="4"/>
    <x v="8"/>
    <s v="No Discount"/>
    <n v="0.11649375769298401"/>
  </r>
  <r>
    <s v="ORD100062"/>
    <s v="2024-04-29"/>
    <x v="52"/>
    <x v="2"/>
    <x v="6"/>
    <x v="0"/>
    <x v="2"/>
    <x v="2"/>
    <n v="393.15"/>
    <n v="1"/>
    <n v="0.25"/>
    <n v="65.510000000000005"/>
    <x v="6"/>
    <x v="1"/>
    <s v="29/04/2024"/>
    <x v="1"/>
    <n v="4"/>
    <x v="8"/>
    <s v="Low"/>
    <n v="0.16662851329009287"/>
  </r>
  <r>
    <s v="ORD100063"/>
    <s v="2024-09-11"/>
    <x v="53"/>
    <x v="2"/>
    <x v="6"/>
    <x v="0"/>
    <x v="2"/>
    <x v="2"/>
    <n v="6072.3"/>
    <n v="6"/>
    <n v="0.05"/>
    <n v="1513.48"/>
    <x v="8"/>
    <x v="3"/>
    <s v="11/09/2024"/>
    <x v="1"/>
    <n v="9"/>
    <x v="5"/>
    <s v="High"/>
    <n v="0.24924328508143537"/>
  </r>
  <r>
    <s v="ORD100064"/>
    <s v="2024-02-15"/>
    <x v="54"/>
    <x v="0"/>
    <x v="7"/>
    <x v="2"/>
    <x v="6"/>
    <x v="23"/>
    <n v="4085.88"/>
    <n v="4"/>
    <n v="0.25"/>
    <n v="-435.9"/>
    <x v="0"/>
    <x v="3"/>
    <s v="15/02/2024"/>
    <x v="1"/>
    <n v="2"/>
    <x v="1"/>
    <s v="Low"/>
    <n v="-0.10668448412581867"/>
  </r>
  <r>
    <s v="ORD100065"/>
    <s v="2025-02-06"/>
    <x v="55"/>
    <x v="3"/>
    <x v="15"/>
    <x v="1"/>
    <x v="7"/>
    <x v="9"/>
    <n v="1820.8"/>
    <n v="2"/>
    <n v="0.05"/>
    <n v="538.82000000000005"/>
    <x v="2"/>
    <x v="1"/>
    <s v="06/02/2025"/>
    <x v="0"/>
    <n v="2"/>
    <x v="1"/>
    <s v="High"/>
    <n v="0.29592486818980673"/>
  </r>
  <r>
    <s v="ORD100066"/>
    <s v="2024-10-04"/>
    <x v="56"/>
    <x v="3"/>
    <x v="14"/>
    <x v="1"/>
    <x v="3"/>
    <x v="4"/>
    <n v="200.08"/>
    <n v="1"/>
    <n v="0.05"/>
    <n v="36.46"/>
    <x v="6"/>
    <x v="2"/>
    <s v="04/10/2024"/>
    <x v="1"/>
    <n v="10"/>
    <x v="2"/>
    <s v="High"/>
    <n v="0.18222710915633747"/>
  </r>
  <r>
    <s v="ORD100067"/>
    <s v="2025-02-18"/>
    <x v="57"/>
    <x v="3"/>
    <x v="13"/>
    <x v="1"/>
    <x v="5"/>
    <x v="24"/>
    <n v="1923.48"/>
    <n v="6"/>
    <n v="0"/>
    <n v="725.05"/>
    <x v="1"/>
    <x v="2"/>
    <s v="18/02/2025"/>
    <x v="0"/>
    <n v="2"/>
    <x v="1"/>
    <s v="No Discount"/>
    <n v="0.37694699191049552"/>
  </r>
  <r>
    <s v="ORD100068"/>
    <s v="2024-11-09"/>
    <x v="58"/>
    <x v="2"/>
    <x v="3"/>
    <x v="2"/>
    <x v="4"/>
    <x v="10"/>
    <n v="1025.8800000000001"/>
    <n v="1"/>
    <n v="0.1"/>
    <n v="231.44"/>
    <x v="8"/>
    <x v="1"/>
    <s v="09/11/2024"/>
    <x v="1"/>
    <n v="11"/>
    <x v="10"/>
    <s v="Low"/>
    <n v="0.22560143486567627"/>
  </r>
  <r>
    <s v="ORD100069"/>
    <s v="2025-12-30"/>
    <x v="59"/>
    <x v="3"/>
    <x v="12"/>
    <x v="1"/>
    <x v="5"/>
    <x v="15"/>
    <n v="650.30999999999995"/>
    <n v="3"/>
    <n v="0"/>
    <n v="44.81"/>
    <x v="0"/>
    <x v="0"/>
    <s v="30/12/2025"/>
    <x v="0"/>
    <n v="12"/>
    <x v="4"/>
    <s v="No Discount"/>
    <n v="6.8905598868232082E-2"/>
  </r>
  <r>
    <s v="ORD100070"/>
    <s v="2024-05-25"/>
    <x v="60"/>
    <x v="2"/>
    <x v="8"/>
    <x v="0"/>
    <x v="1"/>
    <x v="1"/>
    <n v="5336.1"/>
    <n v="7"/>
    <n v="0.3"/>
    <n v="-195.73"/>
    <x v="1"/>
    <x v="3"/>
    <s v="25/05/2024"/>
    <x v="1"/>
    <n v="5"/>
    <x v="7"/>
    <s v="Low"/>
    <n v="-3.6680347069957459E-2"/>
  </r>
  <r>
    <s v="ORD100071"/>
    <s v="2025-08-08"/>
    <x v="55"/>
    <x v="2"/>
    <x v="3"/>
    <x v="2"/>
    <x v="4"/>
    <x v="10"/>
    <n v="1407.5"/>
    <n v="10"/>
    <n v="0.15"/>
    <n v="-29.92"/>
    <x v="2"/>
    <x v="0"/>
    <s v="08/08/2025"/>
    <x v="0"/>
    <n v="8"/>
    <x v="11"/>
    <s v="Low"/>
    <n v="-2.1257548845470695E-2"/>
  </r>
  <r>
    <s v="ORD100072"/>
    <s v="2025-09-12"/>
    <x v="61"/>
    <x v="0"/>
    <x v="0"/>
    <x v="1"/>
    <x v="7"/>
    <x v="17"/>
    <n v="7536.51"/>
    <n v="9"/>
    <n v="0.05"/>
    <n v="544.58000000000004"/>
    <x v="6"/>
    <x v="3"/>
    <s v="12/09/2025"/>
    <x v="0"/>
    <n v="9"/>
    <x v="5"/>
    <s v="High"/>
    <n v="7.2258910291368286E-2"/>
  </r>
  <r>
    <s v="ORD100073"/>
    <s v="2024-11-18"/>
    <x v="62"/>
    <x v="3"/>
    <x v="13"/>
    <x v="2"/>
    <x v="8"/>
    <x v="12"/>
    <n v="2154.48"/>
    <n v="6"/>
    <n v="0"/>
    <n v="274.94"/>
    <x v="5"/>
    <x v="1"/>
    <s v="18/11/2024"/>
    <x v="1"/>
    <n v="11"/>
    <x v="10"/>
    <s v="No Discount"/>
    <n v="0.12761315955590211"/>
  </r>
  <r>
    <s v="ORD100074"/>
    <s v="2024-12-19"/>
    <x v="63"/>
    <x v="0"/>
    <x v="9"/>
    <x v="2"/>
    <x v="4"/>
    <x v="10"/>
    <n v="561.29999999999995"/>
    <n v="6"/>
    <n v="0.25"/>
    <n v="29.51"/>
    <x v="3"/>
    <x v="1"/>
    <s v="19/12/2024"/>
    <x v="1"/>
    <n v="12"/>
    <x v="4"/>
    <s v="Low"/>
    <n v="5.2574380901478715E-2"/>
  </r>
  <r>
    <s v="ORD100075"/>
    <s v="2024-12-20"/>
    <x v="64"/>
    <x v="3"/>
    <x v="13"/>
    <x v="1"/>
    <x v="5"/>
    <x v="15"/>
    <n v="768.74"/>
    <n v="2"/>
    <n v="0"/>
    <n v="100.64"/>
    <x v="3"/>
    <x v="1"/>
    <s v="20/12/2024"/>
    <x v="1"/>
    <n v="12"/>
    <x v="4"/>
    <s v="No Discount"/>
    <n v="0.13091552410437859"/>
  </r>
  <r>
    <s v="ORD100076"/>
    <s v="2025-01-03"/>
    <x v="65"/>
    <x v="3"/>
    <x v="14"/>
    <x v="2"/>
    <x v="8"/>
    <x v="12"/>
    <n v="1871.22"/>
    <n v="2"/>
    <n v="0.2"/>
    <n v="-72.510000000000005"/>
    <x v="3"/>
    <x v="1"/>
    <s v="03/01/2025"/>
    <x v="0"/>
    <n v="1"/>
    <x v="0"/>
    <s v="Low"/>
    <n v="-3.8750120242408696E-2"/>
  </r>
  <r>
    <s v="ORD100077"/>
    <s v="2024-04-27"/>
    <x v="35"/>
    <x v="2"/>
    <x v="6"/>
    <x v="0"/>
    <x v="0"/>
    <x v="22"/>
    <n v="3532.72"/>
    <n v="8"/>
    <n v="0.3"/>
    <n v="225.66"/>
    <x v="3"/>
    <x v="2"/>
    <s v="27/04/2024"/>
    <x v="1"/>
    <n v="4"/>
    <x v="8"/>
    <s v="Low"/>
    <n v="6.3877125840711979E-2"/>
  </r>
  <r>
    <s v="ORD100078"/>
    <s v="2025-06-18"/>
    <x v="66"/>
    <x v="3"/>
    <x v="14"/>
    <x v="0"/>
    <x v="1"/>
    <x v="3"/>
    <n v="76.25"/>
    <n v="1"/>
    <n v="0.25"/>
    <n v="-11.86"/>
    <x v="8"/>
    <x v="1"/>
    <s v="18/06/2025"/>
    <x v="0"/>
    <n v="6"/>
    <x v="9"/>
    <s v="Low"/>
    <n v="-0.15554098360655738"/>
  </r>
  <r>
    <s v="ORD100079"/>
    <s v="2024-01-11"/>
    <x v="67"/>
    <x v="0"/>
    <x v="9"/>
    <x v="2"/>
    <x v="4"/>
    <x v="6"/>
    <n v="1343.16"/>
    <n v="4"/>
    <n v="0.2"/>
    <n v="25.32"/>
    <x v="1"/>
    <x v="1"/>
    <s v="11/01/2024"/>
    <x v="1"/>
    <n v="1"/>
    <x v="0"/>
    <s v="Low"/>
    <n v="1.8851067631555436E-2"/>
  </r>
  <r>
    <s v="ORD100080"/>
    <s v="2025-04-30"/>
    <x v="68"/>
    <x v="0"/>
    <x v="4"/>
    <x v="0"/>
    <x v="1"/>
    <x v="19"/>
    <n v="6681.51"/>
    <n v="9"/>
    <n v="0.05"/>
    <n v="865.64"/>
    <x v="1"/>
    <x v="0"/>
    <s v="30/04/2025"/>
    <x v="0"/>
    <n v="4"/>
    <x v="8"/>
    <s v="High"/>
    <n v="0.12955754013688522"/>
  </r>
  <r>
    <s v="ORD100081"/>
    <s v="2025-09-07"/>
    <x v="69"/>
    <x v="0"/>
    <x v="0"/>
    <x v="0"/>
    <x v="2"/>
    <x v="2"/>
    <n v="3095.55"/>
    <n v="3"/>
    <n v="0"/>
    <n v="593.66999999999996"/>
    <x v="9"/>
    <x v="2"/>
    <s v="07/09/2025"/>
    <x v="0"/>
    <n v="9"/>
    <x v="5"/>
    <s v="No Discount"/>
    <n v="0.19178175122353053"/>
  </r>
  <r>
    <s v="ORD100082"/>
    <s v="2025-04-21"/>
    <x v="25"/>
    <x v="1"/>
    <x v="2"/>
    <x v="0"/>
    <x v="1"/>
    <x v="1"/>
    <n v="2925.52"/>
    <n v="4"/>
    <n v="0.2"/>
    <n v="70.739999999999995"/>
    <x v="3"/>
    <x v="0"/>
    <s v="21/04/2025"/>
    <x v="0"/>
    <n v="4"/>
    <x v="8"/>
    <s v="Low"/>
    <n v="2.4180316661653312E-2"/>
  </r>
  <r>
    <s v="ORD100083"/>
    <s v="2024-09-16"/>
    <x v="70"/>
    <x v="0"/>
    <x v="9"/>
    <x v="1"/>
    <x v="7"/>
    <x v="17"/>
    <n v="2395.2600000000002"/>
    <n v="9"/>
    <n v="0.05"/>
    <n v="877.36"/>
    <x v="8"/>
    <x v="1"/>
    <s v="16/09/2024"/>
    <x v="1"/>
    <n v="9"/>
    <x v="5"/>
    <s v="High"/>
    <n v="0.36629008959361403"/>
  </r>
  <r>
    <s v="ORD100084"/>
    <s v="2025-10-01"/>
    <x v="71"/>
    <x v="1"/>
    <x v="1"/>
    <x v="1"/>
    <x v="5"/>
    <x v="7"/>
    <n v="5777.76"/>
    <n v="6"/>
    <n v="0.1"/>
    <n v="1798.58"/>
    <x v="9"/>
    <x v="1"/>
    <s v="01/10/2025"/>
    <x v="0"/>
    <n v="10"/>
    <x v="2"/>
    <s v="Low"/>
    <n v="0.3112936501343081"/>
  </r>
  <r>
    <s v="ORD100085"/>
    <s v="2024-08-08"/>
    <x v="33"/>
    <x v="2"/>
    <x v="10"/>
    <x v="0"/>
    <x v="2"/>
    <x v="2"/>
    <n v="5832.99"/>
    <n v="9"/>
    <n v="0.05"/>
    <n v="2061.41"/>
    <x v="8"/>
    <x v="0"/>
    <s v="08/08/2024"/>
    <x v="1"/>
    <n v="8"/>
    <x v="11"/>
    <s v="High"/>
    <n v="0.35340537185902943"/>
  </r>
  <r>
    <s v="ORD100086"/>
    <s v="2025-11-15"/>
    <x v="72"/>
    <x v="1"/>
    <x v="11"/>
    <x v="1"/>
    <x v="7"/>
    <x v="9"/>
    <n v="8823.2000000000007"/>
    <n v="10"/>
    <n v="0.3"/>
    <n v="582.89"/>
    <x v="2"/>
    <x v="1"/>
    <s v="15/11/2025"/>
    <x v="0"/>
    <n v="11"/>
    <x v="10"/>
    <s v="Low"/>
    <n v="6.6063333031099819E-2"/>
  </r>
  <r>
    <s v="ORD100087"/>
    <s v="2024-05-15"/>
    <x v="73"/>
    <x v="1"/>
    <x v="2"/>
    <x v="1"/>
    <x v="5"/>
    <x v="15"/>
    <n v="1629.2"/>
    <n v="10"/>
    <n v="0.3"/>
    <n v="-122.43"/>
    <x v="3"/>
    <x v="2"/>
    <s v="15/05/2024"/>
    <x v="1"/>
    <n v="5"/>
    <x v="7"/>
    <s v="Low"/>
    <n v="-7.5147311563957778E-2"/>
  </r>
  <r>
    <s v="ORD100088"/>
    <s v="2024-12-31"/>
    <x v="5"/>
    <x v="0"/>
    <x v="4"/>
    <x v="2"/>
    <x v="8"/>
    <x v="12"/>
    <n v="5188.9799999999996"/>
    <n v="6"/>
    <n v="0.2"/>
    <n v="-777.88"/>
    <x v="0"/>
    <x v="2"/>
    <s v="31/12/2024"/>
    <x v="1"/>
    <n v="12"/>
    <x v="4"/>
    <s v="Low"/>
    <n v="-0.14991000158027204"/>
  </r>
  <r>
    <s v="ORD100089"/>
    <s v="2025-06-20"/>
    <x v="74"/>
    <x v="3"/>
    <x v="12"/>
    <x v="1"/>
    <x v="7"/>
    <x v="9"/>
    <n v="2389.2600000000002"/>
    <n v="6"/>
    <n v="0.1"/>
    <n v="472.22"/>
    <x v="4"/>
    <x v="1"/>
    <s v="20/06/2025"/>
    <x v="0"/>
    <n v="6"/>
    <x v="9"/>
    <s v="Low"/>
    <n v="0.19764278479529226"/>
  </r>
  <r>
    <s v="ORD100090"/>
    <s v="2025-02-27"/>
    <x v="75"/>
    <x v="3"/>
    <x v="12"/>
    <x v="0"/>
    <x v="0"/>
    <x v="22"/>
    <n v="5299"/>
    <n v="10"/>
    <n v="0.15"/>
    <n v="69.31"/>
    <x v="8"/>
    <x v="2"/>
    <s v="27/02/2025"/>
    <x v="0"/>
    <n v="2"/>
    <x v="1"/>
    <s v="Low"/>
    <n v="1.307982638233629E-2"/>
  </r>
  <r>
    <s v="ORD100091"/>
    <s v="2025-12-14"/>
    <x v="4"/>
    <x v="0"/>
    <x v="4"/>
    <x v="2"/>
    <x v="4"/>
    <x v="10"/>
    <n v="3124.14"/>
    <n v="6"/>
    <n v="0"/>
    <n v="372.2"/>
    <x v="4"/>
    <x v="0"/>
    <s v="14/12/2025"/>
    <x v="0"/>
    <n v="12"/>
    <x v="4"/>
    <s v="No Discount"/>
    <n v="0.11913678644362929"/>
  </r>
  <r>
    <s v="ORD100092"/>
    <s v="2025-09-04"/>
    <x v="76"/>
    <x v="1"/>
    <x v="5"/>
    <x v="0"/>
    <x v="0"/>
    <x v="22"/>
    <n v="1693.2"/>
    <n v="6"/>
    <n v="0.2"/>
    <n v="-136.4"/>
    <x v="2"/>
    <x v="3"/>
    <s v="04/09/2025"/>
    <x v="0"/>
    <n v="9"/>
    <x v="5"/>
    <s v="Low"/>
    <n v="-8.0557524214505086E-2"/>
  </r>
  <r>
    <s v="ORD100093"/>
    <s v="2025-08-16"/>
    <x v="77"/>
    <x v="3"/>
    <x v="14"/>
    <x v="1"/>
    <x v="7"/>
    <x v="9"/>
    <n v="708.04"/>
    <n v="4"/>
    <n v="0.1"/>
    <n v="118.14"/>
    <x v="4"/>
    <x v="2"/>
    <s v="16/08/2025"/>
    <x v="0"/>
    <n v="8"/>
    <x v="11"/>
    <s v="Low"/>
    <n v="0.16685497994463591"/>
  </r>
  <r>
    <s v="ORD100094"/>
    <s v="2024-12-30"/>
    <x v="78"/>
    <x v="3"/>
    <x v="12"/>
    <x v="0"/>
    <x v="0"/>
    <x v="25"/>
    <n v="374.34"/>
    <n v="3"/>
    <n v="0.2"/>
    <n v="31.54"/>
    <x v="8"/>
    <x v="2"/>
    <s v="30/12/2024"/>
    <x v="1"/>
    <n v="12"/>
    <x v="4"/>
    <s v="Low"/>
    <n v="8.425495538814981E-2"/>
  </r>
  <r>
    <s v="ORD100095"/>
    <s v="2024-12-16"/>
    <x v="79"/>
    <x v="3"/>
    <x v="12"/>
    <x v="0"/>
    <x v="0"/>
    <x v="22"/>
    <n v="607.28"/>
    <n v="2"/>
    <n v="0.25"/>
    <n v="-89.79"/>
    <x v="1"/>
    <x v="3"/>
    <s v="16/12/2024"/>
    <x v="1"/>
    <n v="12"/>
    <x v="4"/>
    <s v="Low"/>
    <n v="-0.14785601370043475"/>
  </r>
  <r>
    <s v="ORD100096"/>
    <s v="2025-12-15"/>
    <x v="26"/>
    <x v="0"/>
    <x v="0"/>
    <x v="2"/>
    <x v="4"/>
    <x v="6"/>
    <n v="682.04"/>
    <n v="4"/>
    <n v="0.3"/>
    <n v="67.489999999999995"/>
    <x v="8"/>
    <x v="3"/>
    <s v="15/12/2025"/>
    <x v="0"/>
    <n v="12"/>
    <x v="4"/>
    <s v="Low"/>
    <n v="9.8953140578265208E-2"/>
  </r>
  <r>
    <s v="ORD100097"/>
    <s v="2024-06-03"/>
    <x v="80"/>
    <x v="1"/>
    <x v="5"/>
    <x v="0"/>
    <x v="1"/>
    <x v="1"/>
    <n v="4500.5"/>
    <n v="5"/>
    <n v="0.3"/>
    <n v="331.97"/>
    <x v="2"/>
    <x v="1"/>
    <s v="03/06/2024"/>
    <x v="1"/>
    <n v="6"/>
    <x v="9"/>
    <s v="Low"/>
    <n v="7.3762915231640941E-2"/>
  </r>
  <r>
    <s v="ORD100098"/>
    <s v="2025-11-03"/>
    <x v="81"/>
    <x v="2"/>
    <x v="6"/>
    <x v="0"/>
    <x v="2"/>
    <x v="21"/>
    <n v="4682"/>
    <n v="10"/>
    <n v="0.15"/>
    <n v="108.83"/>
    <x v="2"/>
    <x v="1"/>
    <s v="03/11/2025"/>
    <x v="0"/>
    <n v="11"/>
    <x v="10"/>
    <s v="Low"/>
    <n v="2.3244340025630073E-2"/>
  </r>
  <r>
    <s v="ORD100099"/>
    <s v="2025-07-05"/>
    <x v="17"/>
    <x v="3"/>
    <x v="13"/>
    <x v="0"/>
    <x v="0"/>
    <x v="0"/>
    <n v="2116.17"/>
    <n v="9"/>
    <n v="0.15"/>
    <n v="136.69999999999999"/>
    <x v="5"/>
    <x v="3"/>
    <s v="05/07/2025"/>
    <x v="0"/>
    <n v="7"/>
    <x v="6"/>
    <s v="Low"/>
    <n v="6.4597834767528117E-2"/>
  </r>
  <r>
    <s v="ORD100100"/>
    <s v="2025-02-15"/>
    <x v="48"/>
    <x v="2"/>
    <x v="6"/>
    <x v="0"/>
    <x v="2"/>
    <x v="11"/>
    <n v="635.54"/>
    <n v="2"/>
    <n v="0.2"/>
    <n v="112.32"/>
    <x v="7"/>
    <x v="3"/>
    <s v="15/02/2025"/>
    <x v="0"/>
    <n v="2"/>
    <x v="1"/>
    <s v="Low"/>
    <n v="0.17673159832583316"/>
  </r>
  <r>
    <s v="ORD100101"/>
    <s v="2024-02-12"/>
    <x v="56"/>
    <x v="0"/>
    <x v="4"/>
    <x v="0"/>
    <x v="1"/>
    <x v="1"/>
    <n v="1950.06"/>
    <n v="3"/>
    <n v="0.05"/>
    <n v="204.4"/>
    <x v="1"/>
    <x v="3"/>
    <s v="12/02/2024"/>
    <x v="1"/>
    <n v="2"/>
    <x v="1"/>
    <s v="High"/>
    <n v="0.10481728767319981"/>
  </r>
  <r>
    <s v="ORD100102"/>
    <s v="2024-09-21"/>
    <x v="82"/>
    <x v="1"/>
    <x v="1"/>
    <x v="1"/>
    <x v="3"/>
    <x v="14"/>
    <n v="4904.46"/>
    <n v="6"/>
    <n v="0"/>
    <n v="2115.63"/>
    <x v="6"/>
    <x v="0"/>
    <s v="21/09/2024"/>
    <x v="1"/>
    <n v="9"/>
    <x v="5"/>
    <s v="No Discount"/>
    <n v="0.43136859103754543"/>
  </r>
  <r>
    <s v="ORD100103"/>
    <s v="2025-06-30"/>
    <x v="83"/>
    <x v="2"/>
    <x v="10"/>
    <x v="1"/>
    <x v="7"/>
    <x v="16"/>
    <n v="5038.88"/>
    <n v="7"/>
    <n v="0.25"/>
    <n v="-690.95"/>
    <x v="2"/>
    <x v="1"/>
    <s v="30/06/2025"/>
    <x v="0"/>
    <n v="6"/>
    <x v="9"/>
    <s v="Low"/>
    <n v="-0.13712372590734451"/>
  </r>
  <r>
    <s v="ORD100104"/>
    <s v="2024-07-28"/>
    <x v="31"/>
    <x v="0"/>
    <x v="4"/>
    <x v="1"/>
    <x v="7"/>
    <x v="16"/>
    <n v="1862.9"/>
    <n v="10"/>
    <n v="0.05"/>
    <n v="164.13"/>
    <x v="4"/>
    <x v="3"/>
    <s v="28/07/2024"/>
    <x v="1"/>
    <n v="7"/>
    <x v="6"/>
    <s v="High"/>
    <n v="8.8104568146438342E-2"/>
  </r>
  <r>
    <s v="ORD100105"/>
    <s v="2025-03-07"/>
    <x v="84"/>
    <x v="3"/>
    <x v="14"/>
    <x v="2"/>
    <x v="6"/>
    <x v="13"/>
    <n v="5749.47"/>
    <n v="9"/>
    <n v="0.1"/>
    <n v="-111.31"/>
    <x v="5"/>
    <x v="1"/>
    <s v="07/03/2025"/>
    <x v="0"/>
    <n v="3"/>
    <x v="3"/>
    <s v="Low"/>
    <n v="-1.9360045360702811E-2"/>
  </r>
  <r>
    <s v="ORD100106"/>
    <s v="2024-04-23"/>
    <x v="85"/>
    <x v="0"/>
    <x v="9"/>
    <x v="1"/>
    <x v="3"/>
    <x v="14"/>
    <n v="2452.08"/>
    <n v="3"/>
    <n v="0.25"/>
    <n v="286.58999999999997"/>
    <x v="2"/>
    <x v="1"/>
    <s v="23/04/2024"/>
    <x v="1"/>
    <n v="4"/>
    <x v="8"/>
    <s v="Low"/>
    <n v="0.11687628462366643"/>
  </r>
  <r>
    <s v="ORD100107"/>
    <s v="2025-11-12"/>
    <x v="86"/>
    <x v="2"/>
    <x v="8"/>
    <x v="2"/>
    <x v="4"/>
    <x v="26"/>
    <n v="9498.48"/>
    <n v="8"/>
    <n v="0.15"/>
    <n v="479.9"/>
    <x v="3"/>
    <x v="3"/>
    <s v="12/11/2025"/>
    <x v="0"/>
    <n v="11"/>
    <x v="10"/>
    <s v="Low"/>
    <n v="5.0523873293411153E-2"/>
  </r>
  <r>
    <s v="ORD100108"/>
    <s v="2025-06-02"/>
    <x v="68"/>
    <x v="1"/>
    <x v="11"/>
    <x v="1"/>
    <x v="7"/>
    <x v="9"/>
    <n v="3163.2"/>
    <n v="3"/>
    <n v="0.3"/>
    <n v="114.73"/>
    <x v="9"/>
    <x v="2"/>
    <s v="02/06/2025"/>
    <x v="0"/>
    <n v="6"/>
    <x v="9"/>
    <s v="Low"/>
    <n v="3.6270232675771376E-2"/>
  </r>
  <r>
    <s v="ORD100109"/>
    <s v="2025-03-27"/>
    <x v="87"/>
    <x v="3"/>
    <x v="13"/>
    <x v="2"/>
    <x v="8"/>
    <x v="12"/>
    <n v="72.599999999999994"/>
    <n v="4"/>
    <n v="0"/>
    <n v="4.68"/>
    <x v="0"/>
    <x v="2"/>
    <s v="27/03/2025"/>
    <x v="0"/>
    <n v="3"/>
    <x v="3"/>
    <s v="No Discount"/>
    <n v="6.4462809917355368E-2"/>
  </r>
  <r>
    <s v="ORD100110"/>
    <s v="2025-01-04"/>
    <x v="67"/>
    <x v="2"/>
    <x v="10"/>
    <x v="2"/>
    <x v="8"/>
    <x v="12"/>
    <n v="2205.54"/>
    <n v="2"/>
    <n v="0.3"/>
    <n v="-424.47"/>
    <x v="6"/>
    <x v="0"/>
    <s v="04/01/2025"/>
    <x v="0"/>
    <n v="1"/>
    <x v="0"/>
    <s v="Low"/>
    <n v="-0.19245626921298187"/>
  </r>
  <r>
    <s v="ORD100111"/>
    <s v="2024-01-21"/>
    <x v="52"/>
    <x v="1"/>
    <x v="1"/>
    <x v="1"/>
    <x v="7"/>
    <x v="17"/>
    <n v="1273.83"/>
    <n v="3"/>
    <n v="0.2"/>
    <n v="95.16"/>
    <x v="7"/>
    <x v="3"/>
    <s v="21/01/2024"/>
    <x v="1"/>
    <n v="1"/>
    <x v="0"/>
    <s v="Low"/>
    <n v="7.4703845882103576E-2"/>
  </r>
  <r>
    <s v="ORD100112"/>
    <s v="2025-10-02"/>
    <x v="54"/>
    <x v="1"/>
    <x v="5"/>
    <x v="2"/>
    <x v="6"/>
    <x v="23"/>
    <n v="4671.59"/>
    <n v="7"/>
    <n v="0.05"/>
    <n v="378.52"/>
    <x v="6"/>
    <x v="3"/>
    <s v="02/10/2025"/>
    <x v="0"/>
    <n v="10"/>
    <x v="2"/>
    <s v="High"/>
    <n v="8.102594619818948E-2"/>
  </r>
  <r>
    <s v="ORD100113"/>
    <s v="2024-09-02"/>
    <x v="88"/>
    <x v="1"/>
    <x v="5"/>
    <x v="2"/>
    <x v="6"/>
    <x v="23"/>
    <n v="5792.94"/>
    <n v="6"/>
    <n v="0.15"/>
    <n v="1438.99"/>
    <x v="5"/>
    <x v="2"/>
    <s v="02/09/2024"/>
    <x v="1"/>
    <n v="9"/>
    <x v="5"/>
    <s v="Low"/>
    <n v="0.24840409187735418"/>
  </r>
  <r>
    <s v="ORD100114"/>
    <s v="2025-07-28"/>
    <x v="12"/>
    <x v="0"/>
    <x v="4"/>
    <x v="0"/>
    <x v="1"/>
    <x v="1"/>
    <n v="879.2"/>
    <n v="7"/>
    <n v="0.15"/>
    <n v="164.59"/>
    <x v="2"/>
    <x v="2"/>
    <s v="28/07/2025"/>
    <x v="0"/>
    <n v="7"/>
    <x v="6"/>
    <s v="Low"/>
    <n v="0.18720427661510464"/>
  </r>
  <r>
    <s v="ORD100115"/>
    <s v="2024-07-04"/>
    <x v="77"/>
    <x v="0"/>
    <x v="4"/>
    <x v="0"/>
    <x v="0"/>
    <x v="25"/>
    <n v="3731.34"/>
    <n v="6"/>
    <n v="0.2"/>
    <n v="846.82"/>
    <x v="2"/>
    <x v="1"/>
    <s v="04/07/2024"/>
    <x v="1"/>
    <n v="7"/>
    <x v="6"/>
    <s v="Low"/>
    <n v="0.22694795971420456"/>
  </r>
  <r>
    <s v="ORD100116"/>
    <s v="2024-10-26"/>
    <x v="89"/>
    <x v="3"/>
    <x v="14"/>
    <x v="1"/>
    <x v="3"/>
    <x v="4"/>
    <n v="416.8"/>
    <n v="10"/>
    <n v="0"/>
    <n v="155.55000000000001"/>
    <x v="9"/>
    <x v="3"/>
    <s v="26/10/2024"/>
    <x v="1"/>
    <n v="10"/>
    <x v="2"/>
    <s v="No Discount"/>
    <n v="0.37320057581573896"/>
  </r>
  <r>
    <s v="ORD100117"/>
    <s v="2025-06-28"/>
    <x v="77"/>
    <x v="0"/>
    <x v="0"/>
    <x v="0"/>
    <x v="1"/>
    <x v="3"/>
    <n v="11511.7"/>
    <n v="10"/>
    <n v="0.2"/>
    <n v="1606.08"/>
    <x v="1"/>
    <x v="3"/>
    <s v="28/06/2025"/>
    <x v="0"/>
    <n v="6"/>
    <x v="9"/>
    <s v="Low"/>
    <n v="0.13951718686206205"/>
  </r>
  <r>
    <s v="ORD100118"/>
    <s v="2025-12-24"/>
    <x v="55"/>
    <x v="2"/>
    <x v="10"/>
    <x v="2"/>
    <x v="8"/>
    <x v="18"/>
    <n v="4603.12"/>
    <n v="8"/>
    <n v="0.15"/>
    <n v="292.55"/>
    <x v="0"/>
    <x v="3"/>
    <s v="24/12/2025"/>
    <x v="0"/>
    <n v="12"/>
    <x v="4"/>
    <s v="Low"/>
    <n v="6.3554719407706087E-2"/>
  </r>
  <r>
    <s v="ORD100119"/>
    <s v="2024-03-21"/>
    <x v="90"/>
    <x v="3"/>
    <x v="14"/>
    <x v="2"/>
    <x v="8"/>
    <x v="18"/>
    <n v="4821.6000000000004"/>
    <n v="8"/>
    <n v="0.3"/>
    <n v="487.62"/>
    <x v="8"/>
    <x v="2"/>
    <s v="21/03/2024"/>
    <x v="1"/>
    <n v="3"/>
    <x v="3"/>
    <s v="Low"/>
    <n v="0.10113240418118466"/>
  </r>
  <r>
    <s v="ORD100120"/>
    <s v="2024-05-24"/>
    <x v="91"/>
    <x v="2"/>
    <x v="8"/>
    <x v="0"/>
    <x v="1"/>
    <x v="1"/>
    <n v="235.08"/>
    <n v="1"/>
    <n v="0"/>
    <n v="40.97"/>
    <x v="5"/>
    <x v="3"/>
    <s v="24/05/2024"/>
    <x v="1"/>
    <n v="5"/>
    <x v="7"/>
    <s v="No Discount"/>
    <n v="0.17428109579717541"/>
  </r>
  <r>
    <s v="ORD100121"/>
    <s v="2025-01-14"/>
    <x v="72"/>
    <x v="3"/>
    <x v="13"/>
    <x v="1"/>
    <x v="7"/>
    <x v="17"/>
    <n v="6252.24"/>
    <n v="6"/>
    <n v="0.25"/>
    <n v="607.07000000000005"/>
    <x v="5"/>
    <x v="1"/>
    <s v="14/01/2025"/>
    <x v="0"/>
    <n v="1"/>
    <x v="0"/>
    <s v="Low"/>
    <n v="9.7096400650007048E-2"/>
  </r>
  <r>
    <s v="ORD100122"/>
    <s v="2024-12-10"/>
    <x v="30"/>
    <x v="3"/>
    <x v="13"/>
    <x v="1"/>
    <x v="3"/>
    <x v="5"/>
    <n v="3046.82"/>
    <n v="7"/>
    <n v="0.15"/>
    <n v="726.68"/>
    <x v="7"/>
    <x v="2"/>
    <s v="10/12/2024"/>
    <x v="1"/>
    <n v="12"/>
    <x v="4"/>
    <s v="Low"/>
    <n v="0.23850440787443955"/>
  </r>
  <r>
    <s v="ORD100123"/>
    <s v="2024-03-01"/>
    <x v="92"/>
    <x v="3"/>
    <x v="13"/>
    <x v="0"/>
    <x v="0"/>
    <x v="0"/>
    <n v="7186.88"/>
    <n v="8"/>
    <n v="0.1"/>
    <n v="248.3"/>
    <x v="5"/>
    <x v="0"/>
    <s v="01/03/2024"/>
    <x v="1"/>
    <n v="3"/>
    <x v="3"/>
    <s v="Low"/>
    <n v="3.4549067189100141E-2"/>
  </r>
  <r>
    <s v="ORD100124"/>
    <s v="2024-07-26"/>
    <x v="93"/>
    <x v="2"/>
    <x v="3"/>
    <x v="2"/>
    <x v="8"/>
    <x v="18"/>
    <n v="7201.2"/>
    <n v="10"/>
    <n v="0.1"/>
    <n v="-236.61"/>
    <x v="7"/>
    <x v="2"/>
    <s v="26/07/2024"/>
    <x v="1"/>
    <n v="7"/>
    <x v="6"/>
    <s v="Low"/>
    <n v="-3.2857023829361773E-2"/>
  </r>
  <r>
    <s v="ORD100125"/>
    <s v="2024-10-07"/>
    <x v="1"/>
    <x v="2"/>
    <x v="8"/>
    <x v="0"/>
    <x v="1"/>
    <x v="19"/>
    <n v="3163.8"/>
    <n v="6"/>
    <n v="0"/>
    <n v="428.01"/>
    <x v="6"/>
    <x v="3"/>
    <s v="07/10/2024"/>
    <x v="1"/>
    <n v="10"/>
    <x v="2"/>
    <s v="No Discount"/>
    <n v="0.13528351981794043"/>
  </r>
  <r>
    <s v="ORD100126"/>
    <s v="2024-04-11"/>
    <x v="0"/>
    <x v="1"/>
    <x v="1"/>
    <x v="1"/>
    <x v="3"/>
    <x v="4"/>
    <n v="349.36"/>
    <n v="1"/>
    <n v="0.15"/>
    <n v="98.56"/>
    <x v="0"/>
    <x v="0"/>
    <s v="11/04/2024"/>
    <x v="1"/>
    <n v="4"/>
    <x v="8"/>
    <s v="Low"/>
    <n v="0.28211586901763225"/>
  </r>
  <r>
    <s v="ORD100127"/>
    <s v="2024-09-07"/>
    <x v="11"/>
    <x v="2"/>
    <x v="8"/>
    <x v="0"/>
    <x v="1"/>
    <x v="19"/>
    <n v="763.62"/>
    <n v="2"/>
    <n v="0.1"/>
    <n v="198.23"/>
    <x v="9"/>
    <x v="2"/>
    <s v="07/09/2024"/>
    <x v="1"/>
    <n v="9"/>
    <x v="5"/>
    <s v="Low"/>
    <n v="0.25959246745763598"/>
  </r>
  <r>
    <s v="ORD100128"/>
    <s v="2024-08-22"/>
    <x v="48"/>
    <x v="0"/>
    <x v="7"/>
    <x v="1"/>
    <x v="3"/>
    <x v="5"/>
    <n v="1716.88"/>
    <n v="8"/>
    <n v="0.15"/>
    <n v="186.44"/>
    <x v="0"/>
    <x v="1"/>
    <s v="22/08/2024"/>
    <x v="1"/>
    <n v="8"/>
    <x v="11"/>
    <s v="Low"/>
    <n v="0.1085923302735194"/>
  </r>
  <r>
    <s v="ORD100129"/>
    <s v="2025-04-05"/>
    <x v="69"/>
    <x v="0"/>
    <x v="7"/>
    <x v="0"/>
    <x v="0"/>
    <x v="22"/>
    <n v="1169.3900000000001"/>
    <n v="1"/>
    <n v="0.25"/>
    <n v="100.02"/>
    <x v="4"/>
    <x v="2"/>
    <s v="05/04/2025"/>
    <x v="0"/>
    <n v="4"/>
    <x v="8"/>
    <s v="Low"/>
    <n v="8.5531772975653966E-2"/>
  </r>
  <r>
    <s v="ORD100130"/>
    <s v="2024-06-28"/>
    <x v="94"/>
    <x v="1"/>
    <x v="1"/>
    <x v="2"/>
    <x v="8"/>
    <x v="12"/>
    <n v="834.76"/>
    <n v="1"/>
    <n v="0.15"/>
    <n v="-69.47"/>
    <x v="9"/>
    <x v="3"/>
    <s v="28/06/2024"/>
    <x v="1"/>
    <n v="6"/>
    <x v="9"/>
    <s v="Low"/>
    <n v="-8.3221524749628642E-2"/>
  </r>
  <r>
    <s v="ORD100131"/>
    <s v="2024-11-15"/>
    <x v="83"/>
    <x v="2"/>
    <x v="3"/>
    <x v="1"/>
    <x v="3"/>
    <x v="4"/>
    <n v="4253.3"/>
    <n v="5"/>
    <n v="0.25"/>
    <n v="-466.39"/>
    <x v="1"/>
    <x v="2"/>
    <s v="15/11/2024"/>
    <x v="1"/>
    <n v="11"/>
    <x v="10"/>
    <s v="Low"/>
    <n v="-0.10965368067147861"/>
  </r>
  <r>
    <s v="ORD100132"/>
    <s v="2025-05-06"/>
    <x v="95"/>
    <x v="1"/>
    <x v="5"/>
    <x v="0"/>
    <x v="1"/>
    <x v="1"/>
    <n v="3478.58"/>
    <n v="7"/>
    <n v="0.3"/>
    <n v="-431.2"/>
    <x v="6"/>
    <x v="2"/>
    <s v="06/05/2025"/>
    <x v="0"/>
    <n v="5"/>
    <x v="7"/>
    <s v="Low"/>
    <n v="-0.12395862679599147"/>
  </r>
  <r>
    <s v="ORD100133"/>
    <s v="2025-07-17"/>
    <x v="96"/>
    <x v="2"/>
    <x v="3"/>
    <x v="0"/>
    <x v="0"/>
    <x v="25"/>
    <n v="9469.7999999999993"/>
    <n v="9"/>
    <n v="0.1"/>
    <n v="2534.31"/>
    <x v="5"/>
    <x v="3"/>
    <s v="17/07/2025"/>
    <x v="0"/>
    <n v="7"/>
    <x v="6"/>
    <s v="Low"/>
    <n v="0.2676202242919597"/>
  </r>
  <r>
    <s v="ORD100134"/>
    <s v="2025-12-06"/>
    <x v="57"/>
    <x v="2"/>
    <x v="10"/>
    <x v="2"/>
    <x v="6"/>
    <x v="23"/>
    <n v="4185.93"/>
    <n v="7"/>
    <n v="0.1"/>
    <n v="181.17"/>
    <x v="5"/>
    <x v="1"/>
    <s v="06/12/2025"/>
    <x v="0"/>
    <n v="12"/>
    <x v="4"/>
    <s v="Low"/>
    <n v="4.3280704646279318E-2"/>
  </r>
  <r>
    <s v="ORD100135"/>
    <s v="2024-03-08"/>
    <x v="61"/>
    <x v="1"/>
    <x v="1"/>
    <x v="0"/>
    <x v="1"/>
    <x v="3"/>
    <n v="4187.82"/>
    <n v="7"/>
    <n v="0.2"/>
    <n v="155.86000000000001"/>
    <x v="2"/>
    <x v="1"/>
    <s v="08/03/2024"/>
    <x v="1"/>
    <n v="3"/>
    <x v="3"/>
    <s v="Low"/>
    <n v="3.721745442736317E-2"/>
  </r>
  <r>
    <s v="ORD100136"/>
    <s v="2025-01-24"/>
    <x v="9"/>
    <x v="3"/>
    <x v="15"/>
    <x v="1"/>
    <x v="3"/>
    <x v="4"/>
    <n v="7119.06"/>
    <n v="6"/>
    <n v="0.15"/>
    <n v="-297.89999999999998"/>
    <x v="5"/>
    <x v="2"/>
    <s v="24/01/2025"/>
    <x v="0"/>
    <n v="1"/>
    <x v="0"/>
    <s v="Low"/>
    <n v="-4.1845412175202899E-2"/>
  </r>
  <r>
    <s v="ORD100137"/>
    <s v="2025-09-27"/>
    <x v="97"/>
    <x v="0"/>
    <x v="9"/>
    <x v="0"/>
    <x v="1"/>
    <x v="3"/>
    <n v="3328.2"/>
    <n v="4"/>
    <n v="0"/>
    <n v="588.05999999999995"/>
    <x v="4"/>
    <x v="1"/>
    <s v="27/09/2025"/>
    <x v="0"/>
    <n v="9"/>
    <x v="5"/>
    <s v="No Discount"/>
    <n v="0.1766901027582477"/>
  </r>
  <r>
    <s v="ORD100138"/>
    <s v="2025-05-06"/>
    <x v="98"/>
    <x v="1"/>
    <x v="5"/>
    <x v="0"/>
    <x v="1"/>
    <x v="3"/>
    <n v="627.6"/>
    <n v="10"/>
    <n v="0.15"/>
    <n v="-27.08"/>
    <x v="7"/>
    <x v="1"/>
    <s v="06/05/2025"/>
    <x v="0"/>
    <n v="5"/>
    <x v="7"/>
    <s v="Low"/>
    <n v="-4.3148502230720198E-2"/>
  </r>
  <r>
    <s v="ORD100139"/>
    <s v="2025-06-21"/>
    <x v="99"/>
    <x v="3"/>
    <x v="13"/>
    <x v="0"/>
    <x v="0"/>
    <x v="0"/>
    <n v="609.55999999999995"/>
    <n v="1"/>
    <n v="0.2"/>
    <n v="43.11"/>
    <x v="0"/>
    <x v="2"/>
    <s v="21/06/2025"/>
    <x v="0"/>
    <n v="6"/>
    <x v="9"/>
    <s v="Low"/>
    <n v="7.0723144563291554E-2"/>
  </r>
  <r>
    <s v="ORD100140"/>
    <s v="2025-04-26"/>
    <x v="89"/>
    <x v="1"/>
    <x v="2"/>
    <x v="2"/>
    <x v="8"/>
    <x v="20"/>
    <n v="4031.91"/>
    <n v="9"/>
    <n v="0.1"/>
    <n v="527.72"/>
    <x v="3"/>
    <x v="3"/>
    <s v="26/04/2025"/>
    <x v="0"/>
    <n v="4"/>
    <x v="8"/>
    <s v="Low"/>
    <n v="0.13088585806726838"/>
  </r>
  <r>
    <s v="ORD100141"/>
    <s v="2025-10-19"/>
    <x v="100"/>
    <x v="2"/>
    <x v="10"/>
    <x v="1"/>
    <x v="3"/>
    <x v="14"/>
    <n v="1161.08"/>
    <n v="2"/>
    <n v="0.1"/>
    <n v="62.78"/>
    <x v="5"/>
    <x v="1"/>
    <s v="19/10/2025"/>
    <x v="0"/>
    <n v="10"/>
    <x v="2"/>
    <s v="Low"/>
    <n v="5.4070348296413689E-2"/>
  </r>
  <r>
    <s v="ORD100142"/>
    <s v="2024-12-26"/>
    <x v="22"/>
    <x v="1"/>
    <x v="2"/>
    <x v="1"/>
    <x v="5"/>
    <x v="7"/>
    <n v="1835.2"/>
    <n v="4"/>
    <n v="0"/>
    <n v="619.04"/>
    <x v="6"/>
    <x v="1"/>
    <s v="26/12/2024"/>
    <x v="1"/>
    <n v="12"/>
    <x v="4"/>
    <s v="No Discount"/>
    <n v="0.33731473408892759"/>
  </r>
  <r>
    <s v="ORD100143"/>
    <s v="2024-04-27"/>
    <x v="101"/>
    <x v="3"/>
    <x v="15"/>
    <x v="1"/>
    <x v="3"/>
    <x v="5"/>
    <n v="1715.06"/>
    <n v="2"/>
    <n v="0.1"/>
    <n v="-80.569999999999993"/>
    <x v="4"/>
    <x v="2"/>
    <s v="27/04/2024"/>
    <x v="1"/>
    <n v="4"/>
    <x v="8"/>
    <s v="Low"/>
    <n v="-4.6977948293354166E-2"/>
  </r>
  <r>
    <s v="ORD100144"/>
    <s v="2025-09-07"/>
    <x v="97"/>
    <x v="3"/>
    <x v="12"/>
    <x v="1"/>
    <x v="3"/>
    <x v="14"/>
    <n v="1575.3"/>
    <n v="5"/>
    <n v="0.2"/>
    <n v="-82.11"/>
    <x v="2"/>
    <x v="3"/>
    <s v="07/09/2025"/>
    <x v="0"/>
    <n v="9"/>
    <x v="5"/>
    <s v="Low"/>
    <n v="-5.2123405065701775E-2"/>
  </r>
  <r>
    <s v="ORD100145"/>
    <s v="2024-12-25"/>
    <x v="102"/>
    <x v="0"/>
    <x v="0"/>
    <x v="1"/>
    <x v="7"/>
    <x v="17"/>
    <n v="3372.48"/>
    <n v="8"/>
    <n v="0.1"/>
    <n v="1170.46"/>
    <x v="0"/>
    <x v="1"/>
    <s v="25/12/2024"/>
    <x v="1"/>
    <n v="12"/>
    <x v="4"/>
    <s v="Low"/>
    <n v="0.34706210266628712"/>
  </r>
  <r>
    <s v="ORD100146"/>
    <s v="2024-07-23"/>
    <x v="68"/>
    <x v="0"/>
    <x v="4"/>
    <x v="1"/>
    <x v="3"/>
    <x v="14"/>
    <n v="333.53"/>
    <n v="1"/>
    <n v="0"/>
    <n v="32.479999999999997"/>
    <x v="0"/>
    <x v="0"/>
    <s v="23/07/2024"/>
    <x v="1"/>
    <n v="7"/>
    <x v="6"/>
    <s v="No Discount"/>
    <n v="9.7382544298863671E-2"/>
  </r>
  <r>
    <s v="ORD100147"/>
    <s v="2025-08-07"/>
    <x v="103"/>
    <x v="3"/>
    <x v="12"/>
    <x v="2"/>
    <x v="8"/>
    <x v="20"/>
    <n v="1596.92"/>
    <n v="4"/>
    <n v="0"/>
    <n v="702.25"/>
    <x v="0"/>
    <x v="2"/>
    <s v="07/08/2025"/>
    <x v="0"/>
    <n v="8"/>
    <x v="11"/>
    <s v="No Discount"/>
    <n v="0.43975277409012348"/>
  </r>
  <r>
    <s v="ORD100148"/>
    <s v="2024-02-07"/>
    <x v="63"/>
    <x v="3"/>
    <x v="14"/>
    <x v="2"/>
    <x v="4"/>
    <x v="26"/>
    <n v="2489.64"/>
    <n v="4"/>
    <n v="0.2"/>
    <n v="-81.53"/>
    <x v="2"/>
    <x v="1"/>
    <s v="07/02/2024"/>
    <x v="1"/>
    <n v="2"/>
    <x v="1"/>
    <s v="Low"/>
    <n v="-3.274770649571826E-2"/>
  </r>
  <r>
    <s v="ORD100149"/>
    <s v="2024-12-29"/>
    <x v="69"/>
    <x v="1"/>
    <x v="11"/>
    <x v="2"/>
    <x v="4"/>
    <x v="10"/>
    <n v="2902.6"/>
    <n v="5"/>
    <n v="0.2"/>
    <n v="260.75"/>
    <x v="7"/>
    <x v="2"/>
    <s v="29/12/2024"/>
    <x v="1"/>
    <n v="12"/>
    <x v="4"/>
    <s v="Low"/>
    <n v="8.9833252945634948E-2"/>
  </r>
  <r>
    <s v="ORD100150"/>
    <s v="2024-02-03"/>
    <x v="104"/>
    <x v="1"/>
    <x v="5"/>
    <x v="2"/>
    <x v="6"/>
    <x v="8"/>
    <n v="3480.18"/>
    <n v="6"/>
    <n v="0.3"/>
    <n v="-254.39"/>
    <x v="7"/>
    <x v="3"/>
    <s v="03/02/2024"/>
    <x v="1"/>
    <n v="2"/>
    <x v="1"/>
    <s v="Low"/>
    <n v="-7.3096793843996574E-2"/>
  </r>
  <r>
    <s v="ORD100151"/>
    <s v="2024-08-07"/>
    <x v="37"/>
    <x v="3"/>
    <x v="14"/>
    <x v="2"/>
    <x v="8"/>
    <x v="18"/>
    <n v="156"/>
    <n v="10"/>
    <n v="0.3"/>
    <n v="10.88"/>
    <x v="4"/>
    <x v="2"/>
    <s v="07/08/2024"/>
    <x v="1"/>
    <n v="8"/>
    <x v="11"/>
    <s v="Low"/>
    <n v="6.9743589743589754E-2"/>
  </r>
  <r>
    <s v="ORD100152"/>
    <s v="2024-03-03"/>
    <x v="92"/>
    <x v="3"/>
    <x v="14"/>
    <x v="2"/>
    <x v="6"/>
    <x v="23"/>
    <n v="1035.04"/>
    <n v="8"/>
    <n v="0.2"/>
    <n v="86.22"/>
    <x v="1"/>
    <x v="0"/>
    <s v="03/03/2024"/>
    <x v="1"/>
    <n v="3"/>
    <x v="3"/>
    <s v="Low"/>
    <n v="8.3301128458803525E-2"/>
  </r>
  <r>
    <s v="ORD100153"/>
    <s v="2025-09-20"/>
    <x v="88"/>
    <x v="3"/>
    <x v="14"/>
    <x v="2"/>
    <x v="6"/>
    <x v="8"/>
    <n v="9928.35"/>
    <n v="9"/>
    <n v="0"/>
    <n v="3932.76"/>
    <x v="6"/>
    <x v="3"/>
    <s v="20/09/2025"/>
    <x v="0"/>
    <n v="9"/>
    <x v="5"/>
    <s v="No Discount"/>
    <n v="0.39611415794165195"/>
  </r>
  <r>
    <s v="ORD100154"/>
    <s v="2025-06-16"/>
    <x v="36"/>
    <x v="0"/>
    <x v="0"/>
    <x v="1"/>
    <x v="7"/>
    <x v="9"/>
    <n v="1606.99"/>
    <n v="7"/>
    <n v="0"/>
    <n v="693.4"/>
    <x v="4"/>
    <x v="2"/>
    <s v="16/06/2025"/>
    <x v="0"/>
    <n v="6"/>
    <x v="9"/>
    <s v="No Discount"/>
    <n v="0.43148992837540989"/>
  </r>
  <r>
    <s v="ORD100155"/>
    <s v="2025-08-07"/>
    <x v="33"/>
    <x v="0"/>
    <x v="9"/>
    <x v="0"/>
    <x v="1"/>
    <x v="19"/>
    <n v="887.48"/>
    <n v="2"/>
    <n v="0.05"/>
    <n v="219.49"/>
    <x v="8"/>
    <x v="3"/>
    <s v="07/08/2025"/>
    <x v="0"/>
    <n v="8"/>
    <x v="11"/>
    <s v="High"/>
    <n v="0.24731824942533917"/>
  </r>
  <r>
    <s v="ORD100156"/>
    <s v="2024-03-04"/>
    <x v="105"/>
    <x v="1"/>
    <x v="1"/>
    <x v="2"/>
    <x v="6"/>
    <x v="13"/>
    <n v="11943.3"/>
    <n v="10"/>
    <n v="0.15"/>
    <n v="3101.36"/>
    <x v="8"/>
    <x v="1"/>
    <s v="04/03/2024"/>
    <x v="1"/>
    <n v="3"/>
    <x v="3"/>
    <s v="Low"/>
    <n v="0.2596736245426306"/>
  </r>
  <r>
    <s v="ORD100157"/>
    <s v="2025-05-19"/>
    <x v="77"/>
    <x v="3"/>
    <x v="15"/>
    <x v="0"/>
    <x v="0"/>
    <x v="22"/>
    <n v="2836.64"/>
    <n v="4"/>
    <n v="0.15"/>
    <n v="659.63"/>
    <x v="5"/>
    <x v="2"/>
    <s v="19/05/2025"/>
    <x v="0"/>
    <n v="5"/>
    <x v="7"/>
    <s v="Low"/>
    <n v="0.23253920130859046"/>
  </r>
  <r>
    <s v="ORD100158"/>
    <s v="2024-11-29"/>
    <x v="2"/>
    <x v="1"/>
    <x v="5"/>
    <x v="0"/>
    <x v="2"/>
    <x v="2"/>
    <n v="2362.5"/>
    <n v="2"/>
    <n v="0.25"/>
    <n v="453.05"/>
    <x v="5"/>
    <x v="3"/>
    <s v="29/11/2024"/>
    <x v="1"/>
    <n v="11"/>
    <x v="10"/>
    <s v="Low"/>
    <n v="0.19176719576719578"/>
  </r>
  <r>
    <s v="ORD100159"/>
    <s v="2025-12-17"/>
    <x v="106"/>
    <x v="1"/>
    <x v="2"/>
    <x v="2"/>
    <x v="4"/>
    <x v="10"/>
    <n v="6022.66"/>
    <n v="7"/>
    <n v="0"/>
    <n v="1913.54"/>
    <x v="2"/>
    <x v="0"/>
    <s v="17/12/2025"/>
    <x v="0"/>
    <n v="12"/>
    <x v="4"/>
    <s v="No Discount"/>
    <n v="0.31772339796701127"/>
  </r>
  <r>
    <s v="ORD100160"/>
    <s v="2024-04-13"/>
    <x v="107"/>
    <x v="1"/>
    <x v="2"/>
    <x v="1"/>
    <x v="5"/>
    <x v="15"/>
    <n v="47.06"/>
    <n v="1"/>
    <n v="0.1"/>
    <n v="8.56"/>
    <x v="8"/>
    <x v="0"/>
    <s v="13/04/2024"/>
    <x v="1"/>
    <n v="4"/>
    <x v="8"/>
    <s v="Low"/>
    <n v="0.18189545261368467"/>
  </r>
  <r>
    <s v="ORD100161"/>
    <s v="2025-01-07"/>
    <x v="108"/>
    <x v="1"/>
    <x v="2"/>
    <x v="0"/>
    <x v="1"/>
    <x v="19"/>
    <n v="1635.8"/>
    <n v="4"/>
    <n v="0.05"/>
    <n v="105.83"/>
    <x v="0"/>
    <x v="1"/>
    <s v="07/01/2025"/>
    <x v="0"/>
    <n v="1"/>
    <x v="0"/>
    <s v="High"/>
    <n v="6.4696173126299064E-2"/>
  </r>
  <r>
    <s v="ORD100162"/>
    <s v="2024-03-05"/>
    <x v="96"/>
    <x v="2"/>
    <x v="8"/>
    <x v="2"/>
    <x v="6"/>
    <x v="13"/>
    <n v="7148.61"/>
    <n v="9"/>
    <n v="0.1"/>
    <n v="1277.8"/>
    <x v="7"/>
    <x v="3"/>
    <s v="05/03/2024"/>
    <x v="1"/>
    <n v="3"/>
    <x v="3"/>
    <s v="Low"/>
    <n v="0.17874803633153857"/>
  </r>
  <r>
    <s v="ORD100163"/>
    <s v="2025-01-08"/>
    <x v="96"/>
    <x v="3"/>
    <x v="13"/>
    <x v="0"/>
    <x v="2"/>
    <x v="21"/>
    <n v="3459.3"/>
    <n v="10"/>
    <n v="0.15"/>
    <n v="-168.83"/>
    <x v="9"/>
    <x v="0"/>
    <s v="08/01/2025"/>
    <x v="0"/>
    <n v="1"/>
    <x v="0"/>
    <s v="Low"/>
    <n v="-4.8804671465325355E-2"/>
  </r>
  <r>
    <s v="ORD100164"/>
    <s v="2025-06-22"/>
    <x v="57"/>
    <x v="3"/>
    <x v="13"/>
    <x v="0"/>
    <x v="2"/>
    <x v="2"/>
    <n v="1569.72"/>
    <n v="3"/>
    <n v="0.05"/>
    <n v="544.54"/>
    <x v="5"/>
    <x v="3"/>
    <s v="22/06/2025"/>
    <x v="0"/>
    <n v="6"/>
    <x v="9"/>
    <s v="High"/>
    <n v="0.34690263231659146"/>
  </r>
  <r>
    <s v="ORD100165"/>
    <s v="2024-01-02"/>
    <x v="32"/>
    <x v="3"/>
    <x v="15"/>
    <x v="0"/>
    <x v="2"/>
    <x v="11"/>
    <n v="2354.88"/>
    <n v="4"/>
    <n v="0.05"/>
    <n v="28.57"/>
    <x v="3"/>
    <x v="3"/>
    <s v="02/01/2024"/>
    <x v="1"/>
    <n v="1"/>
    <x v="0"/>
    <s v="High"/>
    <n v="1.2132253023508628E-2"/>
  </r>
  <r>
    <s v="ORD100166"/>
    <s v="2024-07-08"/>
    <x v="77"/>
    <x v="0"/>
    <x v="7"/>
    <x v="2"/>
    <x v="6"/>
    <x v="8"/>
    <n v="6649.74"/>
    <n v="6"/>
    <n v="0"/>
    <n v="1583.53"/>
    <x v="6"/>
    <x v="0"/>
    <s v="08/07/2024"/>
    <x v="1"/>
    <n v="7"/>
    <x v="6"/>
    <s v="No Discount"/>
    <n v="0.23813412253712177"/>
  </r>
  <r>
    <s v="ORD100167"/>
    <s v="2025-06-28"/>
    <x v="109"/>
    <x v="2"/>
    <x v="10"/>
    <x v="1"/>
    <x v="5"/>
    <x v="7"/>
    <n v="5817.04"/>
    <n v="8"/>
    <n v="0.3"/>
    <n v="-345.02"/>
    <x v="0"/>
    <x v="0"/>
    <s v="28/06/2025"/>
    <x v="0"/>
    <n v="6"/>
    <x v="9"/>
    <s v="Low"/>
    <n v="-5.9311952470672363E-2"/>
  </r>
  <r>
    <s v="ORD100168"/>
    <s v="2025-01-28"/>
    <x v="110"/>
    <x v="3"/>
    <x v="14"/>
    <x v="2"/>
    <x v="6"/>
    <x v="13"/>
    <n v="3937.05"/>
    <n v="9"/>
    <n v="0.15"/>
    <n v="674.62"/>
    <x v="1"/>
    <x v="1"/>
    <s v="28/01/2025"/>
    <x v="0"/>
    <n v="1"/>
    <x v="0"/>
    <s v="Low"/>
    <n v="0.17135164653738205"/>
  </r>
  <r>
    <s v="ORD100169"/>
    <s v="2024-03-07"/>
    <x v="66"/>
    <x v="0"/>
    <x v="0"/>
    <x v="2"/>
    <x v="4"/>
    <x v="10"/>
    <n v="1089.8599999999999"/>
    <n v="1"/>
    <n v="0.1"/>
    <n v="236.69"/>
    <x v="1"/>
    <x v="1"/>
    <s v="07/03/2024"/>
    <x v="1"/>
    <n v="3"/>
    <x v="3"/>
    <s v="Low"/>
    <n v="0.21717468298680567"/>
  </r>
  <r>
    <s v="ORD100170"/>
    <s v="2025-08-12"/>
    <x v="60"/>
    <x v="0"/>
    <x v="0"/>
    <x v="0"/>
    <x v="2"/>
    <x v="2"/>
    <n v="1886.8"/>
    <n v="5"/>
    <n v="0"/>
    <n v="614.41"/>
    <x v="3"/>
    <x v="3"/>
    <s v="12/08/2025"/>
    <x v="0"/>
    <n v="8"/>
    <x v="11"/>
    <s v="No Discount"/>
    <n v="0.32563599745601018"/>
  </r>
  <r>
    <s v="ORD100171"/>
    <s v="2024-10-27"/>
    <x v="76"/>
    <x v="0"/>
    <x v="7"/>
    <x v="1"/>
    <x v="5"/>
    <x v="7"/>
    <n v="1496.16"/>
    <n v="8"/>
    <n v="0.2"/>
    <n v="47.51"/>
    <x v="3"/>
    <x v="1"/>
    <s v="27/10/2024"/>
    <x v="1"/>
    <n v="10"/>
    <x v="2"/>
    <s v="Low"/>
    <n v="3.1754625173778202E-2"/>
  </r>
  <r>
    <s v="ORD100172"/>
    <s v="2025-05-02"/>
    <x v="51"/>
    <x v="1"/>
    <x v="1"/>
    <x v="1"/>
    <x v="7"/>
    <x v="17"/>
    <n v="1068.7"/>
    <n v="2"/>
    <n v="0.3"/>
    <n v="-141.44999999999999"/>
    <x v="2"/>
    <x v="1"/>
    <s v="02/05/2025"/>
    <x v="0"/>
    <n v="5"/>
    <x v="7"/>
    <s v="Low"/>
    <n v="-0.13235706933657712"/>
  </r>
  <r>
    <s v="ORD100173"/>
    <s v="2024-06-05"/>
    <x v="111"/>
    <x v="1"/>
    <x v="1"/>
    <x v="1"/>
    <x v="3"/>
    <x v="14"/>
    <n v="9736.4699999999993"/>
    <n v="9"/>
    <n v="0.1"/>
    <n v="3382.16"/>
    <x v="8"/>
    <x v="3"/>
    <s v="05/06/2024"/>
    <x v="1"/>
    <n v="6"/>
    <x v="9"/>
    <s v="Low"/>
    <n v="0.34737024814948336"/>
  </r>
  <r>
    <s v="ORD100174"/>
    <s v="2025-07-24"/>
    <x v="112"/>
    <x v="1"/>
    <x v="1"/>
    <x v="2"/>
    <x v="4"/>
    <x v="10"/>
    <n v="3686.67"/>
    <n v="9"/>
    <n v="0.2"/>
    <n v="386.4"/>
    <x v="6"/>
    <x v="1"/>
    <s v="24/07/2025"/>
    <x v="0"/>
    <n v="7"/>
    <x v="6"/>
    <s v="Low"/>
    <n v="0.10481003181733108"/>
  </r>
  <r>
    <s v="ORD100175"/>
    <s v="2024-11-17"/>
    <x v="113"/>
    <x v="0"/>
    <x v="7"/>
    <x v="1"/>
    <x v="7"/>
    <x v="9"/>
    <n v="5429.7"/>
    <n v="5"/>
    <n v="0"/>
    <n v="2335.9699999999998"/>
    <x v="2"/>
    <x v="0"/>
    <s v="17/11/2024"/>
    <x v="1"/>
    <n v="11"/>
    <x v="10"/>
    <s v="No Discount"/>
    <n v="0.43022082251321436"/>
  </r>
  <r>
    <s v="ORD100176"/>
    <s v="2024-12-05"/>
    <x v="48"/>
    <x v="1"/>
    <x v="5"/>
    <x v="2"/>
    <x v="8"/>
    <x v="12"/>
    <n v="2408.6"/>
    <n v="4"/>
    <n v="0.15"/>
    <n v="-176.91"/>
    <x v="4"/>
    <x v="2"/>
    <s v="05/12/2024"/>
    <x v="1"/>
    <n v="12"/>
    <x v="4"/>
    <s v="Low"/>
    <n v="-7.3449306651166654E-2"/>
  </r>
  <r>
    <s v="ORD100177"/>
    <s v="2025-02-12"/>
    <x v="114"/>
    <x v="0"/>
    <x v="4"/>
    <x v="0"/>
    <x v="2"/>
    <x v="2"/>
    <n v="3156.6"/>
    <n v="6"/>
    <n v="0.3"/>
    <n v="-250.52"/>
    <x v="7"/>
    <x v="2"/>
    <s v="12/02/2025"/>
    <x v="0"/>
    <n v="2"/>
    <x v="1"/>
    <s v="Low"/>
    <n v="-7.9363872521066983E-2"/>
  </r>
  <r>
    <s v="ORD100178"/>
    <s v="2024-06-20"/>
    <x v="115"/>
    <x v="2"/>
    <x v="10"/>
    <x v="2"/>
    <x v="6"/>
    <x v="8"/>
    <n v="2552.9699999999998"/>
    <n v="7"/>
    <n v="0.25"/>
    <n v="-165.64"/>
    <x v="9"/>
    <x v="2"/>
    <s v="20/06/2024"/>
    <x v="1"/>
    <n v="6"/>
    <x v="9"/>
    <s v="Low"/>
    <n v="-6.4881295119018245E-2"/>
  </r>
  <r>
    <s v="ORD100179"/>
    <s v="2025-04-16"/>
    <x v="90"/>
    <x v="0"/>
    <x v="9"/>
    <x v="1"/>
    <x v="5"/>
    <x v="15"/>
    <n v="3325.12"/>
    <n v="8"/>
    <n v="0.3"/>
    <n v="-209.61"/>
    <x v="9"/>
    <x v="1"/>
    <s v="16/04/2025"/>
    <x v="0"/>
    <n v="4"/>
    <x v="8"/>
    <s v="Low"/>
    <n v="-6.3038326436339151E-2"/>
  </r>
  <r>
    <s v="ORD100180"/>
    <s v="2024-12-02"/>
    <x v="116"/>
    <x v="0"/>
    <x v="7"/>
    <x v="1"/>
    <x v="3"/>
    <x v="5"/>
    <n v="4594.38"/>
    <n v="6"/>
    <n v="0"/>
    <n v="929.1"/>
    <x v="5"/>
    <x v="1"/>
    <s v="02/12/2024"/>
    <x v="1"/>
    <n v="12"/>
    <x v="4"/>
    <s v="No Discount"/>
    <n v="0.20222532746529456"/>
  </r>
  <r>
    <s v="ORD100181"/>
    <s v="2024-06-15"/>
    <x v="117"/>
    <x v="0"/>
    <x v="7"/>
    <x v="0"/>
    <x v="0"/>
    <x v="25"/>
    <n v="5388.95"/>
    <n v="5"/>
    <n v="0.25"/>
    <n v="-620.64"/>
    <x v="6"/>
    <x v="0"/>
    <s v="15/06/2024"/>
    <x v="1"/>
    <n v="6"/>
    <x v="9"/>
    <s v="Low"/>
    <n v="-0.11516900323810761"/>
  </r>
  <r>
    <s v="ORD100182"/>
    <s v="2024-04-25"/>
    <x v="72"/>
    <x v="3"/>
    <x v="12"/>
    <x v="2"/>
    <x v="8"/>
    <x v="12"/>
    <n v="6670.44"/>
    <n v="9"/>
    <n v="0.15"/>
    <n v="1023.16"/>
    <x v="0"/>
    <x v="3"/>
    <s v="25/04/2024"/>
    <x v="1"/>
    <n v="4"/>
    <x v="8"/>
    <s v="Low"/>
    <n v="0.15338718285450437"/>
  </r>
  <r>
    <s v="ORD100183"/>
    <s v="2025-03-18"/>
    <x v="118"/>
    <x v="1"/>
    <x v="11"/>
    <x v="2"/>
    <x v="6"/>
    <x v="13"/>
    <n v="1529.28"/>
    <n v="9"/>
    <n v="0.25"/>
    <n v="27.86"/>
    <x v="6"/>
    <x v="3"/>
    <s v="18/03/2025"/>
    <x v="0"/>
    <n v="3"/>
    <x v="3"/>
    <s v="Low"/>
    <n v="1.8217723373090605E-2"/>
  </r>
  <r>
    <s v="ORD100184"/>
    <s v="2025-03-21"/>
    <x v="93"/>
    <x v="3"/>
    <x v="15"/>
    <x v="1"/>
    <x v="3"/>
    <x v="4"/>
    <n v="8058.4"/>
    <n v="8"/>
    <n v="0.05"/>
    <n v="1420.47"/>
    <x v="7"/>
    <x v="2"/>
    <s v="21/03/2025"/>
    <x v="0"/>
    <n v="3"/>
    <x v="3"/>
    <s v="High"/>
    <n v="0.17627196465799663"/>
  </r>
  <r>
    <s v="ORD100185"/>
    <s v="2025-04-15"/>
    <x v="76"/>
    <x v="1"/>
    <x v="1"/>
    <x v="0"/>
    <x v="1"/>
    <x v="3"/>
    <n v="7951.6"/>
    <n v="8"/>
    <n v="0.3"/>
    <n v="531.36"/>
    <x v="2"/>
    <x v="0"/>
    <s v="15/04/2025"/>
    <x v="0"/>
    <n v="4"/>
    <x v="8"/>
    <s v="Low"/>
    <n v="6.6824286935962568E-2"/>
  </r>
  <r>
    <s v="ORD100186"/>
    <s v="2024-02-17"/>
    <x v="79"/>
    <x v="2"/>
    <x v="6"/>
    <x v="1"/>
    <x v="7"/>
    <x v="17"/>
    <n v="6223"/>
    <n v="7"/>
    <n v="0.25"/>
    <n v="112.66"/>
    <x v="2"/>
    <x v="0"/>
    <s v="17/02/2024"/>
    <x v="1"/>
    <n v="2"/>
    <x v="1"/>
    <s v="Low"/>
    <n v="1.8103808452514865E-2"/>
  </r>
  <r>
    <s v="ORD100187"/>
    <s v="2025-03-27"/>
    <x v="6"/>
    <x v="3"/>
    <x v="14"/>
    <x v="1"/>
    <x v="3"/>
    <x v="4"/>
    <n v="9335.34"/>
    <n v="9"/>
    <n v="0.3"/>
    <n v="-1121.1300000000001"/>
    <x v="0"/>
    <x v="2"/>
    <s v="27/03/2025"/>
    <x v="0"/>
    <n v="3"/>
    <x v="3"/>
    <s v="Low"/>
    <n v="-0.12009525094961727"/>
  </r>
  <r>
    <s v="ORD100188"/>
    <s v="2025-01-15"/>
    <x v="119"/>
    <x v="3"/>
    <x v="12"/>
    <x v="1"/>
    <x v="3"/>
    <x v="14"/>
    <n v="7320.95"/>
    <n v="7"/>
    <n v="0.25"/>
    <n v="-1208.1600000000001"/>
    <x v="5"/>
    <x v="2"/>
    <s v="15/01/2025"/>
    <x v="0"/>
    <n v="1"/>
    <x v="0"/>
    <s v="Low"/>
    <n v="-0.16502776279034825"/>
  </r>
  <r>
    <s v="ORD100189"/>
    <s v="2025-12-19"/>
    <x v="61"/>
    <x v="1"/>
    <x v="11"/>
    <x v="2"/>
    <x v="8"/>
    <x v="20"/>
    <n v="1060.55"/>
    <n v="5"/>
    <n v="0.2"/>
    <n v="-80.930000000000007"/>
    <x v="6"/>
    <x v="3"/>
    <s v="19/12/2025"/>
    <x v="0"/>
    <n v="12"/>
    <x v="4"/>
    <s v="Low"/>
    <n v="-7.630946207156665E-2"/>
  </r>
  <r>
    <s v="ORD100190"/>
    <s v="2025-03-09"/>
    <x v="120"/>
    <x v="2"/>
    <x v="6"/>
    <x v="1"/>
    <x v="3"/>
    <x v="14"/>
    <n v="2568.7199999999998"/>
    <n v="8"/>
    <n v="0.05"/>
    <n v="668.07"/>
    <x v="0"/>
    <x v="1"/>
    <s v="09/03/2025"/>
    <x v="0"/>
    <n v="3"/>
    <x v="3"/>
    <s v="High"/>
    <n v="0.2600789498271513"/>
  </r>
  <r>
    <s v="ORD100191"/>
    <s v="2024-01-13"/>
    <x v="4"/>
    <x v="0"/>
    <x v="7"/>
    <x v="1"/>
    <x v="5"/>
    <x v="7"/>
    <n v="5028.7"/>
    <n v="10"/>
    <n v="0.3"/>
    <n v="668.52"/>
    <x v="7"/>
    <x v="2"/>
    <s v="13/01/2024"/>
    <x v="1"/>
    <n v="1"/>
    <x v="0"/>
    <s v="Low"/>
    <n v="0.13294091912422693"/>
  </r>
  <r>
    <s v="ORD100192"/>
    <s v="2024-01-14"/>
    <x v="56"/>
    <x v="2"/>
    <x v="10"/>
    <x v="0"/>
    <x v="0"/>
    <x v="25"/>
    <n v="7182"/>
    <n v="7"/>
    <n v="0.1"/>
    <n v="1619.83"/>
    <x v="3"/>
    <x v="1"/>
    <s v="14/01/2024"/>
    <x v="1"/>
    <n v="1"/>
    <x v="0"/>
    <s v="Low"/>
    <n v="0.2255402394876079"/>
  </r>
  <r>
    <s v="ORD100193"/>
    <s v="2024-10-10"/>
    <x v="61"/>
    <x v="3"/>
    <x v="12"/>
    <x v="0"/>
    <x v="0"/>
    <x v="0"/>
    <n v="4739.8999999999996"/>
    <n v="10"/>
    <n v="0.05"/>
    <n v="405.97"/>
    <x v="7"/>
    <x v="3"/>
    <s v="10/10/2024"/>
    <x v="1"/>
    <n v="10"/>
    <x v="2"/>
    <s v="High"/>
    <n v="8.5649486276081779E-2"/>
  </r>
  <r>
    <s v="ORD100194"/>
    <s v="2025-02-25"/>
    <x v="101"/>
    <x v="2"/>
    <x v="10"/>
    <x v="1"/>
    <x v="7"/>
    <x v="9"/>
    <n v="2480.6999999999998"/>
    <n v="10"/>
    <n v="0"/>
    <n v="772.79"/>
    <x v="9"/>
    <x v="2"/>
    <s v="25/02/2025"/>
    <x v="0"/>
    <n v="2"/>
    <x v="1"/>
    <s v="No Discount"/>
    <n v="0.31152094166969002"/>
  </r>
  <r>
    <s v="ORD100195"/>
    <s v="2025-12-26"/>
    <x v="74"/>
    <x v="3"/>
    <x v="15"/>
    <x v="1"/>
    <x v="7"/>
    <x v="17"/>
    <n v="9379.7000000000007"/>
    <n v="10"/>
    <n v="0.05"/>
    <n v="1304.29"/>
    <x v="6"/>
    <x v="3"/>
    <s v="26/12/2025"/>
    <x v="0"/>
    <n v="12"/>
    <x v="4"/>
    <s v="High"/>
    <n v="0.13905455398360286"/>
  </r>
  <r>
    <s v="ORD100196"/>
    <s v="2025-09-28"/>
    <x v="121"/>
    <x v="2"/>
    <x v="3"/>
    <x v="0"/>
    <x v="2"/>
    <x v="2"/>
    <n v="1119.22"/>
    <n v="2"/>
    <n v="0.05"/>
    <n v="46.92"/>
    <x v="9"/>
    <x v="1"/>
    <s v="28/09/2025"/>
    <x v="0"/>
    <n v="9"/>
    <x v="5"/>
    <s v="High"/>
    <n v="4.1922052858240563E-2"/>
  </r>
  <r>
    <s v="ORD100197"/>
    <s v="2025-06-17"/>
    <x v="58"/>
    <x v="2"/>
    <x v="10"/>
    <x v="2"/>
    <x v="8"/>
    <x v="18"/>
    <n v="1180.08"/>
    <n v="3"/>
    <n v="0.15"/>
    <n v="-97.91"/>
    <x v="3"/>
    <x v="0"/>
    <s v="17/06/2025"/>
    <x v="0"/>
    <n v="6"/>
    <x v="9"/>
    <s v="Low"/>
    <n v="-8.2968951257541862E-2"/>
  </r>
  <r>
    <s v="ORD100198"/>
    <s v="2024-10-20"/>
    <x v="122"/>
    <x v="2"/>
    <x v="3"/>
    <x v="0"/>
    <x v="1"/>
    <x v="19"/>
    <n v="4608.08"/>
    <n v="4"/>
    <n v="0.3"/>
    <n v="-1022.6"/>
    <x v="6"/>
    <x v="3"/>
    <s v="20/10/2024"/>
    <x v="1"/>
    <n v="10"/>
    <x v="2"/>
    <s v="Low"/>
    <n v="-0.22191455009461641"/>
  </r>
  <r>
    <s v="ORD100199"/>
    <s v="2024-07-14"/>
    <x v="80"/>
    <x v="1"/>
    <x v="2"/>
    <x v="0"/>
    <x v="1"/>
    <x v="1"/>
    <n v="778.4"/>
    <n v="5"/>
    <n v="0.15"/>
    <n v="83.4"/>
    <x v="8"/>
    <x v="2"/>
    <s v="14/07/2024"/>
    <x v="1"/>
    <n v="7"/>
    <x v="6"/>
    <s v="Low"/>
    <n v="0.10714285714285715"/>
  </r>
  <r>
    <s v="ORD100200"/>
    <s v="2024-08-31"/>
    <x v="43"/>
    <x v="1"/>
    <x v="11"/>
    <x v="2"/>
    <x v="6"/>
    <x v="23"/>
    <n v="1090.32"/>
    <n v="2"/>
    <n v="0.25"/>
    <n v="-211.67"/>
    <x v="8"/>
    <x v="2"/>
    <s v="31/08/2024"/>
    <x v="1"/>
    <n v="8"/>
    <x v="11"/>
    <s v="Low"/>
    <n v="-0.1941356665932937"/>
  </r>
  <r>
    <s v="ORD100201"/>
    <s v="2024-02-24"/>
    <x v="91"/>
    <x v="0"/>
    <x v="9"/>
    <x v="0"/>
    <x v="2"/>
    <x v="11"/>
    <n v="5014.26"/>
    <n v="6"/>
    <n v="0.1"/>
    <n v="362.96"/>
    <x v="4"/>
    <x v="1"/>
    <s v="24/02/2024"/>
    <x v="1"/>
    <n v="2"/>
    <x v="1"/>
    <s v="Low"/>
    <n v="7.2385556393166683E-2"/>
  </r>
  <r>
    <s v="ORD100202"/>
    <s v="2024-11-21"/>
    <x v="90"/>
    <x v="3"/>
    <x v="13"/>
    <x v="0"/>
    <x v="2"/>
    <x v="11"/>
    <n v="1381.56"/>
    <n v="6"/>
    <n v="0.2"/>
    <n v="185.05"/>
    <x v="8"/>
    <x v="2"/>
    <s v="21/11/2024"/>
    <x v="1"/>
    <n v="11"/>
    <x v="10"/>
    <s v="Low"/>
    <n v="0.13394278931063436"/>
  </r>
  <r>
    <s v="ORD100203"/>
    <s v="2025-09-05"/>
    <x v="67"/>
    <x v="1"/>
    <x v="11"/>
    <x v="1"/>
    <x v="5"/>
    <x v="7"/>
    <n v="4907.76"/>
    <n v="6"/>
    <n v="0"/>
    <n v="2072.31"/>
    <x v="5"/>
    <x v="1"/>
    <s v="05/09/2025"/>
    <x v="0"/>
    <n v="9"/>
    <x v="5"/>
    <s v="No Discount"/>
    <n v="0.42225169934960144"/>
  </r>
  <r>
    <s v="ORD100204"/>
    <s v="2025-10-27"/>
    <x v="123"/>
    <x v="0"/>
    <x v="9"/>
    <x v="2"/>
    <x v="8"/>
    <x v="18"/>
    <n v="1263.28"/>
    <n v="8"/>
    <n v="0.15"/>
    <n v="-44.37"/>
    <x v="6"/>
    <x v="3"/>
    <s v="27/10/2025"/>
    <x v="0"/>
    <n v="10"/>
    <x v="2"/>
    <s v="Low"/>
    <n v="-3.5122854790703567E-2"/>
  </r>
  <r>
    <s v="ORD100205"/>
    <s v="2025-01-02"/>
    <x v="81"/>
    <x v="3"/>
    <x v="14"/>
    <x v="1"/>
    <x v="5"/>
    <x v="7"/>
    <n v="1046.53"/>
    <n v="1"/>
    <n v="0.25"/>
    <n v="75.069999999999993"/>
    <x v="8"/>
    <x v="1"/>
    <s v="02/01/2025"/>
    <x v="0"/>
    <n v="1"/>
    <x v="0"/>
    <s v="Low"/>
    <n v="7.1732296255243508E-2"/>
  </r>
  <r>
    <s v="ORD100206"/>
    <s v="2025-11-23"/>
    <x v="24"/>
    <x v="0"/>
    <x v="9"/>
    <x v="2"/>
    <x v="8"/>
    <x v="18"/>
    <n v="8416.24"/>
    <n v="8"/>
    <n v="0.25"/>
    <n v="-1112.45"/>
    <x v="1"/>
    <x v="1"/>
    <s v="23/11/2025"/>
    <x v="0"/>
    <n v="11"/>
    <x v="10"/>
    <s v="Low"/>
    <n v="-0.13217897778580459"/>
  </r>
  <r>
    <s v="ORD100207"/>
    <s v="2025-12-05"/>
    <x v="124"/>
    <x v="1"/>
    <x v="2"/>
    <x v="1"/>
    <x v="3"/>
    <x v="4"/>
    <n v="192.26"/>
    <n v="1"/>
    <n v="0.15"/>
    <n v="18.86"/>
    <x v="2"/>
    <x v="3"/>
    <s v="05/12/2025"/>
    <x v="0"/>
    <n v="12"/>
    <x v="4"/>
    <s v="Low"/>
    <n v="9.8096327889316548E-2"/>
  </r>
  <r>
    <s v="ORD100208"/>
    <s v="2025-01-29"/>
    <x v="97"/>
    <x v="2"/>
    <x v="6"/>
    <x v="1"/>
    <x v="5"/>
    <x v="15"/>
    <n v="1135.6500000000001"/>
    <n v="1"/>
    <n v="0.2"/>
    <n v="142.78"/>
    <x v="8"/>
    <x v="2"/>
    <s v="29/01/2025"/>
    <x v="0"/>
    <n v="1"/>
    <x v="0"/>
    <s v="Low"/>
    <n v="0.12572535552326861"/>
  </r>
  <r>
    <s v="ORD100209"/>
    <s v="2025-11-11"/>
    <x v="78"/>
    <x v="1"/>
    <x v="2"/>
    <x v="0"/>
    <x v="1"/>
    <x v="19"/>
    <n v="3047.36"/>
    <n v="4"/>
    <n v="0.3"/>
    <n v="-3.1"/>
    <x v="2"/>
    <x v="0"/>
    <s v="11/11/2025"/>
    <x v="0"/>
    <n v="11"/>
    <x v="10"/>
    <s v="Low"/>
    <n v="-1.0172739682873045E-3"/>
  </r>
  <r>
    <s v="ORD100210"/>
    <s v="2025-10-27"/>
    <x v="58"/>
    <x v="1"/>
    <x v="2"/>
    <x v="1"/>
    <x v="7"/>
    <x v="17"/>
    <n v="2869.83"/>
    <n v="3"/>
    <n v="0"/>
    <n v="852.14"/>
    <x v="3"/>
    <x v="0"/>
    <s v="27/10/2025"/>
    <x v="0"/>
    <n v="10"/>
    <x v="2"/>
    <s v="No Discount"/>
    <n v="0.29693048020266011"/>
  </r>
  <r>
    <s v="ORD100211"/>
    <s v="2024-07-02"/>
    <x v="19"/>
    <x v="3"/>
    <x v="15"/>
    <x v="2"/>
    <x v="6"/>
    <x v="8"/>
    <n v="3757.5"/>
    <n v="9"/>
    <n v="0.15"/>
    <n v="509.53"/>
    <x v="5"/>
    <x v="3"/>
    <s v="02/07/2024"/>
    <x v="1"/>
    <n v="7"/>
    <x v="6"/>
    <s v="Low"/>
    <n v="0.13560345974717231"/>
  </r>
  <r>
    <s v="ORD100212"/>
    <s v="2025-02-28"/>
    <x v="125"/>
    <x v="3"/>
    <x v="15"/>
    <x v="2"/>
    <x v="6"/>
    <x v="13"/>
    <n v="2536.1999999999998"/>
    <n v="10"/>
    <n v="0"/>
    <n v="872.82"/>
    <x v="7"/>
    <x v="0"/>
    <s v="28/02/2025"/>
    <x v="0"/>
    <n v="2"/>
    <x v="1"/>
    <s v="No Discount"/>
    <n v="0.34414478353442163"/>
  </r>
  <r>
    <s v="ORD100213"/>
    <s v="2024-02-08"/>
    <x v="71"/>
    <x v="3"/>
    <x v="15"/>
    <x v="0"/>
    <x v="2"/>
    <x v="11"/>
    <n v="368.8"/>
    <n v="2"/>
    <n v="0"/>
    <n v="85.12"/>
    <x v="6"/>
    <x v="2"/>
    <s v="08/02/2024"/>
    <x v="1"/>
    <n v="2"/>
    <x v="1"/>
    <s v="No Discount"/>
    <n v="0.23080260303687636"/>
  </r>
  <r>
    <s v="ORD100214"/>
    <s v="2025-08-02"/>
    <x v="35"/>
    <x v="3"/>
    <x v="14"/>
    <x v="0"/>
    <x v="2"/>
    <x v="2"/>
    <n v="412.71"/>
    <n v="3"/>
    <n v="0.15"/>
    <n v="-8.39"/>
    <x v="8"/>
    <x v="2"/>
    <s v="02/08/2025"/>
    <x v="0"/>
    <n v="8"/>
    <x v="11"/>
    <s v="Low"/>
    <n v="-2.0329044607593712E-2"/>
  </r>
  <r>
    <s v="ORD100215"/>
    <s v="2024-08-30"/>
    <x v="126"/>
    <x v="1"/>
    <x v="11"/>
    <x v="1"/>
    <x v="7"/>
    <x v="17"/>
    <n v="307.75"/>
    <n v="5"/>
    <n v="0.05"/>
    <n v="95.63"/>
    <x v="1"/>
    <x v="2"/>
    <s v="30/08/2024"/>
    <x v="1"/>
    <n v="8"/>
    <x v="11"/>
    <s v="High"/>
    <n v="0.31073923639317624"/>
  </r>
  <r>
    <s v="ORD100216"/>
    <s v="2025-06-27"/>
    <x v="44"/>
    <x v="0"/>
    <x v="4"/>
    <x v="0"/>
    <x v="0"/>
    <x v="25"/>
    <n v="1233.05"/>
    <n v="5"/>
    <n v="0.15"/>
    <n v="352.36"/>
    <x v="9"/>
    <x v="0"/>
    <s v="27/06/2025"/>
    <x v="0"/>
    <n v="6"/>
    <x v="9"/>
    <s v="Low"/>
    <n v="0.28576294554154336"/>
  </r>
  <r>
    <s v="ORD100217"/>
    <s v="2024-09-03"/>
    <x v="127"/>
    <x v="3"/>
    <x v="15"/>
    <x v="0"/>
    <x v="2"/>
    <x v="11"/>
    <n v="2447.1999999999998"/>
    <n v="7"/>
    <n v="0.25"/>
    <n v="-178.09"/>
    <x v="3"/>
    <x v="1"/>
    <s v="03/09/2024"/>
    <x v="1"/>
    <n v="9"/>
    <x v="5"/>
    <s v="Low"/>
    <n v="-7.2772965021248776E-2"/>
  </r>
  <r>
    <s v="ORD100218"/>
    <s v="2025-04-08"/>
    <x v="83"/>
    <x v="2"/>
    <x v="6"/>
    <x v="2"/>
    <x v="6"/>
    <x v="13"/>
    <n v="1800.32"/>
    <n v="8"/>
    <n v="0.25"/>
    <n v="48.55"/>
    <x v="0"/>
    <x v="2"/>
    <s v="08/04/2025"/>
    <x v="0"/>
    <n v="4"/>
    <x v="8"/>
    <s v="Low"/>
    <n v="2.6967428012797723E-2"/>
  </r>
  <r>
    <s v="ORD100219"/>
    <s v="2024-11-07"/>
    <x v="119"/>
    <x v="2"/>
    <x v="6"/>
    <x v="2"/>
    <x v="4"/>
    <x v="26"/>
    <n v="4080.8"/>
    <n v="10"/>
    <n v="0.3"/>
    <n v="-362.53"/>
    <x v="3"/>
    <x v="0"/>
    <s v="07/11/2024"/>
    <x v="1"/>
    <n v="11"/>
    <x v="10"/>
    <s v="Low"/>
    <n v="-8.8837972946481075E-2"/>
  </r>
  <r>
    <s v="ORD100220"/>
    <s v="2025-01-13"/>
    <x v="128"/>
    <x v="0"/>
    <x v="7"/>
    <x v="2"/>
    <x v="6"/>
    <x v="13"/>
    <n v="6652.98"/>
    <n v="9"/>
    <n v="0"/>
    <n v="555.32000000000005"/>
    <x v="0"/>
    <x v="1"/>
    <s v="13/01/2025"/>
    <x v="0"/>
    <n v="1"/>
    <x v="0"/>
    <s v="No Discount"/>
    <n v="8.3469362601420724E-2"/>
  </r>
  <r>
    <s v="ORD100221"/>
    <s v="2025-11-21"/>
    <x v="129"/>
    <x v="2"/>
    <x v="3"/>
    <x v="2"/>
    <x v="6"/>
    <x v="13"/>
    <n v="3054.48"/>
    <n v="4"/>
    <n v="0"/>
    <n v="656.2"/>
    <x v="7"/>
    <x v="2"/>
    <s v="21/11/2025"/>
    <x v="0"/>
    <n v="11"/>
    <x v="10"/>
    <s v="No Discount"/>
    <n v="0.21483198449490587"/>
  </r>
  <r>
    <s v="ORD100222"/>
    <s v="2025-11-19"/>
    <x v="10"/>
    <x v="0"/>
    <x v="7"/>
    <x v="2"/>
    <x v="6"/>
    <x v="13"/>
    <n v="6696.54"/>
    <n v="6"/>
    <n v="0"/>
    <n v="1890.59"/>
    <x v="6"/>
    <x v="2"/>
    <s v="19/11/2025"/>
    <x v="0"/>
    <n v="11"/>
    <x v="10"/>
    <s v="No Discount"/>
    <n v="0.28232340880514412"/>
  </r>
  <r>
    <s v="ORD100223"/>
    <s v="2025-10-03"/>
    <x v="108"/>
    <x v="3"/>
    <x v="13"/>
    <x v="2"/>
    <x v="6"/>
    <x v="13"/>
    <n v="3232.7"/>
    <n v="10"/>
    <n v="0.3"/>
    <n v="100.75"/>
    <x v="5"/>
    <x v="0"/>
    <s v="03/10/2025"/>
    <x v="0"/>
    <n v="10"/>
    <x v="2"/>
    <s v="Low"/>
    <n v="3.1165898474959014E-2"/>
  </r>
  <r>
    <s v="ORD100224"/>
    <s v="2025-03-21"/>
    <x v="130"/>
    <x v="3"/>
    <x v="15"/>
    <x v="2"/>
    <x v="6"/>
    <x v="23"/>
    <n v="4505.96"/>
    <n v="4"/>
    <n v="0.05"/>
    <n v="826.72"/>
    <x v="6"/>
    <x v="3"/>
    <s v="21/03/2025"/>
    <x v="0"/>
    <n v="3"/>
    <x v="3"/>
    <s v="High"/>
    <n v="0.18347255634759296"/>
  </r>
  <r>
    <s v="ORD100225"/>
    <s v="2024-02-07"/>
    <x v="105"/>
    <x v="2"/>
    <x v="3"/>
    <x v="0"/>
    <x v="1"/>
    <x v="3"/>
    <n v="3291.15"/>
    <n v="5"/>
    <n v="0.25"/>
    <n v="113.67"/>
    <x v="4"/>
    <x v="3"/>
    <s v="07/02/2024"/>
    <x v="1"/>
    <n v="2"/>
    <x v="1"/>
    <s v="Low"/>
    <n v="3.4538079394740441E-2"/>
  </r>
  <r>
    <s v="ORD100226"/>
    <s v="2025-06-19"/>
    <x v="96"/>
    <x v="0"/>
    <x v="0"/>
    <x v="1"/>
    <x v="5"/>
    <x v="15"/>
    <n v="1311.12"/>
    <n v="8"/>
    <n v="0"/>
    <n v="200.65"/>
    <x v="0"/>
    <x v="2"/>
    <s v="19/06/2025"/>
    <x v="0"/>
    <n v="6"/>
    <x v="9"/>
    <s v="No Discount"/>
    <n v="0.15303709805357255"/>
  </r>
  <r>
    <s v="ORD100227"/>
    <s v="2024-09-26"/>
    <x v="131"/>
    <x v="0"/>
    <x v="0"/>
    <x v="0"/>
    <x v="0"/>
    <x v="25"/>
    <n v="9410.85"/>
    <n v="9"/>
    <n v="0.25"/>
    <n v="-505.42"/>
    <x v="0"/>
    <x v="3"/>
    <s v="26/09/2024"/>
    <x v="1"/>
    <n v="9"/>
    <x v="5"/>
    <s v="Low"/>
    <n v="-5.3706094561065156E-2"/>
  </r>
  <r>
    <s v="ORD100228"/>
    <s v="2025-09-19"/>
    <x v="7"/>
    <x v="2"/>
    <x v="8"/>
    <x v="2"/>
    <x v="8"/>
    <x v="20"/>
    <n v="899.01"/>
    <n v="9"/>
    <n v="0"/>
    <n v="201.68"/>
    <x v="4"/>
    <x v="1"/>
    <s v="19/09/2025"/>
    <x v="0"/>
    <n v="9"/>
    <x v="5"/>
    <s v="No Discount"/>
    <n v="0.224335658112813"/>
  </r>
  <r>
    <s v="ORD100229"/>
    <s v="2025-02-02"/>
    <x v="31"/>
    <x v="3"/>
    <x v="12"/>
    <x v="0"/>
    <x v="0"/>
    <x v="0"/>
    <n v="2519.04"/>
    <n v="6"/>
    <n v="0"/>
    <n v="427.19"/>
    <x v="0"/>
    <x v="3"/>
    <s v="02/02/2025"/>
    <x v="0"/>
    <n v="2"/>
    <x v="1"/>
    <s v="No Discount"/>
    <n v="0.16958444486788618"/>
  </r>
  <r>
    <s v="ORD100230"/>
    <s v="2024-08-17"/>
    <x v="43"/>
    <x v="2"/>
    <x v="10"/>
    <x v="2"/>
    <x v="4"/>
    <x v="6"/>
    <n v="630.9"/>
    <n v="5"/>
    <n v="0.1"/>
    <n v="213.13"/>
    <x v="0"/>
    <x v="2"/>
    <s v="17/08/2024"/>
    <x v="1"/>
    <n v="8"/>
    <x v="11"/>
    <s v="Low"/>
    <n v="0.33781898874623556"/>
  </r>
  <r>
    <s v="ORD100231"/>
    <s v="2025-04-12"/>
    <x v="132"/>
    <x v="0"/>
    <x v="0"/>
    <x v="0"/>
    <x v="1"/>
    <x v="1"/>
    <n v="4326.28"/>
    <n v="4"/>
    <n v="0.3"/>
    <n v="180.72"/>
    <x v="5"/>
    <x v="1"/>
    <s v="12/04/2025"/>
    <x v="0"/>
    <n v="4"/>
    <x v="8"/>
    <s v="Low"/>
    <n v="4.17726083378792E-2"/>
  </r>
  <r>
    <s v="ORD100232"/>
    <s v="2025-07-08"/>
    <x v="6"/>
    <x v="1"/>
    <x v="11"/>
    <x v="1"/>
    <x v="5"/>
    <x v="7"/>
    <n v="6087.72"/>
    <n v="6"/>
    <n v="0.05"/>
    <n v="561.76"/>
    <x v="4"/>
    <x v="2"/>
    <s v="08/07/2025"/>
    <x v="0"/>
    <n v="7"/>
    <x v="6"/>
    <s v="High"/>
    <n v="9.2277568613536753E-2"/>
  </r>
  <r>
    <s v="ORD100233"/>
    <s v="2024-07-18"/>
    <x v="133"/>
    <x v="3"/>
    <x v="13"/>
    <x v="2"/>
    <x v="6"/>
    <x v="8"/>
    <n v="740.29"/>
    <n v="1"/>
    <n v="0.05"/>
    <n v="103.14"/>
    <x v="2"/>
    <x v="2"/>
    <s v="18/07/2024"/>
    <x v="1"/>
    <n v="7"/>
    <x v="6"/>
    <s v="High"/>
    <n v="0.13932377851922895"/>
  </r>
  <r>
    <s v="ORD100234"/>
    <s v="2024-01-11"/>
    <x v="1"/>
    <x v="2"/>
    <x v="3"/>
    <x v="1"/>
    <x v="7"/>
    <x v="16"/>
    <n v="1873.5"/>
    <n v="3"/>
    <n v="0.05"/>
    <n v="71.62"/>
    <x v="3"/>
    <x v="0"/>
    <s v="11/01/2024"/>
    <x v="1"/>
    <n v="1"/>
    <x v="0"/>
    <s v="High"/>
    <n v="3.822791566586603E-2"/>
  </r>
  <r>
    <s v="ORD100235"/>
    <s v="2025-03-08"/>
    <x v="102"/>
    <x v="1"/>
    <x v="5"/>
    <x v="2"/>
    <x v="4"/>
    <x v="6"/>
    <n v="2026.98"/>
    <n v="2"/>
    <n v="0.25"/>
    <n v="-373.99"/>
    <x v="1"/>
    <x v="1"/>
    <s v="08/03/2025"/>
    <x v="0"/>
    <n v="3"/>
    <x v="3"/>
    <s v="Low"/>
    <n v="-0.18450601387285517"/>
  </r>
  <r>
    <s v="ORD100236"/>
    <s v="2024-09-09"/>
    <x v="134"/>
    <x v="1"/>
    <x v="11"/>
    <x v="1"/>
    <x v="5"/>
    <x v="24"/>
    <n v="314.60000000000002"/>
    <n v="4"/>
    <n v="0.2"/>
    <n v="-6.47"/>
    <x v="0"/>
    <x v="0"/>
    <s v="09/09/2024"/>
    <x v="1"/>
    <n v="9"/>
    <x v="5"/>
    <s v="Low"/>
    <n v="-2.0565797838525111E-2"/>
  </r>
  <r>
    <s v="ORD100237"/>
    <s v="2025-05-10"/>
    <x v="61"/>
    <x v="2"/>
    <x v="6"/>
    <x v="1"/>
    <x v="7"/>
    <x v="17"/>
    <n v="934.32"/>
    <n v="3"/>
    <n v="0.1"/>
    <n v="266.76"/>
    <x v="2"/>
    <x v="0"/>
    <s v="10/05/2025"/>
    <x v="0"/>
    <n v="5"/>
    <x v="7"/>
    <s v="Low"/>
    <n v="0.28551245825841248"/>
  </r>
  <r>
    <s v="ORD100238"/>
    <s v="2025-09-30"/>
    <x v="85"/>
    <x v="2"/>
    <x v="8"/>
    <x v="1"/>
    <x v="3"/>
    <x v="5"/>
    <n v="743.13"/>
    <n v="9"/>
    <n v="0.2"/>
    <n v="-85.62"/>
    <x v="1"/>
    <x v="1"/>
    <s v="30/09/2025"/>
    <x v="0"/>
    <n v="9"/>
    <x v="5"/>
    <s v="Low"/>
    <n v="-0.11521537281498527"/>
  </r>
  <r>
    <s v="ORD100239"/>
    <s v="2024-10-26"/>
    <x v="135"/>
    <x v="1"/>
    <x v="2"/>
    <x v="2"/>
    <x v="4"/>
    <x v="26"/>
    <n v="1885.6"/>
    <n v="2"/>
    <n v="0.2"/>
    <n v="148.38"/>
    <x v="1"/>
    <x v="0"/>
    <s v="26/10/2024"/>
    <x v="1"/>
    <n v="10"/>
    <x v="2"/>
    <s v="Low"/>
    <n v="7.869113279592703E-2"/>
  </r>
  <r>
    <s v="ORD100240"/>
    <s v="2025-01-31"/>
    <x v="115"/>
    <x v="0"/>
    <x v="7"/>
    <x v="2"/>
    <x v="8"/>
    <x v="12"/>
    <n v="7725.92"/>
    <n v="8"/>
    <n v="0.15"/>
    <n v="1076.1199999999999"/>
    <x v="2"/>
    <x v="1"/>
    <s v="31/01/2025"/>
    <x v="0"/>
    <n v="1"/>
    <x v="0"/>
    <s v="Low"/>
    <n v="0.13928697164868389"/>
  </r>
  <r>
    <s v="ORD100241"/>
    <s v="2024-02-11"/>
    <x v="18"/>
    <x v="2"/>
    <x v="8"/>
    <x v="0"/>
    <x v="0"/>
    <x v="22"/>
    <n v="123"/>
    <n v="1"/>
    <n v="0"/>
    <n v="15.55"/>
    <x v="8"/>
    <x v="3"/>
    <s v="11/02/2024"/>
    <x v="1"/>
    <n v="2"/>
    <x v="1"/>
    <s v="No Discount"/>
    <n v="0.12642276422764229"/>
  </r>
  <r>
    <s v="ORD100242"/>
    <s v="2025-08-07"/>
    <x v="80"/>
    <x v="2"/>
    <x v="3"/>
    <x v="0"/>
    <x v="2"/>
    <x v="11"/>
    <n v="366.1"/>
    <n v="7"/>
    <n v="0.1"/>
    <n v="107.63"/>
    <x v="7"/>
    <x v="1"/>
    <s v="07/08/2025"/>
    <x v="0"/>
    <n v="8"/>
    <x v="11"/>
    <s v="Low"/>
    <n v="0.2939907129199672"/>
  </r>
  <r>
    <s v="ORD100243"/>
    <s v="2025-12-24"/>
    <x v="136"/>
    <x v="0"/>
    <x v="4"/>
    <x v="0"/>
    <x v="0"/>
    <x v="25"/>
    <n v="1039.4000000000001"/>
    <n v="10"/>
    <n v="0.1"/>
    <n v="265.93"/>
    <x v="4"/>
    <x v="0"/>
    <s v="24/12/2025"/>
    <x v="0"/>
    <n v="12"/>
    <x v="4"/>
    <s v="Low"/>
    <n v="0.25584952857417742"/>
  </r>
  <r>
    <s v="ORD100244"/>
    <s v="2025-03-05"/>
    <x v="137"/>
    <x v="1"/>
    <x v="2"/>
    <x v="2"/>
    <x v="8"/>
    <x v="20"/>
    <n v="4093.56"/>
    <n v="9"/>
    <n v="0.05"/>
    <n v="872.03"/>
    <x v="2"/>
    <x v="0"/>
    <s v="05/03/2025"/>
    <x v="0"/>
    <n v="3"/>
    <x v="3"/>
    <s v="High"/>
    <n v="0.213024848786875"/>
  </r>
  <r>
    <s v="ORD100245"/>
    <s v="2025-05-09"/>
    <x v="138"/>
    <x v="2"/>
    <x v="8"/>
    <x v="0"/>
    <x v="1"/>
    <x v="3"/>
    <n v="5267.2"/>
    <n v="5"/>
    <n v="0.3"/>
    <n v="289.19"/>
    <x v="9"/>
    <x v="1"/>
    <s v="09/05/2025"/>
    <x v="0"/>
    <n v="5"/>
    <x v="7"/>
    <s v="Low"/>
    <n v="5.4903933778857841E-2"/>
  </r>
  <r>
    <s v="ORD100246"/>
    <s v="2025-06-13"/>
    <x v="139"/>
    <x v="1"/>
    <x v="5"/>
    <x v="2"/>
    <x v="4"/>
    <x v="26"/>
    <n v="1542.69"/>
    <n v="9"/>
    <n v="0.3"/>
    <n v="38.020000000000003"/>
    <x v="8"/>
    <x v="2"/>
    <s v="13/06/2025"/>
    <x v="0"/>
    <n v="6"/>
    <x v="9"/>
    <s v="Low"/>
    <n v="2.4645262496029663E-2"/>
  </r>
  <r>
    <s v="ORD100247"/>
    <s v="2025-07-13"/>
    <x v="85"/>
    <x v="2"/>
    <x v="10"/>
    <x v="2"/>
    <x v="6"/>
    <x v="13"/>
    <n v="685.38"/>
    <n v="6"/>
    <n v="0.2"/>
    <n v="109.82"/>
    <x v="3"/>
    <x v="3"/>
    <s v="13/07/2025"/>
    <x v="0"/>
    <n v="7"/>
    <x v="6"/>
    <s v="Low"/>
    <n v="0.16023227990311942"/>
  </r>
  <r>
    <s v="ORD100248"/>
    <s v="2025-07-16"/>
    <x v="83"/>
    <x v="2"/>
    <x v="10"/>
    <x v="0"/>
    <x v="1"/>
    <x v="1"/>
    <n v="1548.19"/>
    <n v="7"/>
    <n v="0.25"/>
    <n v="-103.91"/>
    <x v="7"/>
    <x v="2"/>
    <s v="16/07/2025"/>
    <x v="0"/>
    <n v="7"/>
    <x v="6"/>
    <s v="Low"/>
    <n v="-6.7117085112292418E-2"/>
  </r>
  <r>
    <s v="ORD100249"/>
    <s v="2024-03-14"/>
    <x v="16"/>
    <x v="3"/>
    <x v="15"/>
    <x v="2"/>
    <x v="8"/>
    <x v="20"/>
    <n v="5036.3999999999996"/>
    <n v="6"/>
    <n v="0"/>
    <n v="2181.09"/>
    <x v="3"/>
    <x v="2"/>
    <s v="14/03/2024"/>
    <x v="1"/>
    <n v="3"/>
    <x v="3"/>
    <s v="No Discount"/>
    <n v="0.43306528472718614"/>
  </r>
  <r>
    <s v="ORD100250"/>
    <s v="2024-01-16"/>
    <x v="140"/>
    <x v="0"/>
    <x v="7"/>
    <x v="1"/>
    <x v="7"/>
    <x v="17"/>
    <n v="3679.14"/>
    <n v="6"/>
    <n v="0.25"/>
    <n v="-598.41999999999996"/>
    <x v="7"/>
    <x v="2"/>
    <s v="16/01/2024"/>
    <x v="1"/>
    <n v="1"/>
    <x v="0"/>
    <s v="Low"/>
    <n v="-0.16265214153307567"/>
  </r>
  <r>
    <s v="ORD100251"/>
    <s v="2024-02-04"/>
    <x v="32"/>
    <x v="1"/>
    <x v="11"/>
    <x v="2"/>
    <x v="6"/>
    <x v="8"/>
    <n v="3349.71"/>
    <n v="7"/>
    <n v="0.1"/>
    <n v="696.57"/>
    <x v="0"/>
    <x v="3"/>
    <s v="04/02/2024"/>
    <x v="1"/>
    <n v="2"/>
    <x v="1"/>
    <s v="Low"/>
    <n v="0.20794934486866029"/>
  </r>
  <r>
    <s v="ORD100252"/>
    <s v="2025-01-11"/>
    <x v="114"/>
    <x v="3"/>
    <x v="15"/>
    <x v="0"/>
    <x v="1"/>
    <x v="3"/>
    <n v="2559.88"/>
    <n v="4"/>
    <n v="0.1"/>
    <n v="829.81"/>
    <x v="7"/>
    <x v="2"/>
    <s v="11/01/2025"/>
    <x v="0"/>
    <n v="1"/>
    <x v="0"/>
    <s v="Low"/>
    <n v="0.32415972623716732"/>
  </r>
  <r>
    <s v="ORD100253"/>
    <s v="2025-01-31"/>
    <x v="86"/>
    <x v="2"/>
    <x v="3"/>
    <x v="2"/>
    <x v="4"/>
    <x v="26"/>
    <n v="6758.85"/>
    <n v="7"/>
    <n v="0"/>
    <n v="1289.29"/>
    <x v="8"/>
    <x v="0"/>
    <s v="31/01/2025"/>
    <x v="0"/>
    <n v="1"/>
    <x v="0"/>
    <s v="No Discount"/>
    <n v="0.19075582384577255"/>
  </r>
  <r>
    <s v="ORD100254"/>
    <s v="2025-07-27"/>
    <x v="80"/>
    <x v="1"/>
    <x v="5"/>
    <x v="1"/>
    <x v="3"/>
    <x v="14"/>
    <n v="2126.8000000000002"/>
    <n v="4"/>
    <n v="0"/>
    <n v="440.77"/>
    <x v="0"/>
    <x v="3"/>
    <s v="27/07/2025"/>
    <x v="0"/>
    <n v="7"/>
    <x v="6"/>
    <s v="No Discount"/>
    <n v="0.20724562723340226"/>
  </r>
  <r>
    <s v="ORD100255"/>
    <s v="2024-01-03"/>
    <x v="140"/>
    <x v="1"/>
    <x v="5"/>
    <x v="2"/>
    <x v="4"/>
    <x v="26"/>
    <n v="8304.48"/>
    <n v="8"/>
    <n v="0.05"/>
    <n v="1783.91"/>
    <x v="0"/>
    <x v="0"/>
    <s v="03/01/2024"/>
    <x v="1"/>
    <n v="1"/>
    <x v="0"/>
    <s v="High"/>
    <n v="0.21481296842186387"/>
  </r>
  <r>
    <s v="ORD100256"/>
    <s v="2024-10-13"/>
    <x v="36"/>
    <x v="0"/>
    <x v="0"/>
    <x v="2"/>
    <x v="4"/>
    <x v="6"/>
    <n v="5749.02"/>
    <n v="6"/>
    <n v="0.1"/>
    <n v="1213"/>
    <x v="3"/>
    <x v="0"/>
    <s v="13/10/2024"/>
    <x v="1"/>
    <n v="10"/>
    <x v="2"/>
    <s v="Low"/>
    <n v="0.21099248219696573"/>
  </r>
  <r>
    <s v="ORD100257"/>
    <s v="2024-10-16"/>
    <x v="80"/>
    <x v="1"/>
    <x v="1"/>
    <x v="2"/>
    <x v="6"/>
    <x v="8"/>
    <n v="250.05"/>
    <n v="3"/>
    <n v="0"/>
    <n v="31.85"/>
    <x v="9"/>
    <x v="3"/>
    <s v="16/10/2024"/>
    <x v="1"/>
    <n v="10"/>
    <x v="2"/>
    <s v="No Discount"/>
    <n v="0.12737452509498101"/>
  </r>
  <r>
    <s v="ORD100258"/>
    <s v="2024-06-24"/>
    <x v="135"/>
    <x v="0"/>
    <x v="4"/>
    <x v="2"/>
    <x v="8"/>
    <x v="18"/>
    <n v="1999.84"/>
    <n v="2"/>
    <n v="0.05"/>
    <n v="774.42"/>
    <x v="5"/>
    <x v="1"/>
    <s v="24/06/2024"/>
    <x v="1"/>
    <n v="6"/>
    <x v="9"/>
    <s v="High"/>
    <n v="0.38724097927834228"/>
  </r>
  <r>
    <s v="ORD100259"/>
    <s v="2024-01-12"/>
    <x v="27"/>
    <x v="1"/>
    <x v="11"/>
    <x v="0"/>
    <x v="2"/>
    <x v="2"/>
    <n v="274.24"/>
    <n v="4"/>
    <n v="0.1"/>
    <n v="87.02"/>
    <x v="4"/>
    <x v="0"/>
    <s v="12/01/2024"/>
    <x v="1"/>
    <n v="1"/>
    <x v="0"/>
    <s v="Low"/>
    <n v="0.31731330221703613"/>
  </r>
  <r>
    <s v="ORD100260"/>
    <s v="2025-04-13"/>
    <x v="4"/>
    <x v="2"/>
    <x v="10"/>
    <x v="2"/>
    <x v="4"/>
    <x v="10"/>
    <n v="3566.43"/>
    <n v="9"/>
    <n v="0.3"/>
    <n v="530.70000000000005"/>
    <x v="4"/>
    <x v="3"/>
    <s v="13/04/2025"/>
    <x v="0"/>
    <n v="4"/>
    <x v="8"/>
    <s v="Low"/>
    <n v="0.1488042664513253"/>
  </r>
  <r>
    <s v="ORD100261"/>
    <s v="2024-04-12"/>
    <x v="89"/>
    <x v="2"/>
    <x v="8"/>
    <x v="2"/>
    <x v="6"/>
    <x v="13"/>
    <n v="555.78"/>
    <n v="3"/>
    <n v="0.1"/>
    <n v="96.93"/>
    <x v="7"/>
    <x v="2"/>
    <s v="12/04/2024"/>
    <x v="1"/>
    <n v="4"/>
    <x v="8"/>
    <s v="Low"/>
    <n v="0.17440354096944835"/>
  </r>
  <r>
    <s v="ORD100262"/>
    <s v="2024-09-05"/>
    <x v="128"/>
    <x v="1"/>
    <x v="5"/>
    <x v="1"/>
    <x v="7"/>
    <x v="17"/>
    <n v="6562.26"/>
    <n v="9"/>
    <n v="0.15"/>
    <n v="638.41999999999996"/>
    <x v="4"/>
    <x v="3"/>
    <s v="05/09/2024"/>
    <x v="1"/>
    <n v="9"/>
    <x v="5"/>
    <s v="Low"/>
    <n v="9.7286605529192674E-2"/>
  </r>
  <r>
    <s v="ORD100263"/>
    <s v="2024-08-30"/>
    <x v="40"/>
    <x v="0"/>
    <x v="7"/>
    <x v="2"/>
    <x v="8"/>
    <x v="12"/>
    <n v="2862.05"/>
    <n v="5"/>
    <n v="0.25"/>
    <n v="-123.84"/>
    <x v="0"/>
    <x v="3"/>
    <s v="30/08/2024"/>
    <x v="1"/>
    <n v="8"/>
    <x v="11"/>
    <s v="Low"/>
    <n v="-4.3269684317185232E-2"/>
  </r>
  <r>
    <s v="ORD100264"/>
    <s v="2025-02-27"/>
    <x v="27"/>
    <x v="2"/>
    <x v="6"/>
    <x v="2"/>
    <x v="4"/>
    <x v="26"/>
    <n v="1000.94"/>
    <n v="2"/>
    <n v="0.1"/>
    <n v="176.34"/>
    <x v="4"/>
    <x v="2"/>
    <s v="27/02/2025"/>
    <x v="0"/>
    <n v="2"/>
    <x v="1"/>
    <s v="Low"/>
    <n v="0.17617439606769636"/>
  </r>
  <r>
    <s v="ORD100265"/>
    <s v="2025-01-29"/>
    <x v="141"/>
    <x v="2"/>
    <x v="6"/>
    <x v="1"/>
    <x v="5"/>
    <x v="15"/>
    <n v="2710.4"/>
    <n v="8"/>
    <n v="0.15"/>
    <n v="534.28"/>
    <x v="9"/>
    <x v="2"/>
    <s v="29/01/2025"/>
    <x v="0"/>
    <n v="1"/>
    <x v="0"/>
    <s v="Low"/>
    <n v="0.19712219598583233"/>
  </r>
  <r>
    <s v="ORD100266"/>
    <s v="2025-01-20"/>
    <x v="2"/>
    <x v="0"/>
    <x v="9"/>
    <x v="2"/>
    <x v="6"/>
    <x v="8"/>
    <n v="2606.6999999999998"/>
    <n v="5"/>
    <n v="0.3"/>
    <n v="-27.72"/>
    <x v="2"/>
    <x v="0"/>
    <s v="20/01/2025"/>
    <x v="0"/>
    <n v="1"/>
    <x v="0"/>
    <s v="Low"/>
    <n v="-1.0634135113361722E-2"/>
  </r>
  <r>
    <s v="ORD100267"/>
    <s v="2025-04-22"/>
    <x v="70"/>
    <x v="2"/>
    <x v="8"/>
    <x v="0"/>
    <x v="2"/>
    <x v="21"/>
    <n v="316.25"/>
    <n v="5"/>
    <n v="0"/>
    <n v="30.03"/>
    <x v="7"/>
    <x v="0"/>
    <s v="22/04/2025"/>
    <x v="0"/>
    <n v="4"/>
    <x v="8"/>
    <s v="No Discount"/>
    <n v="9.4956521739130439E-2"/>
  </r>
  <r>
    <s v="ORD100268"/>
    <s v="2024-12-06"/>
    <x v="142"/>
    <x v="3"/>
    <x v="15"/>
    <x v="2"/>
    <x v="4"/>
    <x v="6"/>
    <n v="1954.28"/>
    <n v="4"/>
    <n v="0.1"/>
    <n v="330.33"/>
    <x v="5"/>
    <x v="3"/>
    <s v="06/12/2024"/>
    <x v="1"/>
    <n v="12"/>
    <x v="4"/>
    <s v="Low"/>
    <n v="0.16902900300878071"/>
  </r>
  <r>
    <s v="ORD100269"/>
    <s v="2025-05-14"/>
    <x v="44"/>
    <x v="2"/>
    <x v="3"/>
    <x v="1"/>
    <x v="7"/>
    <x v="9"/>
    <n v="9531.9"/>
    <n v="10"/>
    <n v="0.05"/>
    <n v="1975.88"/>
    <x v="3"/>
    <x v="1"/>
    <s v="14/05/2025"/>
    <x v="0"/>
    <n v="5"/>
    <x v="7"/>
    <s v="High"/>
    <n v="0.20729130603552284"/>
  </r>
  <r>
    <s v="ORD100270"/>
    <s v="2024-07-24"/>
    <x v="32"/>
    <x v="1"/>
    <x v="11"/>
    <x v="0"/>
    <x v="2"/>
    <x v="2"/>
    <n v="4440.7"/>
    <n v="5"/>
    <n v="0.3"/>
    <n v="614.54"/>
    <x v="3"/>
    <x v="3"/>
    <s v="24/07/2024"/>
    <x v="1"/>
    <n v="7"/>
    <x v="6"/>
    <s v="Low"/>
    <n v="0.13838809196748261"/>
  </r>
  <r>
    <s v="ORD100271"/>
    <s v="2024-03-07"/>
    <x v="1"/>
    <x v="1"/>
    <x v="2"/>
    <x v="2"/>
    <x v="8"/>
    <x v="18"/>
    <n v="3007.44"/>
    <n v="6"/>
    <n v="0.2"/>
    <n v="-115.81"/>
    <x v="7"/>
    <x v="3"/>
    <s v="07/03/2024"/>
    <x v="1"/>
    <n v="3"/>
    <x v="3"/>
    <s v="Low"/>
    <n v="-3.8507833905248319E-2"/>
  </r>
  <r>
    <s v="ORD100272"/>
    <s v="2024-04-21"/>
    <x v="121"/>
    <x v="1"/>
    <x v="5"/>
    <x v="2"/>
    <x v="8"/>
    <x v="18"/>
    <n v="6130.08"/>
    <n v="6"/>
    <n v="0.1"/>
    <n v="384.87"/>
    <x v="9"/>
    <x v="1"/>
    <s v="21/04/2024"/>
    <x v="1"/>
    <n v="4"/>
    <x v="8"/>
    <s v="Low"/>
    <n v="6.2783846214078773E-2"/>
  </r>
  <r>
    <s v="ORD100273"/>
    <s v="2024-02-01"/>
    <x v="121"/>
    <x v="2"/>
    <x v="10"/>
    <x v="0"/>
    <x v="2"/>
    <x v="11"/>
    <n v="325.98"/>
    <n v="1"/>
    <n v="0.15"/>
    <n v="4.68"/>
    <x v="1"/>
    <x v="3"/>
    <s v="01/02/2024"/>
    <x v="1"/>
    <n v="2"/>
    <x v="1"/>
    <s v="Low"/>
    <n v="1.4356709000552179E-2"/>
  </r>
  <r>
    <s v="ORD100274"/>
    <s v="2025-12-19"/>
    <x v="34"/>
    <x v="2"/>
    <x v="8"/>
    <x v="2"/>
    <x v="8"/>
    <x v="12"/>
    <n v="78.540000000000006"/>
    <n v="2"/>
    <n v="0.15"/>
    <n v="9.51"/>
    <x v="6"/>
    <x v="0"/>
    <s v="19/12/2025"/>
    <x v="0"/>
    <n v="12"/>
    <x v="4"/>
    <s v="Low"/>
    <n v="0.12108479755538577"/>
  </r>
  <r>
    <s v="ORD100275"/>
    <s v="2024-06-14"/>
    <x v="143"/>
    <x v="0"/>
    <x v="4"/>
    <x v="0"/>
    <x v="0"/>
    <x v="22"/>
    <n v="2913.24"/>
    <n v="3"/>
    <n v="0.3"/>
    <n v="-141.18"/>
    <x v="9"/>
    <x v="2"/>
    <s v="14/06/2024"/>
    <x v="1"/>
    <n v="6"/>
    <x v="9"/>
    <s v="Low"/>
    <n v="-4.846150677596079E-2"/>
  </r>
  <r>
    <s v="ORD100276"/>
    <s v="2024-11-29"/>
    <x v="82"/>
    <x v="1"/>
    <x v="2"/>
    <x v="1"/>
    <x v="7"/>
    <x v="9"/>
    <n v="9035.2800000000007"/>
    <n v="8"/>
    <n v="0.1"/>
    <n v="293"/>
    <x v="4"/>
    <x v="1"/>
    <s v="29/11/2024"/>
    <x v="1"/>
    <n v="11"/>
    <x v="10"/>
    <s v="Low"/>
    <n v="3.242843608609805E-2"/>
  </r>
  <r>
    <s v="ORD100277"/>
    <s v="2025-09-25"/>
    <x v="144"/>
    <x v="3"/>
    <x v="13"/>
    <x v="1"/>
    <x v="7"/>
    <x v="17"/>
    <n v="8986.24"/>
    <n v="8"/>
    <n v="0.2"/>
    <n v="103.91"/>
    <x v="4"/>
    <x v="2"/>
    <s v="25/09/2025"/>
    <x v="0"/>
    <n v="9"/>
    <x v="5"/>
    <s v="Low"/>
    <n v="1.156323445623531E-2"/>
  </r>
  <r>
    <s v="ORD100278"/>
    <s v="2025-01-09"/>
    <x v="117"/>
    <x v="0"/>
    <x v="4"/>
    <x v="2"/>
    <x v="8"/>
    <x v="18"/>
    <n v="9611.82"/>
    <n v="9"/>
    <n v="0"/>
    <n v="3432.98"/>
    <x v="6"/>
    <x v="3"/>
    <s v="09/01/2025"/>
    <x v="0"/>
    <n v="1"/>
    <x v="0"/>
    <s v="No Discount"/>
    <n v="0.35716232721794627"/>
  </r>
  <r>
    <s v="ORD100279"/>
    <s v="2024-09-14"/>
    <x v="77"/>
    <x v="1"/>
    <x v="1"/>
    <x v="1"/>
    <x v="7"/>
    <x v="17"/>
    <n v="6228.12"/>
    <n v="6"/>
    <n v="0"/>
    <n v="1660.22"/>
    <x v="4"/>
    <x v="1"/>
    <s v="14/09/2024"/>
    <x v="1"/>
    <n v="9"/>
    <x v="5"/>
    <s v="No Discount"/>
    <n v="0.2665684026640463"/>
  </r>
  <r>
    <s v="ORD100280"/>
    <s v="2024-04-25"/>
    <x v="17"/>
    <x v="2"/>
    <x v="3"/>
    <x v="0"/>
    <x v="0"/>
    <x v="0"/>
    <n v="3499.32"/>
    <n v="6"/>
    <n v="0"/>
    <n v="507.36"/>
    <x v="2"/>
    <x v="3"/>
    <s v="25/04/2024"/>
    <x v="1"/>
    <n v="4"/>
    <x v="8"/>
    <s v="No Discount"/>
    <n v="0.1449881691300024"/>
  </r>
  <r>
    <s v="ORD100281"/>
    <s v="2025-05-02"/>
    <x v="77"/>
    <x v="0"/>
    <x v="4"/>
    <x v="0"/>
    <x v="1"/>
    <x v="3"/>
    <n v="7594.02"/>
    <n v="7"/>
    <n v="0.15"/>
    <n v="516.94000000000005"/>
    <x v="8"/>
    <x v="3"/>
    <s v="02/05/2025"/>
    <x v="0"/>
    <n v="5"/>
    <x v="7"/>
    <s v="Low"/>
    <n v="6.8071982955009339E-2"/>
  </r>
  <r>
    <s v="ORD100282"/>
    <s v="2025-06-05"/>
    <x v="38"/>
    <x v="1"/>
    <x v="5"/>
    <x v="1"/>
    <x v="5"/>
    <x v="7"/>
    <n v="6642.08"/>
    <n v="8"/>
    <n v="0.2"/>
    <n v="790.12"/>
    <x v="8"/>
    <x v="0"/>
    <s v="05/06/2025"/>
    <x v="0"/>
    <n v="6"/>
    <x v="9"/>
    <s v="Low"/>
    <n v="0.11895671235516585"/>
  </r>
  <r>
    <s v="ORD100283"/>
    <s v="2024-12-22"/>
    <x v="53"/>
    <x v="3"/>
    <x v="13"/>
    <x v="1"/>
    <x v="5"/>
    <x v="15"/>
    <n v="3514.35"/>
    <n v="5"/>
    <n v="0.25"/>
    <n v="-171.13"/>
    <x v="5"/>
    <x v="3"/>
    <s v="22/12/2024"/>
    <x v="1"/>
    <n v="12"/>
    <x v="4"/>
    <s v="Low"/>
    <n v="-4.8694637699716874E-2"/>
  </r>
  <r>
    <s v="ORD100284"/>
    <s v="2024-04-30"/>
    <x v="140"/>
    <x v="2"/>
    <x v="8"/>
    <x v="1"/>
    <x v="5"/>
    <x v="15"/>
    <n v="5785.38"/>
    <n v="9"/>
    <n v="0.25"/>
    <n v="-984.2"/>
    <x v="6"/>
    <x v="0"/>
    <s v="30/04/2024"/>
    <x v="1"/>
    <n v="4"/>
    <x v="8"/>
    <s v="Low"/>
    <n v="-0.17011847104252445"/>
  </r>
  <r>
    <s v="ORD100285"/>
    <s v="2024-03-01"/>
    <x v="79"/>
    <x v="2"/>
    <x v="10"/>
    <x v="0"/>
    <x v="2"/>
    <x v="21"/>
    <n v="1766.61"/>
    <n v="9"/>
    <n v="0.25"/>
    <n v="-227.11"/>
    <x v="0"/>
    <x v="0"/>
    <s v="01/03/2024"/>
    <x v="1"/>
    <n v="3"/>
    <x v="3"/>
    <s v="Low"/>
    <n v="-0.1285569537136097"/>
  </r>
  <r>
    <s v="ORD100286"/>
    <s v="2025-02-18"/>
    <x v="6"/>
    <x v="2"/>
    <x v="6"/>
    <x v="2"/>
    <x v="8"/>
    <x v="12"/>
    <n v="150.61000000000001"/>
    <n v="1"/>
    <n v="0.3"/>
    <n v="-37.54"/>
    <x v="4"/>
    <x v="1"/>
    <s v="18/02/2025"/>
    <x v="0"/>
    <n v="2"/>
    <x v="1"/>
    <s v="Low"/>
    <n v="-0.24925303764690257"/>
  </r>
  <r>
    <s v="ORD100287"/>
    <s v="2024-11-07"/>
    <x v="51"/>
    <x v="2"/>
    <x v="10"/>
    <x v="0"/>
    <x v="2"/>
    <x v="21"/>
    <n v="4844.22"/>
    <n v="6"/>
    <n v="0.2"/>
    <n v="-314.5"/>
    <x v="4"/>
    <x v="2"/>
    <s v="07/11/2024"/>
    <x v="1"/>
    <n v="11"/>
    <x v="10"/>
    <s v="Low"/>
    <n v="-6.4922732658714913E-2"/>
  </r>
  <r>
    <s v="ORD100288"/>
    <s v="2024-04-09"/>
    <x v="145"/>
    <x v="3"/>
    <x v="12"/>
    <x v="1"/>
    <x v="7"/>
    <x v="17"/>
    <n v="1203.3599999999999"/>
    <n v="2"/>
    <n v="0.2"/>
    <n v="191.63"/>
    <x v="6"/>
    <x v="3"/>
    <s v="09/04/2024"/>
    <x v="1"/>
    <n v="4"/>
    <x v="8"/>
    <s v="Low"/>
    <n v="0.15924577848690336"/>
  </r>
  <r>
    <s v="ORD100289"/>
    <s v="2025-12-05"/>
    <x v="146"/>
    <x v="2"/>
    <x v="3"/>
    <x v="2"/>
    <x v="8"/>
    <x v="18"/>
    <n v="4331.32"/>
    <n v="7"/>
    <n v="0.3"/>
    <n v="-774.81"/>
    <x v="4"/>
    <x v="3"/>
    <s v="05/12/2025"/>
    <x v="0"/>
    <n v="12"/>
    <x v="4"/>
    <s v="Low"/>
    <n v="-0.17888542061080687"/>
  </r>
  <r>
    <s v="ORD100290"/>
    <s v="2025-05-09"/>
    <x v="123"/>
    <x v="0"/>
    <x v="0"/>
    <x v="1"/>
    <x v="5"/>
    <x v="15"/>
    <n v="5096.5200000000004"/>
    <n v="9"/>
    <n v="0.3"/>
    <n v="610.91"/>
    <x v="6"/>
    <x v="2"/>
    <s v="09/05/2025"/>
    <x v="0"/>
    <n v="5"/>
    <x v="7"/>
    <s v="Low"/>
    <n v="0.11986806683776378"/>
  </r>
  <r>
    <s v="ORD100291"/>
    <s v="2024-11-21"/>
    <x v="147"/>
    <x v="2"/>
    <x v="6"/>
    <x v="2"/>
    <x v="4"/>
    <x v="6"/>
    <n v="4739.1000000000004"/>
    <n v="6"/>
    <n v="0.3"/>
    <n v="73.430000000000007"/>
    <x v="4"/>
    <x v="2"/>
    <s v="21/11/2024"/>
    <x v="1"/>
    <n v="11"/>
    <x v="10"/>
    <s v="Low"/>
    <n v="1.5494503175708468E-2"/>
  </r>
  <r>
    <s v="ORD100292"/>
    <s v="2025-12-24"/>
    <x v="111"/>
    <x v="0"/>
    <x v="7"/>
    <x v="2"/>
    <x v="6"/>
    <x v="8"/>
    <n v="188.91"/>
    <n v="1"/>
    <n v="0.1"/>
    <n v="-1.83"/>
    <x v="3"/>
    <x v="2"/>
    <s v="24/12/2025"/>
    <x v="0"/>
    <n v="12"/>
    <x v="4"/>
    <s v="Low"/>
    <n v="-9.6871526123550895E-3"/>
  </r>
  <r>
    <s v="ORD100293"/>
    <s v="2024-10-10"/>
    <x v="123"/>
    <x v="1"/>
    <x v="11"/>
    <x v="1"/>
    <x v="5"/>
    <x v="24"/>
    <n v="1066.8699999999999"/>
    <n v="7"/>
    <n v="0.2"/>
    <n v="-157.91999999999999"/>
    <x v="3"/>
    <x v="1"/>
    <s v="10/10/2024"/>
    <x v="1"/>
    <n v="10"/>
    <x v="2"/>
    <s v="Low"/>
    <n v="-0.14802178334754937"/>
  </r>
  <r>
    <s v="ORD100294"/>
    <s v="2025-12-02"/>
    <x v="6"/>
    <x v="1"/>
    <x v="1"/>
    <x v="2"/>
    <x v="6"/>
    <x v="13"/>
    <n v="1545.87"/>
    <n v="3"/>
    <n v="0.25"/>
    <n v="-148.79"/>
    <x v="2"/>
    <x v="2"/>
    <s v="02/12/2025"/>
    <x v="0"/>
    <n v="12"/>
    <x v="4"/>
    <s v="Low"/>
    <n v="-9.6250008086061573E-2"/>
  </r>
  <r>
    <s v="ORD100295"/>
    <s v="2024-06-24"/>
    <x v="74"/>
    <x v="1"/>
    <x v="5"/>
    <x v="0"/>
    <x v="2"/>
    <x v="2"/>
    <n v="6220.89"/>
    <n v="9"/>
    <n v="0.15"/>
    <n v="1603.6"/>
    <x v="8"/>
    <x v="1"/>
    <s v="24/06/2024"/>
    <x v="1"/>
    <n v="6"/>
    <x v="9"/>
    <s v="Low"/>
    <n v="0.25777662038711502"/>
  </r>
  <r>
    <s v="ORD100296"/>
    <s v="2024-01-17"/>
    <x v="53"/>
    <x v="0"/>
    <x v="0"/>
    <x v="1"/>
    <x v="3"/>
    <x v="5"/>
    <n v="1767.54"/>
    <n v="3"/>
    <n v="0.25"/>
    <n v="-41.73"/>
    <x v="7"/>
    <x v="1"/>
    <s v="17/01/2024"/>
    <x v="1"/>
    <n v="1"/>
    <x v="0"/>
    <s v="Low"/>
    <n v="-2.3609083811398892E-2"/>
  </r>
  <r>
    <s v="ORD100297"/>
    <s v="2024-12-13"/>
    <x v="11"/>
    <x v="1"/>
    <x v="11"/>
    <x v="2"/>
    <x v="6"/>
    <x v="8"/>
    <n v="360.34"/>
    <n v="2"/>
    <n v="0.2"/>
    <n v="58.46"/>
    <x v="3"/>
    <x v="2"/>
    <s v="13/12/2024"/>
    <x v="1"/>
    <n v="12"/>
    <x v="4"/>
    <s v="Low"/>
    <n v="0.16223566631514683"/>
  </r>
  <r>
    <s v="ORD100298"/>
    <s v="2024-04-01"/>
    <x v="26"/>
    <x v="2"/>
    <x v="8"/>
    <x v="2"/>
    <x v="8"/>
    <x v="12"/>
    <n v="66.62"/>
    <n v="1"/>
    <n v="0.3"/>
    <n v="-14.15"/>
    <x v="8"/>
    <x v="2"/>
    <s v="01/04/2024"/>
    <x v="1"/>
    <n v="4"/>
    <x v="8"/>
    <s v="Low"/>
    <n v="-0.21239867907535273"/>
  </r>
  <r>
    <s v="ORD100299"/>
    <s v="2024-12-23"/>
    <x v="134"/>
    <x v="2"/>
    <x v="10"/>
    <x v="2"/>
    <x v="8"/>
    <x v="12"/>
    <n v="2104.5300000000002"/>
    <n v="3"/>
    <n v="0.3"/>
    <n v="56.54"/>
    <x v="4"/>
    <x v="2"/>
    <s v="23/12/2024"/>
    <x v="1"/>
    <n v="12"/>
    <x v="4"/>
    <s v="Low"/>
    <n v="2.6865856034363964E-2"/>
  </r>
  <r>
    <s v="ORD100300"/>
    <s v="2024-05-24"/>
    <x v="116"/>
    <x v="3"/>
    <x v="14"/>
    <x v="2"/>
    <x v="4"/>
    <x v="26"/>
    <n v="4220.6499999999996"/>
    <n v="7"/>
    <n v="0.15"/>
    <n v="734.31"/>
    <x v="5"/>
    <x v="3"/>
    <s v="24/05/2024"/>
    <x v="1"/>
    <n v="5"/>
    <x v="7"/>
    <s v="Low"/>
    <n v="0.17398031108952414"/>
  </r>
  <r>
    <s v="ORD100301"/>
    <s v="2024-04-27"/>
    <x v="49"/>
    <x v="0"/>
    <x v="9"/>
    <x v="0"/>
    <x v="2"/>
    <x v="21"/>
    <n v="3936.48"/>
    <n v="8"/>
    <n v="0"/>
    <n v="821.47"/>
    <x v="1"/>
    <x v="1"/>
    <s v="27/04/2024"/>
    <x v="1"/>
    <n v="4"/>
    <x v="8"/>
    <s v="No Discount"/>
    <n v="0.20868135999674836"/>
  </r>
  <r>
    <s v="ORD100302"/>
    <s v="2024-01-16"/>
    <x v="136"/>
    <x v="1"/>
    <x v="5"/>
    <x v="1"/>
    <x v="5"/>
    <x v="15"/>
    <n v="913"/>
    <n v="4"/>
    <n v="0.3"/>
    <n v="-17.29"/>
    <x v="3"/>
    <x v="3"/>
    <s v="16/01/2024"/>
    <x v="1"/>
    <n v="1"/>
    <x v="0"/>
    <s v="Low"/>
    <n v="-1.8937568455640742E-2"/>
  </r>
  <r>
    <s v="ORD100303"/>
    <s v="2025-02-15"/>
    <x v="131"/>
    <x v="1"/>
    <x v="11"/>
    <x v="1"/>
    <x v="3"/>
    <x v="4"/>
    <n v="1344.54"/>
    <n v="3"/>
    <n v="0.3"/>
    <n v="44.87"/>
    <x v="2"/>
    <x v="1"/>
    <s v="15/02/2025"/>
    <x v="0"/>
    <n v="2"/>
    <x v="1"/>
    <s v="Low"/>
    <n v="3.3372008270486558E-2"/>
  </r>
  <r>
    <s v="ORD100304"/>
    <s v="2025-02-05"/>
    <x v="64"/>
    <x v="0"/>
    <x v="9"/>
    <x v="2"/>
    <x v="4"/>
    <x v="26"/>
    <n v="48.06"/>
    <n v="3"/>
    <n v="0.3"/>
    <n v="-8.16"/>
    <x v="1"/>
    <x v="2"/>
    <s v="05/02/2025"/>
    <x v="0"/>
    <n v="2"/>
    <x v="1"/>
    <s v="Low"/>
    <n v="-0.16978776529338327"/>
  </r>
  <r>
    <s v="ORD100305"/>
    <s v="2024-11-21"/>
    <x v="148"/>
    <x v="0"/>
    <x v="4"/>
    <x v="2"/>
    <x v="8"/>
    <x v="20"/>
    <n v="2545.56"/>
    <n v="3"/>
    <n v="0.3"/>
    <n v="-138.38"/>
    <x v="4"/>
    <x v="0"/>
    <s v="21/11/2024"/>
    <x v="1"/>
    <n v="11"/>
    <x v="10"/>
    <s v="Low"/>
    <n v="-5.4361319316771163E-2"/>
  </r>
  <r>
    <s v="ORD100306"/>
    <s v="2025-09-22"/>
    <x v="26"/>
    <x v="3"/>
    <x v="14"/>
    <x v="2"/>
    <x v="8"/>
    <x v="18"/>
    <n v="3423.44"/>
    <n v="8"/>
    <n v="0.25"/>
    <n v="-100.09"/>
    <x v="0"/>
    <x v="1"/>
    <s v="22/09/2025"/>
    <x v="0"/>
    <n v="9"/>
    <x v="5"/>
    <s v="Low"/>
    <n v="-2.9236674222419556E-2"/>
  </r>
  <r>
    <s v="ORD100307"/>
    <s v="2024-04-03"/>
    <x v="149"/>
    <x v="2"/>
    <x v="6"/>
    <x v="2"/>
    <x v="8"/>
    <x v="12"/>
    <n v="5921.3"/>
    <n v="7"/>
    <n v="0"/>
    <n v="1155.19"/>
    <x v="3"/>
    <x v="1"/>
    <s v="03/04/2024"/>
    <x v="1"/>
    <n v="4"/>
    <x v="8"/>
    <s v="No Discount"/>
    <n v="0.19509060510360901"/>
  </r>
  <r>
    <s v="ORD100308"/>
    <s v="2025-08-19"/>
    <x v="150"/>
    <x v="2"/>
    <x v="6"/>
    <x v="0"/>
    <x v="0"/>
    <x v="25"/>
    <n v="420.16"/>
    <n v="4"/>
    <n v="0.1"/>
    <n v="53.7"/>
    <x v="0"/>
    <x v="2"/>
    <s v="19/08/2025"/>
    <x v="0"/>
    <n v="8"/>
    <x v="11"/>
    <s v="Low"/>
    <n v="0.1278084539223153"/>
  </r>
  <r>
    <s v="ORD100309"/>
    <s v="2024-08-07"/>
    <x v="67"/>
    <x v="1"/>
    <x v="2"/>
    <x v="0"/>
    <x v="1"/>
    <x v="1"/>
    <n v="5047.3500000000004"/>
    <n v="7"/>
    <n v="0"/>
    <n v="2028.38"/>
    <x v="1"/>
    <x v="0"/>
    <s v="07/08/2024"/>
    <x v="1"/>
    <n v="8"/>
    <x v="11"/>
    <s v="No Discount"/>
    <n v="0.40187028836914418"/>
  </r>
  <r>
    <s v="ORD100310"/>
    <s v="2025-10-08"/>
    <x v="151"/>
    <x v="2"/>
    <x v="10"/>
    <x v="1"/>
    <x v="3"/>
    <x v="5"/>
    <n v="997.61"/>
    <n v="1"/>
    <n v="0.25"/>
    <n v="167.48"/>
    <x v="3"/>
    <x v="3"/>
    <s v="08/10/2025"/>
    <x v="0"/>
    <n v="10"/>
    <x v="2"/>
    <s v="Low"/>
    <n v="0.16788123615440903"/>
  </r>
  <r>
    <s v="ORD100311"/>
    <s v="2024-05-05"/>
    <x v="152"/>
    <x v="2"/>
    <x v="3"/>
    <x v="0"/>
    <x v="2"/>
    <x v="2"/>
    <n v="1324.5"/>
    <n v="10"/>
    <n v="0.1"/>
    <n v="178.59"/>
    <x v="0"/>
    <x v="3"/>
    <s v="05/05/2024"/>
    <x v="1"/>
    <n v="5"/>
    <x v="7"/>
    <s v="Low"/>
    <n v="0.13483578708946772"/>
  </r>
  <r>
    <s v="ORD100312"/>
    <s v="2025-11-16"/>
    <x v="124"/>
    <x v="3"/>
    <x v="13"/>
    <x v="2"/>
    <x v="4"/>
    <x v="6"/>
    <n v="1904.13"/>
    <n v="9"/>
    <n v="0.1"/>
    <n v="430.54"/>
    <x v="6"/>
    <x v="2"/>
    <s v="16/11/2025"/>
    <x v="0"/>
    <n v="11"/>
    <x v="10"/>
    <s v="Low"/>
    <n v="0.22610851149868968"/>
  </r>
  <r>
    <s v="ORD100313"/>
    <s v="2024-07-11"/>
    <x v="32"/>
    <x v="0"/>
    <x v="0"/>
    <x v="1"/>
    <x v="7"/>
    <x v="9"/>
    <n v="6568.47"/>
    <n v="9"/>
    <n v="0.3"/>
    <n v="-221.21"/>
    <x v="0"/>
    <x v="1"/>
    <s v="11/07/2024"/>
    <x v="1"/>
    <n v="7"/>
    <x v="6"/>
    <s v="Low"/>
    <n v="-3.3677553524641204E-2"/>
  </r>
  <r>
    <s v="ORD100314"/>
    <s v="2025-03-07"/>
    <x v="110"/>
    <x v="1"/>
    <x v="11"/>
    <x v="0"/>
    <x v="1"/>
    <x v="1"/>
    <n v="2341.0500000000002"/>
    <n v="5"/>
    <n v="0.1"/>
    <n v="159.77000000000001"/>
    <x v="9"/>
    <x v="3"/>
    <s v="07/03/2025"/>
    <x v="0"/>
    <n v="3"/>
    <x v="3"/>
    <s v="Low"/>
    <n v="6.8247154054804471E-2"/>
  </r>
  <r>
    <s v="ORD100315"/>
    <s v="2024-12-03"/>
    <x v="153"/>
    <x v="0"/>
    <x v="0"/>
    <x v="0"/>
    <x v="1"/>
    <x v="1"/>
    <n v="4523.76"/>
    <n v="4"/>
    <n v="0.05"/>
    <n v="563.44000000000005"/>
    <x v="7"/>
    <x v="1"/>
    <s v="03/12/2024"/>
    <x v="1"/>
    <n v="12"/>
    <x v="4"/>
    <s v="High"/>
    <n v="0.12455125824535343"/>
  </r>
  <r>
    <s v="ORD100316"/>
    <s v="2025-08-15"/>
    <x v="148"/>
    <x v="0"/>
    <x v="7"/>
    <x v="0"/>
    <x v="0"/>
    <x v="25"/>
    <n v="1814.5"/>
    <n v="10"/>
    <n v="0.05"/>
    <n v="294.66000000000003"/>
    <x v="9"/>
    <x v="1"/>
    <s v="15/08/2025"/>
    <x v="0"/>
    <n v="8"/>
    <x v="11"/>
    <s v="High"/>
    <n v="0.16239184348305319"/>
  </r>
  <r>
    <s v="ORD100317"/>
    <s v="2024-08-31"/>
    <x v="113"/>
    <x v="3"/>
    <x v="14"/>
    <x v="1"/>
    <x v="3"/>
    <x v="14"/>
    <n v="1793.56"/>
    <n v="4"/>
    <n v="0.25"/>
    <n v="247.56"/>
    <x v="3"/>
    <x v="3"/>
    <s v="31/08/2024"/>
    <x v="1"/>
    <n v="8"/>
    <x v="11"/>
    <s v="Low"/>
    <n v="0.13802716385289593"/>
  </r>
  <r>
    <s v="ORD100318"/>
    <s v="2025-12-31"/>
    <x v="154"/>
    <x v="2"/>
    <x v="3"/>
    <x v="0"/>
    <x v="2"/>
    <x v="2"/>
    <n v="9809"/>
    <n v="10"/>
    <n v="0.05"/>
    <n v="261.02999999999997"/>
    <x v="4"/>
    <x v="1"/>
    <s v="31/12/2025"/>
    <x v="0"/>
    <n v="12"/>
    <x v="4"/>
    <s v="High"/>
    <n v="2.6611275359363848E-2"/>
  </r>
  <r>
    <s v="ORD100319"/>
    <s v="2025-05-12"/>
    <x v="133"/>
    <x v="0"/>
    <x v="0"/>
    <x v="1"/>
    <x v="5"/>
    <x v="24"/>
    <n v="6971.58"/>
    <n v="6"/>
    <n v="0.1"/>
    <n v="2152.0700000000002"/>
    <x v="6"/>
    <x v="3"/>
    <s v="12/05/2025"/>
    <x v="0"/>
    <n v="5"/>
    <x v="7"/>
    <s v="Low"/>
    <n v="0.30869186038172125"/>
  </r>
  <r>
    <s v="ORD100320"/>
    <s v="2024-09-02"/>
    <x v="107"/>
    <x v="1"/>
    <x v="2"/>
    <x v="1"/>
    <x v="7"/>
    <x v="16"/>
    <n v="7682.58"/>
    <n v="9"/>
    <n v="0.3"/>
    <n v="122.63"/>
    <x v="3"/>
    <x v="2"/>
    <s v="02/09/2024"/>
    <x v="1"/>
    <n v="9"/>
    <x v="5"/>
    <s v="Low"/>
    <n v="1.5962085653517439E-2"/>
  </r>
  <r>
    <s v="ORD100321"/>
    <s v="2024-05-06"/>
    <x v="155"/>
    <x v="3"/>
    <x v="15"/>
    <x v="0"/>
    <x v="0"/>
    <x v="0"/>
    <n v="7173.18"/>
    <n v="7"/>
    <n v="0.15"/>
    <n v="581.89"/>
    <x v="5"/>
    <x v="1"/>
    <s v="06/05/2024"/>
    <x v="1"/>
    <n v="5"/>
    <x v="7"/>
    <s v="Low"/>
    <n v="8.1120228406369274E-2"/>
  </r>
  <r>
    <s v="ORD100322"/>
    <s v="2025-11-02"/>
    <x v="40"/>
    <x v="2"/>
    <x v="10"/>
    <x v="2"/>
    <x v="4"/>
    <x v="26"/>
    <n v="1282.68"/>
    <n v="9"/>
    <n v="0.25"/>
    <n v="20.190000000000001"/>
    <x v="4"/>
    <x v="3"/>
    <s v="02/11/2025"/>
    <x v="0"/>
    <n v="11"/>
    <x v="10"/>
    <s v="Low"/>
    <n v="1.5740480868182243E-2"/>
  </r>
  <r>
    <s v="ORD100323"/>
    <s v="2025-08-08"/>
    <x v="61"/>
    <x v="2"/>
    <x v="6"/>
    <x v="1"/>
    <x v="7"/>
    <x v="17"/>
    <n v="2711.88"/>
    <n v="9"/>
    <n v="0"/>
    <n v="349.86"/>
    <x v="8"/>
    <x v="1"/>
    <s v="08/08/2025"/>
    <x v="0"/>
    <n v="8"/>
    <x v="11"/>
    <s v="No Discount"/>
    <n v="0.12901013319173416"/>
  </r>
  <r>
    <s v="ORD100324"/>
    <s v="2024-08-03"/>
    <x v="127"/>
    <x v="2"/>
    <x v="3"/>
    <x v="0"/>
    <x v="0"/>
    <x v="22"/>
    <n v="605.46"/>
    <n v="6"/>
    <n v="0.1"/>
    <n v="102.6"/>
    <x v="2"/>
    <x v="0"/>
    <s v="03/08/2024"/>
    <x v="1"/>
    <n v="8"/>
    <x v="11"/>
    <s v="Low"/>
    <n v="0.16945793281141611"/>
  </r>
  <r>
    <s v="ORD100325"/>
    <s v="2025-06-16"/>
    <x v="18"/>
    <x v="3"/>
    <x v="14"/>
    <x v="2"/>
    <x v="4"/>
    <x v="10"/>
    <n v="4686.57"/>
    <n v="7"/>
    <n v="0.2"/>
    <n v="911.78"/>
    <x v="2"/>
    <x v="2"/>
    <s v="16/06/2025"/>
    <x v="0"/>
    <n v="6"/>
    <x v="9"/>
    <s v="Low"/>
    <n v="0.19455166571714497"/>
  </r>
  <r>
    <s v="ORD100326"/>
    <s v="2024-03-07"/>
    <x v="23"/>
    <x v="2"/>
    <x v="6"/>
    <x v="0"/>
    <x v="0"/>
    <x v="22"/>
    <n v="6021.1"/>
    <n v="10"/>
    <n v="0.25"/>
    <n v="1096.19"/>
    <x v="9"/>
    <x v="0"/>
    <s v="07/03/2024"/>
    <x v="1"/>
    <n v="3"/>
    <x v="3"/>
    <s v="Low"/>
    <n v="0.18205809569679959"/>
  </r>
  <r>
    <s v="ORD100327"/>
    <s v="2024-08-08"/>
    <x v="103"/>
    <x v="3"/>
    <x v="15"/>
    <x v="1"/>
    <x v="3"/>
    <x v="14"/>
    <n v="2159.2199999999998"/>
    <n v="2"/>
    <n v="0.1"/>
    <n v="-94.49"/>
    <x v="4"/>
    <x v="2"/>
    <s v="08/08/2024"/>
    <x v="1"/>
    <n v="8"/>
    <x v="11"/>
    <s v="Low"/>
    <n v="-4.3761173016181772E-2"/>
  </r>
  <r>
    <s v="ORD100328"/>
    <s v="2025-09-16"/>
    <x v="131"/>
    <x v="1"/>
    <x v="2"/>
    <x v="1"/>
    <x v="3"/>
    <x v="5"/>
    <n v="130.15"/>
    <n v="1"/>
    <n v="0.25"/>
    <n v="5.98"/>
    <x v="7"/>
    <x v="2"/>
    <s v="16/09/2025"/>
    <x v="0"/>
    <n v="9"/>
    <x v="5"/>
    <s v="Low"/>
    <n v="4.5946984248943529E-2"/>
  </r>
  <r>
    <s v="ORD100329"/>
    <s v="2024-07-31"/>
    <x v="91"/>
    <x v="1"/>
    <x v="2"/>
    <x v="1"/>
    <x v="7"/>
    <x v="9"/>
    <n v="4889.04"/>
    <n v="8"/>
    <n v="0.15"/>
    <n v="-184.21"/>
    <x v="0"/>
    <x v="1"/>
    <s v="31/07/2024"/>
    <x v="1"/>
    <n v="7"/>
    <x v="6"/>
    <s v="Low"/>
    <n v="-3.767815358434376E-2"/>
  </r>
  <r>
    <s v="ORD100330"/>
    <s v="2025-12-16"/>
    <x v="131"/>
    <x v="2"/>
    <x v="6"/>
    <x v="1"/>
    <x v="5"/>
    <x v="15"/>
    <n v="5888.55"/>
    <n v="5"/>
    <n v="0.25"/>
    <n v="-1095.72"/>
    <x v="9"/>
    <x v="3"/>
    <s v="16/12/2025"/>
    <x v="0"/>
    <n v="12"/>
    <x v="4"/>
    <s v="Low"/>
    <n v="-0.18607636854573706"/>
  </r>
  <r>
    <s v="ORD100331"/>
    <s v="2025-06-24"/>
    <x v="88"/>
    <x v="2"/>
    <x v="8"/>
    <x v="2"/>
    <x v="8"/>
    <x v="12"/>
    <n v="756.2"/>
    <n v="2"/>
    <n v="0.15"/>
    <n v="-0.08"/>
    <x v="2"/>
    <x v="1"/>
    <s v="24/06/2025"/>
    <x v="0"/>
    <n v="6"/>
    <x v="9"/>
    <s v="Low"/>
    <n v="-1.057921184871727E-4"/>
  </r>
  <r>
    <s v="ORD100332"/>
    <s v="2024-12-20"/>
    <x v="156"/>
    <x v="2"/>
    <x v="6"/>
    <x v="0"/>
    <x v="2"/>
    <x v="2"/>
    <n v="141.30000000000001"/>
    <n v="2"/>
    <n v="0.1"/>
    <n v="22.34"/>
    <x v="0"/>
    <x v="2"/>
    <s v="20/12/2024"/>
    <x v="1"/>
    <n v="12"/>
    <x v="4"/>
    <s v="Low"/>
    <n v="0.15810332625619247"/>
  </r>
  <r>
    <s v="ORD100333"/>
    <s v="2025-09-02"/>
    <x v="157"/>
    <x v="0"/>
    <x v="7"/>
    <x v="0"/>
    <x v="2"/>
    <x v="11"/>
    <n v="1272.1199999999999"/>
    <n v="6"/>
    <n v="0.3"/>
    <n v="-208.05"/>
    <x v="2"/>
    <x v="0"/>
    <s v="02/09/2025"/>
    <x v="0"/>
    <n v="9"/>
    <x v="5"/>
    <s v="Low"/>
    <n v="-0.16354589189699087"/>
  </r>
  <r>
    <s v="ORD100334"/>
    <s v="2024-05-28"/>
    <x v="158"/>
    <x v="3"/>
    <x v="12"/>
    <x v="0"/>
    <x v="0"/>
    <x v="25"/>
    <n v="2941.89"/>
    <n v="3"/>
    <n v="0.2"/>
    <n v="401.47"/>
    <x v="4"/>
    <x v="1"/>
    <s v="28/05/2024"/>
    <x v="1"/>
    <n v="5"/>
    <x v="7"/>
    <s v="Low"/>
    <n v="0.13646669318023449"/>
  </r>
  <r>
    <s v="ORD100335"/>
    <s v="2024-07-20"/>
    <x v="113"/>
    <x v="2"/>
    <x v="10"/>
    <x v="0"/>
    <x v="2"/>
    <x v="21"/>
    <n v="5631"/>
    <n v="6"/>
    <n v="0.15"/>
    <n v="1267.9100000000001"/>
    <x v="2"/>
    <x v="3"/>
    <s v="20/07/2024"/>
    <x v="1"/>
    <n v="7"/>
    <x v="6"/>
    <s v="Low"/>
    <n v="0.22516604510744095"/>
  </r>
  <r>
    <s v="ORD100336"/>
    <s v="2024-10-28"/>
    <x v="159"/>
    <x v="3"/>
    <x v="12"/>
    <x v="2"/>
    <x v="8"/>
    <x v="20"/>
    <n v="1340.43"/>
    <n v="7"/>
    <n v="0.2"/>
    <n v="64.430000000000007"/>
    <x v="6"/>
    <x v="0"/>
    <s v="28/10/2024"/>
    <x v="1"/>
    <n v="10"/>
    <x v="2"/>
    <s v="Low"/>
    <n v="4.8066665174608149E-2"/>
  </r>
  <r>
    <s v="ORD100337"/>
    <s v="2025-04-21"/>
    <x v="35"/>
    <x v="1"/>
    <x v="2"/>
    <x v="0"/>
    <x v="0"/>
    <x v="25"/>
    <n v="11019.7"/>
    <n v="10"/>
    <n v="0.05"/>
    <n v="3253.1"/>
    <x v="7"/>
    <x v="0"/>
    <s v="21/04/2025"/>
    <x v="0"/>
    <n v="4"/>
    <x v="8"/>
    <s v="High"/>
    <n v="0.29520767353013239"/>
  </r>
  <r>
    <s v="ORD100338"/>
    <s v="2025-05-04"/>
    <x v="78"/>
    <x v="0"/>
    <x v="4"/>
    <x v="2"/>
    <x v="6"/>
    <x v="23"/>
    <n v="10230"/>
    <n v="10"/>
    <n v="0.3"/>
    <n v="-1953.84"/>
    <x v="1"/>
    <x v="2"/>
    <s v="04/05/2025"/>
    <x v="0"/>
    <n v="5"/>
    <x v="7"/>
    <s v="Low"/>
    <n v="-0.19099120234604106"/>
  </r>
  <r>
    <s v="ORD100339"/>
    <s v="2024-09-30"/>
    <x v="160"/>
    <x v="3"/>
    <x v="12"/>
    <x v="2"/>
    <x v="4"/>
    <x v="10"/>
    <n v="3400.11"/>
    <n v="9"/>
    <n v="0.15"/>
    <n v="874.13"/>
    <x v="5"/>
    <x v="0"/>
    <s v="30/09/2024"/>
    <x v="1"/>
    <n v="9"/>
    <x v="5"/>
    <s v="Low"/>
    <n v="0.25708874124660669"/>
  </r>
  <r>
    <s v="ORD100340"/>
    <s v="2024-07-31"/>
    <x v="161"/>
    <x v="0"/>
    <x v="7"/>
    <x v="2"/>
    <x v="6"/>
    <x v="23"/>
    <n v="519.08000000000004"/>
    <n v="2"/>
    <n v="0.05"/>
    <n v="161.53"/>
    <x v="1"/>
    <x v="2"/>
    <s v="31/07/2024"/>
    <x v="1"/>
    <n v="7"/>
    <x v="6"/>
    <s v="High"/>
    <n v="0.31118517376897586"/>
  </r>
  <r>
    <s v="ORD100341"/>
    <s v="2024-10-18"/>
    <x v="24"/>
    <x v="0"/>
    <x v="7"/>
    <x v="1"/>
    <x v="7"/>
    <x v="9"/>
    <n v="936.74"/>
    <n v="2"/>
    <n v="0.25"/>
    <n v="50.32"/>
    <x v="5"/>
    <x v="2"/>
    <s v="18/10/2024"/>
    <x v="1"/>
    <n v="10"/>
    <x v="2"/>
    <s v="Low"/>
    <n v="5.3718214232337684E-2"/>
  </r>
  <r>
    <s v="ORD100342"/>
    <s v="2024-09-29"/>
    <x v="162"/>
    <x v="3"/>
    <x v="14"/>
    <x v="0"/>
    <x v="1"/>
    <x v="19"/>
    <n v="3373.92"/>
    <n v="3"/>
    <n v="0.3"/>
    <n v="-292.88"/>
    <x v="7"/>
    <x v="3"/>
    <s v="29/09/2024"/>
    <x v="1"/>
    <n v="9"/>
    <x v="5"/>
    <s v="Low"/>
    <n v="-8.6807037511262855E-2"/>
  </r>
  <r>
    <s v="ORD100343"/>
    <s v="2025-09-09"/>
    <x v="17"/>
    <x v="3"/>
    <x v="14"/>
    <x v="2"/>
    <x v="4"/>
    <x v="6"/>
    <n v="864.71"/>
    <n v="7"/>
    <n v="0.05"/>
    <n v="171.25"/>
    <x v="6"/>
    <x v="1"/>
    <s v="09/09/2025"/>
    <x v="0"/>
    <n v="9"/>
    <x v="5"/>
    <s v="High"/>
    <n v="0.19804327462386231"/>
  </r>
  <r>
    <s v="ORD100344"/>
    <s v="2025-01-14"/>
    <x v="32"/>
    <x v="2"/>
    <x v="8"/>
    <x v="1"/>
    <x v="3"/>
    <x v="14"/>
    <n v="9461.0400000000009"/>
    <n v="8"/>
    <n v="0.05"/>
    <n v="3596.88"/>
    <x v="7"/>
    <x v="0"/>
    <s v="14/01/2025"/>
    <x v="0"/>
    <n v="1"/>
    <x v="0"/>
    <s v="High"/>
    <n v="0.38017807767433598"/>
  </r>
  <r>
    <s v="ORD100345"/>
    <s v="2024-08-23"/>
    <x v="82"/>
    <x v="1"/>
    <x v="1"/>
    <x v="0"/>
    <x v="0"/>
    <x v="0"/>
    <n v="706.32"/>
    <n v="6"/>
    <n v="0.15"/>
    <n v="175.47"/>
    <x v="5"/>
    <x v="0"/>
    <s v="23/08/2024"/>
    <x v="1"/>
    <n v="8"/>
    <x v="11"/>
    <s v="Low"/>
    <n v="0.24842847434590551"/>
  </r>
  <r>
    <s v="ORD100346"/>
    <s v="2025-04-08"/>
    <x v="163"/>
    <x v="2"/>
    <x v="6"/>
    <x v="2"/>
    <x v="4"/>
    <x v="6"/>
    <n v="617.46"/>
    <n v="3"/>
    <n v="0.05"/>
    <n v="118.29"/>
    <x v="3"/>
    <x v="0"/>
    <s v="08/04/2025"/>
    <x v="0"/>
    <n v="4"/>
    <x v="8"/>
    <s v="High"/>
    <n v="0.19157516276357983"/>
  </r>
  <r>
    <s v="ORD100347"/>
    <s v="2025-08-11"/>
    <x v="125"/>
    <x v="2"/>
    <x v="8"/>
    <x v="2"/>
    <x v="4"/>
    <x v="26"/>
    <n v="5789.45"/>
    <n v="5"/>
    <n v="0.2"/>
    <n v="-442.27"/>
    <x v="3"/>
    <x v="2"/>
    <s v="11/08/2025"/>
    <x v="0"/>
    <n v="8"/>
    <x v="11"/>
    <s v="Low"/>
    <n v="-7.639240342346855E-2"/>
  </r>
  <r>
    <s v="ORD100348"/>
    <s v="2025-12-01"/>
    <x v="159"/>
    <x v="3"/>
    <x v="15"/>
    <x v="0"/>
    <x v="0"/>
    <x v="0"/>
    <n v="71.16"/>
    <n v="1"/>
    <n v="0.2"/>
    <n v="-9.0500000000000007"/>
    <x v="4"/>
    <x v="1"/>
    <s v="01/12/2025"/>
    <x v="0"/>
    <n v="12"/>
    <x v="4"/>
    <s v="Low"/>
    <n v="-0.12717818999437888"/>
  </r>
  <r>
    <s v="ORD100349"/>
    <s v="2025-12-28"/>
    <x v="132"/>
    <x v="3"/>
    <x v="12"/>
    <x v="0"/>
    <x v="0"/>
    <x v="22"/>
    <n v="1045.19"/>
    <n v="1"/>
    <n v="0"/>
    <n v="261.37"/>
    <x v="3"/>
    <x v="3"/>
    <s v="28/12/2025"/>
    <x v="0"/>
    <n v="12"/>
    <x v="4"/>
    <s v="No Discount"/>
    <n v="0.25006936537854363"/>
  </r>
  <r>
    <s v="ORD100350"/>
    <s v="2024-06-27"/>
    <x v="28"/>
    <x v="0"/>
    <x v="9"/>
    <x v="1"/>
    <x v="5"/>
    <x v="15"/>
    <n v="206.46"/>
    <n v="6"/>
    <n v="0"/>
    <n v="89.12"/>
    <x v="3"/>
    <x v="3"/>
    <s v="27/06/2024"/>
    <x v="1"/>
    <n v="6"/>
    <x v="9"/>
    <s v="No Discount"/>
    <n v="0.43165746391552845"/>
  </r>
  <r>
    <s v="ORD100351"/>
    <s v="2025-12-28"/>
    <x v="159"/>
    <x v="2"/>
    <x v="6"/>
    <x v="0"/>
    <x v="2"/>
    <x v="21"/>
    <n v="262.68"/>
    <n v="4"/>
    <n v="0.1"/>
    <n v="83.55"/>
    <x v="2"/>
    <x v="0"/>
    <s v="28/12/2025"/>
    <x v="0"/>
    <n v="12"/>
    <x v="4"/>
    <s v="Low"/>
    <n v="0.31806761078117862"/>
  </r>
  <r>
    <s v="ORD100352"/>
    <s v="2025-10-05"/>
    <x v="122"/>
    <x v="3"/>
    <x v="15"/>
    <x v="2"/>
    <x v="4"/>
    <x v="10"/>
    <n v="4052.93"/>
    <n v="7"/>
    <n v="0.3"/>
    <n v="253.33"/>
    <x v="5"/>
    <x v="0"/>
    <s v="05/10/2025"/>
    <x v="0"/>
    <n v="10"/>
    <x v="2"/>
    <s v="Low"/>
    <n v="6.2505397329832985E-2"/>
  </r>
  <r>
    <s v="ORD100353"/>
    <s v="2024-01-19"/>
    <x v="22"/>
    <x v="1"/>
    <x v="2"/>
    <x v="2"/>
    <x v="8"/>
    <x v="12"/>
    <n v="3228.66"/>
    <n v="9"/>
    <n v="0.1"/>
    <n v="467.87"/>
    <x v="6"/>
    <x v="1"/>
    <s v="19/01/2024"/>
    <x v="1"/>
    <n v="1"/>
    <x v="0"/>
    <s v="Low"/>
    <n v="0.14491151127712426"/>
  </r>
  <r>
    <s v="ORD100354"/>
    <s v="2024-02-17"/>
    <x v="143"/>
    <x v="1"/>
    <x v="5"/>
    <x v="2"/>
    <x v="6"/>
    <x v="13"/>
    <n v="4011.66"/>
    <n v="6"/>
    <n v="0.25"/>
    <n v="-745.53"/>
    <x v="4"/>
    <x v="1"/>
    <s v="17/02/2024"/>
    <x v="1"/>
    <n v="2"/>
    <x v="1"/>
    <s v="Low"/>
    <n v="-0.18584077414337208"/>
  </r>
  <r>
    <s v="ORD100355"/>
    <s v="2024-10-06"/>
    <x v="133"/>
    <x v="2"/>
    <x v="6"/>
    <x v="1"/>
    <x v="3"/>
    <x v="14"/>
    <n v="420.4"/>
    <n v="4"/>
    <n v="0.1"/>
    <n v="79.849999999999994"/>
    <x v="7"/>
    <x v="0"/>
    <s v="06/10/2024"/>
    <x v="1"/>
    <n v="10"/>
    <x v="2"/>
    <s v="Low"/>
    <n v="0.18993815413891532"/>
  </r>
  <r>
    <s v="ORD100356"/>
    <s v="2025-09-02"/>
    <x v="70"/>
    <x v="1"/>
    <x v="11"/>
    <x v="1"/>
    <x v="7"/>
    <x v="9"/>
    <n v="3379.98"/>
    <n v="3"/>
    <n v="0.2"/>
    <n v="-132.01"/>
    <x v="4"/>
    <x v="0"/>
    <s v="02/09/2025"/>
    <x v="0"/>
    <n v="9"/>
    <x v="5"/>
    <s v="Low"/>
    <n v="-3.9056444120971125E-2"/>
  </r>
  <r>
    <s v="ORD100357"/>
    <s v="2025-01-28"/>
    <x v="126"/>
    <x v="3"/>
    <x v="12"/>
    <x v="1"/>
    <x v="5"/>
    <x v="24"/>
    <n v="9321.2000000000007"/>
    <n v="10"/>
    <n v="0.3"/>
    <n v="-2233.0700000000002"/>
    <x v="9"/>
    <x v="0"/>
    <s v="28/01/2025"/>
    <x v="0"/>
    <n v="1"/>
    <x v="0"/>
    <s v="Low"/>
    <n v="-0.23956893962150796"/>
  </r>
  <r>
    <s v="ORD100358"/>
    <s v="2025-06-16"/>
    <x v="31"/>
    <x v="1"/>
    <x v="2"/>
    <x v="0"/>
    <x v="0"/>
    <x v="25"/>
    <n v="1562.48"/>
    <n v="8"/>
    <n v="0"/>
    <n v="549.61"/>
    <x v="0"/>
    <x v="1"/>
    <s v="16/06/2025"/>
    <x v="0"/>
    <n v="6"/>
    <x v="9"/>
    <s v="No Discount"/>
    <n v="0.35175490246275154"/>
  </r>
  <r>
    <s v="ORD100359"/>
    <s v="2025-02-03"/>
    <x v="149"/>
    <x v="2"/>
    <x v="3"/>
    <x v="1"/>
    <x v="3"/>
    <x v="4"/>
    <n v="11197.8"/>
    <n v="10"/>
    <n v="0.3"/>
    <n v="-106.38"/>
    <x v="0"/>
    <x v="3"/>
    <s v="03/02/2025"/>
    <x v="0"/>
    <n v="2"/>
    <x v="1"/>
    <s v="Low"/>
    <n v="-9.5000803729303977E-3"/>
  </r>
  <r>
    <s v="ORD100360"/>
    <s v="2024-03-28"/>
    <x v="19"/>
    <x v="2"/>
    <x v="8"/>
    <x v="0"/>
    <x v="2"/>
    <x v="11"/>
    <n v="190.44"/>
    <n v="6"/>
    <n v="0"/>
    <n v="43.34"/>
    <x v="4"/>
    <x v="1"/>
    <s v="28/03/2024"/>
    <x v="1"/>
    <n v="3"/>
    <x v="3"/>
    <s v="No Discount"/>
    <n v="0.22757823986557449"/>
  </r>
  <r>
    <s v="ORD100361"/>
    <s v="2024-04-09"/>
    <x v="34"/>
    <x v="0"/>
    <x v="4"/>
    <x v="0"/>
    <x v="2"/>
    <x v="11"/>
    <n v="6080.85"/>
    <n v="9"/>
    <n v="0.1"/>
    <n v="80.41"/>
    <x v="1"/>
    <x v="0"/>
    <s v="09/04/2024"/>
    <x v="1"/>
    <n v="4"/>
    <x v="8"/>
    <s v="Low"/>
    <n v="1.3223480270028037E-2"/>
  </r>
  <r>
    <s v="ORD100362"/>
    <s v="2024-03-23"/>
    <x v="118"/>
    <x v="2"/>
    <x v="3"/>
    <x v="0"/>
    <x v="2"/>
    <x v="21"/>
    <n v="920.82"/>
    <n v="3"/>
    <n v="0.15"/>
    <n v="-60.36"/>
    <x v="6"/>
    <x v="3"/>
    <s v="23/03/2024"/>
    <x v="1"/>
    <n v="3"/>
    <x v="3"/>
    <s v="Low"/>
    <n v="-6.555027041115527E-2"/>
  </r>
  <r>
    <s v="ORD100363"/>
    <s v="2025-04-16"/>
    <x v="135"/>
    <x v="1"/>
    <x v="11"/>
    <x v="2"/>
    <x v="8"/>
    <x v="18"/>
    <n v="4115.1000000000004"/>
    <n v="5"/>
    <n v="0.3"/>
    <n v="-766.16"/>
    <x v="4"/>
    <x v="2"/>
    <s v="16/04/2025"/>
    <x v="0"/>
    <n v="4"/>
    <x v="8"/>
    <s v="Low"/>
    <n v="-0.18618259580569121"/>
  </r>
  <r>
    <s v="ORD100364"/>
    <s v="2024-05-13"/>
    <x v="126"/>
    <x v="2"/>
    <x v="10"/>
    <x v="2"/>
    <x v="6"/>
    <x v="13"/>
    <n v="77.81"/>
    <n v="1"/>
    <n v="0"/>
    <n v="32.72"/>
    <x v="1"/>
    <x v="2"/>
    <s v="13/05/2024"/>
    <x v="1"/>
    <n v="5"/>
    <x v="7"/>
    <s v="No Discount"/>
    <n v="0.42051150237758639"/>
  </r>
  <r>
    <s v="ORD100365"/>
    <s v="2025-06-07"/>
    <x v="164"/>
    <x v="1"/>
    <x v="2"/>
    <x v="0"/>
    <x v="1"/>
    <x v="1"/>
    <n v="5690.16"/>
    <n v="8"/>
    <n v="0.05"/>
    <n v="236.39"/>
    <x v="9"/>
    <x v="3"/>
    <s v="07/06/2025"/>
    <x v="0"/>
    <n v="6"/>
    <x v="9"/>
    <s v="High"/>
    <n v="4.1543647278811137E-2"/>
  </r>
  <r>
    <s v="ORD100366"/>
    <s v="2024-08-04"/>
    <x v="165"/>
    <x v="0"/>
    <x v="9"/>
    <x v="0"/>
    <x v="1"/>
    <x v="3"/>
    <n v="2428.11"/>
    <n v="9"/>
    <n v="0.1"/>
    <n v="812.06"/>
    <x v="5"/>
    <x v="2"/>
    <s v="04/08/2024"/>
    <x v="1"/>
    <n v="8"/>
    <x v="11"/>
    <s v="Low"/>
    <n v="0.33444119088509167"/>
  </r>
  <r>
    <s v="ORD100367"/>
    <s v="2025-06-09"/>
    <x v="116"/>
    <x v="2"/>
    <x v="6"/>
    <x v="2"/>
    <x v="6"/>
    <x v="8"/>
    <n v="4051.74"/>
    <n v="7"/>
    <n v="0.2"/>
    <n v="888.98"/>
    <x v="0"/>
    <x v="3"/>
    <s v="09/06/2025"/>
    <x v="0"/>
    <n v="6"/>
    <x v="9"/>
    <s v="Low"/>
    <n v="0.21940697083228441"/>
  </r>
  <r>
    <s v="ORD100368"/>
    <s v="2024-10-23"/>
    <x v="166"/>
    <x v="1"/>
    <x v="2"/>
    <x v="1"/>
    <x v="5"/>
    <x v="15"/>
    <n v="1722.35"/>
    <n v="5"/>
    <n v="0.05"/>
    <n v="585.01"/>
    <x v="7"/>
    <x v="1"/>
    <s v="23/10/2024"/>
    <x v="1"/>
    <n v="10"/>
    <x v="2"/>
    <s v="High"/>
    <n v="0.3396580253723111"/>
  </r>
  <r>
    <s v="ORD100369"/>
    <s v="2025-10-24"/>
    <x v="32"/>
    <x v="1"/>
    <x v="2"/>
    <x v="0"/>
    <x v="1"/>
    <x v="3"/>
    <n v="2599"/>
    <n v="4"/>
    <n v="0.25"/>
    <n v="-200.76"/>
    <x v="6"/>
    <x v="3"/>
    <s v="24/10/2025"/>
    <x v="0"/>
    <n v="10"/>
    <x v="2"/>
    <s v="Low"/>
    <n v="-7.7245094267025777E-2"/>
  </r>
  <r>
    <s v="ORD100370"/>
    <s v="2025-12-06"/>
    <x v="124"/>
    <x v="2"/>
    <x v="10"/>
    <x v="2"/>
    <x v="6"/>
    <x v="23"/>
    <n v="776.03"/>
    <n v="1"/>
    <n v="0.05"/>
    <n v="57.34"/>
    <x v="4"/>
    <x v="2"/>
    <s v="06/12/2025"/>
    <x v="0"/>
    <n v="12"/>
    <x v="4"/>
    <s v="High"/>
    <n v="7.3888896047833205E-2"/>
  </r>
  <r>
    <s v="ORD100371"/>
    <s v="2025-04-24"/>
    <x v="167"/>
    <x v="1"/>
    <x v="1"/>
    <x v="1"/>
    <x v="5"/>
    <x v="15"/>
    <n v="1129.81"/>
    <n v="1"/>
    <n v="0.2"/>
    <n v="5.17"/>
    <x v="5"/>
    <x v="3"/>
    <s v="24/04/2025"/>
    <x v="0"/>
    <n v="4"/>
    <x v="8"/>
    <s v="Low"/>
    <n v="4.5759906532956869E-3"/>
  </r>
  <r>
    <s v="ORD100372"/>
    <s v="2024-09-16"/>
    <x v="137"/>
    <x v="3"/>
    <x v="14"/>
    <x v="2"/>
    <x v="4"/>
    <x v="6"/>
    <n v="1094.04"/>
    <n v="1"/>
    <n v="0.1"/>
    <n v="-33.33"/>
    <x v="2"/>
    <x v="0"/>
    <s v="16/09/2024"/>
    <x v="1"/>
    <n v="9"/>
    <x v="5"/>
    <s v="Low"/>
    <n v="-3.0465065262696062E-2"/>
  </r>
  <r>
    <s v="ORD100373"/>
    <s v="2025-04-17"/>
    <x v="135"/>
    <x v="3"/>
    <x v="13"/>
    <x v="1"/>
    <x v="5"/>
    <x v="15"/>
    <n v="4809.6000000000004"/>
    <n v="9"/>
    <n v="0.3"/>
    <n v="-127.78"/>
    <x v="5"/>
    <x v="2"/>
    <s v="17/04/2025"/>
    <x v="0"/>
    <n v="4"/>
    <x v="8"/>
    <s v="Low"/>
    <n v="-2.6567697937458414E-2"/>
  </r>
  <r>
    <s v="ORD100374"/>
    <s v="2024-02-23"/>
    <x v="69"/>
    <x v="1"/>
    <x v="11"/>
    <x v="2"/>
    <x v="6"/>
    <x v="23"/>
    <n v="1902.42"/>
    <n v="9"/>
    <n v="0.2"/>
    <n v="31.01"/>
    <x v="7"/>
    <x v="3"/>
    <s v="23/02/2024"/>
    <x v="1"/>
    <n v="2"/>
    <x v="1"/>
    <s v="Low"/>
    <n v="1.6300291208040284E-2"/>
  </r>
  <r>
    <s v="ORD100375"/>
    <s v="2025-11-29"/>
    <x v="72"/>
    <x v="1"/>
    <x v="1"/>
    <x v="2"/>
    <x v="4"/>
    <x v="26"/>
    <n v="4467.6000000000004"/>
    <n v="4"/>
    <n v="0.3"/>
    <n v="-892.64"/>
    <x v="6"/>
    <x v="1"/>
    <s v="29/11/2025"/>
    <x v="0"/>
    <n v="11"/>
    <x v="10"/>
    <s v="Low"/>
    <n v="-0.19980302623332435"/>
  </r>
  <r>
    <s v="ORD100376"/>
    <s v="2024-07-19"/>
    <x v="134"/>
    <x v="1"/>
    <x v="2"/>
    <x v="0"/>
    <x v="2"/>
    <x v="21"/>
    <n v="5519.1"/>
    <n v="5"/>
    <n v="0.3"/>
    <n v="-699.89"/>
    <x v="6"/>
    <x v="1"/>
    <s v="19/07/2024"/>
    <x v="1"/>
    <n v="7"/>
    <x v="6"/>
    <s v="Low"/>
    <n v="-0.12681234259208929"/>
  </r>
  <r>
    <s v="ORD100377"/>
    <s v="2024-09-02"/>
    <x v="3"/>
    <x v="1"/>
    <x v="5"/>
    <x v="2"/>
    <x v="8"/>
    <x v="20"/>
    <n v="927.51"/>
    <n v="1"/>
    <n v="0.05"/>
    <n v="166.03"/>
    <x v="1"/>
    <x v="0"/>
    <s v="02/09/2024"/>
    <x v="1"/>
    <n v="9"/>
    <x v="5"/>
    <s v="High"/>
    <n v="0.17900615626785696"/>
  </r>
  <r>
    <s v="ORD100378"/>
    <s v="2024-12-07"/>
    <x v="19"/>
    <x v="1"/>
    <x v="2"/>
    <x v="1"/>
    <x v="3"/>
    <x v="4"/>
    <n v="1457.25"/>
    <n v="5"/>
    <n v="0.05"/>
    <n v="327.16000000000003"/>
    <x v="2"/>
    <x v="3"/>
    <s v="07/12/2024"/>
    <x v="1"/>
    <n v="12"/>
    <x v="4"/>
    <s v="High"/>
    <n v="0.22450506090238465"/>
  </r>
  <r>
    <s v="ORD100379"/>
    <s v="2025-07-19"/>
    <x v="168"/>
    <x v="2"/>
    <x v="6"/>
    <x v="2"/>
    <x v="4"/>
    <x v="6"/>
    <n v="3953.94"/>
    <n v="6"/>
    <n v="0"/>
    <n v="1452.52"/>
    <x v="5"/>
    <x v="2"/>
    <s v="19/07/2025"/>
    <x v="0"/>
    <n v="7"/>
    <x v="6"/>
    <s v="No Discount"/>
    <n v="0.36736015215203061"/>
  </r>
  <r>
    <s v="ORD100380"/>
    <s v="2025-12-17"/>
    <x v="34"/>
    <x v="1"/>
    <x v="1"/>
    <x v="1"/>
    <x v="5"/>
    <x v="7"/>
    <n v="9544.32"/>
    <n v="9"/>
    <n v="0"/>
    <n v="3838.14"/>
    <x v="9"/>
    <x v="2"/>
    <s v="17/12/2025"/>
    <x v="0"/>
    <n v="12"/>
    <x v="4"/>
    <s v="No Discount"/>
    <n v="0.40213865419432709"/>
  </r>
  <r>
    <s v="ORD100381"/>
    <s v="2025-05-26"/>
    <x v="17"/>
    <x v="0"/>
    <x v="7"/>
    <x v="2"/>
    <x v="8"/>
    <x v="12"/>
    <n v="1246"/>
    <n v="2"/>
    <n v="0"/>
    <n v="545.95000000000005"/>
    <x v="2"/>
    <x v="2"/>
    <s v="26/05/2025"/>
    <x v="0"/>
    <n v="5"/>
    <x v="7"/>
    <s v="No Discount"/>
    <n v="0.43816211878009637"/>
  </r>
  <r>
    <s v="ORD100382"/>
    <s v="2025-06-29"/>
    <x v="127"/>
    <x v="3"/>
    <x v="14"/>
    <x v="2"/>
    <x v="6"/>
    <x v="23"/>
    <n v="2544.9899999999998"/>
    <n v="7"/>
    <n v="0"/>
    <n v="242.95"/>
    <x v="0"/>
    <x v="2"/>
    <s v="29/06/2025"/>
    <x v="0"/>
    <n v="6"/>
    <x v="9"/>
    <s v="No Discount"/>
    <n v="9.5462064683947676E-2"/>
  </r>
  <r>
    <s v="ORD100383"/>
    <s v="2024-01-26"/>
    <x v="28"/>
    <x v="2"/>
    <x v="10"/>
    <x v="2"/>
    <x v="6"/>
    <x v="23"/>
    <n v="7918.6"/>
    <n v="10"/>
    <n v="0"/>
    <n v="3551.09"/>
    <x v="0"/>
    <x v="0"/>
    <s v="26/01/2024"/>
    <x v="1"/>
    <n v="1"/>
    <x v="0"/>
    <s v="No Discount"/>
    <n v="0.44844922082186245"/>
  </r>
  <r>
    <s v="ORD100384"/>
    <s v="2024-10-09"/>
    <x v="67"/>
    <x v="1"/>
    <x v="5"/>
    <x v="2"/>
    <x v="8"/>
    <x v="18"/>
    <n v="6563.6"/>
    <n v="8"/>
    <n v="0.3"/>
    <n v="435.24"/>
    <x v="1"/>
    <x v="1"/>
    <s v="09/10/2024"/>
    <x v="1"/>
    <n v="10"/>
    <x v="2"/>
    <s v="Low"/>
    <n v="6.6311170699006647E-2"/>
  </r>
  <r>
    <s v="ORD100385"/>
    <s v="2024-07-20"/>
    <x v="169"/>
    <x v="3"/>
    <x v="13"/>
    <x v="1"/>
    <x v="7"/>
    <x v="16"/>
    <n v="619.22"/>
    <n v="1"/>
    <n v="0.2"/>
    <n v="92.4"/>
    <x v="6"/>
    <x v="3"/>
    <s v="20/07/2024"/>
    <x v="1"/>
    <n v="7"/>
    <x v="6"/>
    <s v="Low"/>
    <n v="0.1492199864345467"/>
  </r>
  <r>
    <s v="ORD100386"/>
    <s v="2024-06-22"/>
    <x v="51"/>
    <x v="1"/>
    <x v="2"/>
    <x v="0"/>
    <x v="1"/>
    <x v="1"/>
    <n v="1987.6"/>
    <n v="4"/>
    <n v="0.3"/>
    <n v="-46.51"/>
    <x v="6"/>
    <x v="1"/>
    <s v="22/06/2024"/>
    <x v="1"/>
    <n v="6"/>
    <x v="9"/>
    <s v="Low"/>
    <n v="-2.3400080499094384E-2"/>
  </r>
  <r>
    <s v="ORD100387"/>
    <s v="2024-01-02"/>
    <x v="18"/>
    <x v="1"/>
    <x v="2"/>
    <x v="0"/>
    <x v="2"/>
    <x v="21"/>
    <n v="2743.74"/>
    <n v="3"/>
    <n v="0.3"/>
    <n v="320.45"/>
    <x v="5"/>
    <x v="0"/>
    <s v="02/01/2024"/>
    <x v="1"/>
    <n v="1"/>
    <x v="0"/>
    <s v="Low"/>
    <n v="0.11679313637589568"/>
  </r>
  <r>
    <s v="ORD100388"/>
    <s v="2025-01-21"/>
    <x v="9"/>
    <x v="3"/>
    <x v="15"/>
    <x v="1"/>
    <x v="5"/>
    <x v="24"/>
    <n v="4763.9399999999996"/>
    <n v="6"/>
    <n v="0.25"/>
    <n v="-311.02"/>
    <x v="0"/>
    <x v="0"/>
    <s v="21/01/2025"/>
    <x v="0"/>
    <n v="1"/>
    <x v="0"/>
    <s v="Low"/>
    <n v="-6.5286296636817426E-2"/>
  </r>
  <r>
    <s v="ORD100389"/>
    <s v="2025-04-27"/>
    <x v="170"/>
    <x v="0"/>
    <x v="9"/>
    <x v="0"/>
    <x v="1"/>
    <x v="3"/>
    <n v="4875.7"/>
    <n v="5"/>
    <n v="0.25"/>
    <n v="314.04000000000002"/>
    <x v="2"/>
    <x v="2"/>
    <s v="27/04/2025"/>
    <x v="0"/>
    <n v="4"/>
    <x v="8"/>
    <s v="Low"/>
    <n v="6.4409213036076884E-2"/>
  </r>
  <r>
    <s v="ORD100390"/>
    <s v="2024-04-10"/>
    <x v="30"/>
    <x v="0"/>
    <x v="4"/>
    <x v="2"/>
    <x v="8"/>
    <x v="12"/>
    <n v="11977.1"/>
    <n v="10"/>
    <n v="0"/>
    <n v="1120.08"/>
    <x v="5"/>
    <x v="1"/>
    <s v="10/04/2024"/>
    <x v="1"/>
    <n v="4"/>
    <x v="8"/>
    <s v="No Discount"/>
    <n v="9.3518464402902193E-2"/>
  </r>
  <r>
    <s v="ORD100391"/>
    <s v="2025-06-25"/>
    <x v="128"/>
    <x v="2"/>
    <x v="8"/>
    <x v="0"/>
    <x v="2"/>
    <x v="11"/>
    <n v="222.84"/>
    <n v="3"/>
    <n v="0.2"/>
    <n v="10.35"/>
    <x v="4"/>
    <x v="2"/>
    <s v="25/06/2025"/>
    <x v="0"/>
    <n v="6"/>
    <x v="9"/>
    <s v="Low"/>
    <n v="4.6445880452342485E-2"/>
  </r>
  <r>
    <s v="ORD100392"/>
    <s v="2025-03-10"/>
    <x v="168"/>
    <x v="1"/>
    <x v="2"/>
    <x v="1"/>
    <x v="5"/>
    <x v="7"/>
    <n v="3795.03"/>
    <n v="9"/>
    <n v="0.15"/>
    <n v="650.94000000000005"/>
    <x v="1"/>
    <x v="1"/>
    <s v="10/03/2025"/>
    <x v="0"/>
    <n v="3"/>
    <x v="3"/>
    <s v="Low"/>
    <n v="0.17152433577600176"/>
  </r>
  <r>
    <s v="ORD100393"/>
    <s v="2025-04-02"/>
    <x v="171"/>
    <x v="1"/>
    <x v="2"/>
    <x v="0"/>
    <x v="2"/>
    <x v="11"/>
    <n v="1673.07"/>
    <n v="7"/>
    <n v="0"/>
    <n v="412"/>
    <x v="8"/>
    <x v="1"/>
    <s v="02/04/2025"/>
    <x v="0"/>
    <n v="4"/>
    <x v="8"/>
    <s v="No Discount"/>
    <n v="0.24625389254484273"/>
  </r>
  <r>
    <s v="ORD100394"/>
    <s v="2024-10-09"/>
    <x v="51"/>
    <x v="2"/>
    <x v="3"/>
    <x v="0"/>
    <x v="2"/>
    <x v="11"/>
    <n v="6213.48"/>
    <n v="6"/>
    <n v="0.15"/>
    <n v="-428.53"/>
    <x v="0"/>
    <x v="1"/>
    <s v="09/10/2024"/>
    <x v="1"/>
    <n v="10"/>
    <x v="2"/>
    <s v="Low"/>
    <n v="-6.8967792605753947E-2"/>
  </r>
  <r>
    <s v="ORD100395"/>
    <s v="2024-04-05"/>
    <x v="119"/>
    <x v="0"/>
    <x v="4"/>
    <x v="2"/>
    <x v="6"/>
    <x v="13"/>
    <n v="7988.48"/>
    <n v="8"/>
    <n v="0.25"/>
    <n v="-360.36"/>
    <x v="7"/>
    <x v="0"/>
    <s v="05/04/2024"/>
    <x v="1"/>
    <n v="4"/>
    <x v="8"/>
    <s v="Low"/>
    <n v="-4.5109958340009616E-2"/>
  </r>
  <r>
    <s v="ORD100396"/>
    <s v="2024-12-10"/>
    <x v="90"/>
    <x v="1"/>
    <x v="5"/>
    <x v="0"/>
    <x v="1"/>
    <x v="1"/>
    <n v="1410"/>
    <n v="6"/>
    <n v="0.15"/>
    <n v="260.58"/>
    <x v="0"/>
    <x v="1"/>
    <s v="10/12/2024"/>
    <x v="1"/>
    <n v="12"/>
    <x v="4"/>
    <s v="Low"/>
    <n v="0.18480851063829787"/>
  </r>
  <r>
    <s v="ORD100397"/>
    <s v="2025-11-06"/>
    <x v="172"/>
    <x v="1"/>
    <x v="5"/>
    <x v="0"/>
    <x v="2"/>
    <x v="21"/>
    <n v="4630.38"/>
    <n v="6"/>
    <n v="0.3"/>
    <n v="94.83"/>
    <x v="6"/>
    <x v="0"/>
    <s v="06/11/2025"/>
    <x v="0"/>
    <n v="11"/>
    <x v="10"/>
    <s v="Low"/>
    <n v="2.0479960607984658E-2"/>
  </r>
  <r>
    <s v="ORD100398"/>
    <s v="2025-12-04"/>
    <x v="18"/>
    <x v="3"/>
    <x v="12"/>
    <x v="1"/>
    <x v="5"/>
    <x v="7"/>
    <n v="4290.4799999999996"/>
    <n v="4"/>
    <n v="0.05"/>
    <n v="1310.92"/>
    <x v="5"/>
    <x v="3"/>
    <s v="04/12/2025"/>
    <x v="0"/>
    <n v="12"/>
    <x v="4"/>
    <s v="High"/>
    <n v="0.30554157110626323"/>
  </r>
  <r>
    <s v="ORD100399"/>
    <s v="2025-12-23"/>
    <x v="130"/>
    <x v="2"/>
    <x v="6"/>
    <x v="0"/>
    <x v="1"/>
    <x v="19"/>
    <n v="9198.16"/>
    <n v="8"/>
    <n v="0.25"/>
    <n v="1113.92"/>
    <x v="9"/>
    <x v="3"/>
    <s v="23/12/2025"/>
    <x v="0"/>
    <n v="12"/>
    <x v="4"/>
    <s v="Low"/>
    <n v="0.1211024813658384"/>
  </r>
  <r>
    <s v="ORD100400"/>
    <s v="2024-03-20"/>
    <x v="157"/>
    <x v="2"/>
    <x v="6"/>
    <x v="1"/>
    <x v="7"/>
    <x v="17"/>
    <n v="1450"/>
    <n v="2"/>
    <n v="0.05"/>
    <n v="512.65"/>
    <x v="9"/>
    <x v="2"/>
    <s v="20/03/2024"/>
    <x v="1"/>
    <n v="3"/>
    <x v="3"/>
    <s v="High"/>
    <n v="0.35355172413793101"/>
  </r>
  <r>
    <s v="ORD100401"/>
    <s v="2025-10-27"/>
    <x v="1"/>
    <x v="0"/>
    <x v="7"/>
    <x v="1"/>
    <x v="3"/>
    <x v="5"/>
    <n v="3355.24"/>
    <n v="4"/>
    <n v="0"/>
    <n v="753.71"/>
    <x v="2"/>
    <x v="0"/>
    <s v="27/10/2025"/>
    <x v="0"/>
    <n v="10"/>
    <x v="2"/>
    <s v="No Discount"/>
    <n v="0.22463668768851114"/>
  </r>
  <r>
    <s v="ORD100402"/>
    <s v="2024-04-21"/>
    <x v="29"/>
    <x v="0"/>
    <x v="4"/>
    <x v="2"/>
    <x v="4"/>
    <x v="26"/>
    <n v="1529.88"/>
    <n v="6"/>
    <n v="0.25"/>
    <n v="165.97"/>
    <x v="2"/>
    <x v="0"/>
    <s v="21/04/2024"/>
    <x v="1"/>
    <n v="4"/>
    <x v="8"/>
    <s v="Low"/>
    <n v="0.10848563286009359"/>
  </r>
  <r>
    <s v="ORD100403"/>
    <s v="2024-09-12"/>
    <x v="147"/>
    <x v="3"/>
    <x v="13"/>
    <x v="2"/>
    <x v="4"/>
    <x v="10"/>
    <n v="7087.14"/>
    <n v="9"/>
    <n v="0.15"/>
    <n v="804.4"/>
    <x v="4"/>
    <x v="2"/>
    <s v="12/09/2024"/>
    <x v="1"/>
    <n v="9"/>
    <x v="5"/>
    <s v="Low"/>
    <n v="0.11350135597716426"/>
  </r>
  <r>
    <s v="ORD100404"/>
    <s v="2025-01-06"/>
    <x v="169"/>
    <x v="2"/>
    <x v="10"/>
    <x v="0"/>
    <x v="0"/>
    <x v="22"/>
    <n v="3653.12"/>
    <n v="4"/>
    <n v="0.15"/>
    <n v="-154.34"/>
    <x v="6"/>
    <x v="2"/>
    <s v="06/01/2025"/>
    <x v="0"/>
    <n v="1"/>
    <x v="0"/>
    <s v="Low"/>
    <n v="-4.2248817449194113E-2"/>
  </r>
  <r>
    <s v="ORD100405"/>
    <s v="2024-07-26"/>
    <x v="46"/>
    <x v="0"/>
    <x v="4"/>
    <x v="2"/>
    <x v="8"/>
    <x v="20"/>
    <n v="1387.9"/>
    <n v="2"/>
    <n v="0.05"/>
    <n v="263.99"/>
    <x v="3"/>
    <x v="3"/>
    <s v="26/07/2024"/>
    <x v="1"/>
    <n v="7"/>
    <x v="6"/>
    <s v="High"/>
    <n v="0.19020822825852007"/>
  </r>
  <r>
    <s v="ORD100406"/>
    <s v="2024-09-10"/>
    <x v="118"/>
    <x v="3"/>
    <x v="14"/>
    <x v="1"/>
    <x v="5"/>
    <x v="24"/>
    <n v="2789.7"/>
    <n v="3"/>
    <n v="0.05"/>
    <n v="1084.24"/>
    <x v="1"/>
    <x v="1"/>
    <s v="10/09/2024"/>
    <x v="1"/>
    <n v="9"/>
    <x v="5"/>
    <s v="High"/>
    <n v="0.38865827866795716"/>
  </r>
  <r>
    <s v="ORD100407"/>
    <s v="2024-12-19"/>
    <x v="131"/>
    <x v="3"/>
    <x v="15"/>
    <x v="0"/>
    <x v="2"/>
    <x v="21"/>
    <n v="1766.78"/>
    <n v="2"/>
    <n v="0.2"/>
    <n v="400.92"/>
    <x v="1"/>
    <x v="3"/>
    <s v="19/12/2024"/>
    <x v="1"/>
    <n v="12"/>
    <x v="4"/>
    <s v="Low"/>
    <n v="0.22692129184165546"/>
  </r>
  <r>
    <s v="ORD100408"/>
    <s v="2024-07-21"/>
    <x v="116"/>
    <x v="3"/>
    <x v="15"/>
    <x v="2"/>
    <x v="8"/>
    <x v="12"/>
    <n v="452.67"/>
    <n v="3"/>
    <n v="0.2"/>
    <n v="-36.07"/>
    <x v="5"/>
    <x v="0"/>
    <s v="21/07/2024"/>
    <x v="1"/>
    <n v="7"/>
    <x v="6"/>
    <s v="Low"/>
    <n v="-7.968277111361477E-2"/>
  </r>
  <r>
    <s v="ORD100409"/>
    <s v="2025-03-06"/>
    <x v="106"/>
    <x v="3"/>
    <x v="15"/>
    <x v="0"/>
    <x v="2"/>
    <x v="21"/>
    <n v="4280.8999999999996"/>
    <n v="5"/>
    <n v="0.2"/>
    <n v="-253.87"/>
    <x v="3"/>
    <x v="2"/>
    <s v="06/03/2025"/>
    <x v="0"/>
    <n v="3"/>
    <x v="3"/>
    <s v="Low"/>
    <n v="-5.9302950314186274E-2"/>
  </r>
  <r>
    <s v="ORD100410"/>
    <s v="2025-04-20"/>
    <x v="120"/>
    <x v="3"/>
    <x v="12"/>
    <x v="0"/>
    <x v="1"/>
    <x v="3"/>
    <n v="2076.1999999999998"/>
    <n v="5"/>
    <n v="0.15"/>
    <n v="-31.49"/>
    <x v="7"/>
    <x v="1"/>
    <s v="20/04/2025"/>
    <x v="0"/>
    <n v="4"/>
    <x v="8"/>
    <s v="Low"/>
    <n v="-1.516713226086119E-2"/>
  </r>
  <r>
    <s v="ORD100411"/>
    <s v="2024-08-09"/>
    <x v="142"/>
    <x v="0"/>
    <x v="4"/>
    <x v="2"/>
    <x v="4"/>
    <x v="26"/>
    <n v="42.26"/>
    <n v="1"/>
    <n v="0.2"/>
    <n v="4.16"/>
    <x v="3"/>
    <x v="3"/>
    <s v="09/08/2024"/>
    <x v="1"/>
    <n v="8"/>
    <x v="11"/>
    <s v="Low"/>
    <n v="9.8438239469947952E-2"/>
  </r>
  <r>
    <s v="ORD100412"/>
    <s v="2025-06-09"/>
    <x v="8"/>
    <x v="0"/>
    <x v="0"/>
    <x v="1"/>
    <x v="5"/>
    <x v="24"/>
    <n v="3026.55"/>
    <n v="5"/>
    <n v="0.05"/>
    <n v="482.88"/>
    <x v="6"/>
    <x v="0"/>
    <s v="09/06/2025"/>
    <x v="0"/>
    <n v="6"/>
    <x v="9"/>
    <s v="High"/>
    <n v="0.15954800019824553"/>
  </r>
  <r>
    <s v="ORD100413"/>
    <s v="2024-08-03"/>
    <x v="11"/>
    <x v="2"/>
    <x v="3"/>
    <x v="0"/>
    <x v="1"/>
    <x v="1"/>
    <n v="8243.84"/>
    <n v="8"/>
    <n v="0.3"/>
    <n v="-43.28"/>
    <x v="0"/>
    <x v="1"/>
    <s v="03/08/2024"/>
    <x v="1"/>
    <n v="8"/>
    <x v="11"/>
    <s v="Low"/>
    <n v="-5.2499805915689774E-3"/>
  </r>
  <r>
    <s v="ORD100414"/>
    <s v="2024-12-04"/>
    <x v="173"/>
    <x v="0"/>
    <x v="4"/>
    <x v="1"/>
    <x v="5"/>
    <x v="15"/>
    <n v="3262.12"/>
    <n v="4"/>
    <n v="0.25"/>
    <n v="322.81"/>
    <x v="0"/>
    <x v="3"/>
    <s v="04/12/2024"/>
    <x v="1"/>
    <n v="12"/>
    <x v="4"/>
    <s v="Low"/>
    <n v="9.895711990975195E-2"/>
  </r>
  <r>
    <s v="ORD100415"/>
    <s v="2025-07-04"/>
    <x v="72"/>
    <x v="0"/>
    <x v="0"/>
    <x v="1"/>
    <x v="5"/>
    <x v="7"/>
    <n v="752.89"/>
    <n v="1"/>
    <n v="0.25"/>
    <n v="-149.37"/>
    <x v="0"/>
    <x v="0"/>
    <s v="04/07/2025"/>
    <x v="0"/>
    <n v="7"/>
    <x v="6"/>
    <s v="Low"/>
    <n v="-0.19839551594522442"/>
  </r>
  <r>
    <s v="ORD100416"/>
    <s v="2025-08-03"/>
    <x v="69"/>
    <x v="1"/>
    <x v="2"/>
    <x v="1"/>
    <x v="5"/>
    <x v="24"/>
    <n v="508.69"/>
    <n v="1"/>
    <n v="0.3"/>
    <n v="74.569999999999993"/>
    <x v="6"/>
    <x v="2"/>
    <s v="03/08/2025"/>
    <x v="0"/>
    <n v="8"/>
    <x v="11"/>
    <s v="Low"/>
    <n v="0.14659222709312153"/>
  </r>
  <r>
    <s v="ORD100417"/>
    <s v="2025-12-22"/>
    <x v="66"/>
    <x v="1"/>
    <x v="2"/>
    <x v="0"/>
    <x v="0"/>
    <x v="0"/>
    <n v="4004.96"/>
    <n v="4"/>
    <n v="0.15"/>
    <n v="1040.3800000000001"/>
    <x v="0"/>
    <x v="3"/>
    <s v="22/12/2025"/>
    <x v="0"/>
    <n v="12"/>
    <x v="4"/>
    <s v="Low"/>
    <n v="0.2597728816267828"/>
  </r>
  <r>
    <s v="ORD100418"/>
    <s v="2024-05-16"/>
    <x v="144"/>
    <x v="3"/>
    <x v="15"/>
    <x v="0"/>
    <x v="2"/>
    <x v="2"/>
    <n v="902.06"/>
    <n v="1"/>
    <n v="0.2"/>
    <n v="123.53"/>
    <x v="0"/>
    <x v="0"/>
    <s v="16/05/2024"/>
    <x v="1"/>
    <n v="5"/>
    <x v="7"/>
    <s v="Low"/>
    <n v="0.13694211028091258"/>
  </r>
  <r>
    <s v="ORD100419"/>
    <s v="2025-03-09"/>
    <x v="156"/>
    <x v="2"/>
    <x v="8"/>
    <x v="0"/>
    <x v="0"/>
    <x v="22"/>
    <n v="408.2"/>
    <n v="5"/>
    <n v="0.15"/>
    <n v="38.76"/>
    <x v="6"/>
    <x v="1"/>
    <s v="09/03/2025"/>
    <x v="0"/>
    <n v="3"/>
    <x v="3"/>
    <s v="Low"/>
    <n v="9.4953454189122974E-2"/>
  </r>
  <r>
    <s v="ORD100420"/>
    <s v="2025-03-22"/>
    <x v="21"/>
    <x v="0"/>
    <x v="4"/>
    <x v="0"/>
    <x v="2"/>
    <x v="11"/>
    <n v="3865.2"/>
    <n v="10"/>
    <n v="0.05"/>
    <n v="625.72"/>
    <x v="3"/>
    <x v="3"/>
    <s v="22/03/2025"/>
    <x v="0"/>
    <n v="3"/>
    <x v="3"/>
    <s v="High"/>
    <n v="0.16188554279209358"/>
  </r>
  <r>
    <s v="ORD100421"/>
    <s v="2024-12-02"/>
    <x v="174"/>
    <x v="3"/>
    <x v="12"/>
    <x v="0"/>
    <x v="0"/>
    <x v="25"/>
    <n v="2394.36"/>
    <n v="3"/>
    <n v="0"/>
    <n v="261.64999999999998"/>
    <x v="5"/>
    <x v="1"/>
    <s v="02/12/2024"/>
    <x v="1"/>
    <n v="12"/>
    <x v="4"/>
    <s v="No Discount"/>
    <n v="0.10927763577741023"/>
  </r>
  <r>
    <s v="ORD100422"/>
    <s v="2025-11-06"/>
    <x v="121"/>
    <x v="1"/>
    <x v="2"/>
    <x v="1"/>
    <x v="5"/>
    <x v="7"/>
    <n v="146.54"/>
    <n v="1"/>
    <n v="0.05"/>
    <n v="36.44"/>
    <x v="8"/>
    <x v="2"/>
    <s v="06/11/2025"/>
    <x v="0"/>
    <n v="11"/>
    <x v="10"/>
    <s v="High"/>
    <n v="0.24866930530913062"/>
  </r>
  <r>
    <s v="ORD100423"/>
    <s v="2025-08-22"/>
    <x v="175"/>
    <x v="3"/>
    <x v="15"/>
    <x v="2"/>
    <x v="4"/>
    <x v="26"/>
    <n v="5529.66"/>
    <n v="6"/>
    <n v="0.05"/>
    <n v="1605.49"/>
    <x v="6"/>
    <x v="0"/>
    <s v="22/08/2025"/>
    <x v="0"/>
    <n v="8"/>
    <x v="11"/>
    <s v="High"/>
    <n v="0.29034153998618362"/>
  </r>
  <r>
    <s v="ORD100424"/>
    <s v="2025-05-14"/>
    <x v="77"/>
    <x v="3"/>
    <x v="13"/>
    <x v="2"/>
    <x v="8"/>
    <x v="12"/>
    <n v="1571.43"/>
    <n v="3"/>
    <n v="0"/>
    <n v="649.99"/>
    <x v="4"/>
    <x v="3"/>
    <s v="14/05/2025"/>
    <x v="0"/>
    <n v="5"/>
    <x v="7"/>
    <s v="No Discount"/>
    <n v="0.41362962397306913"/>
  </r>
  <r>
    <s v="ORD100425"/>
    <s v="2025-09-18"/>
    <x v="132"/>
    <x v="3"/>
    <x v="12"/>
    <x v="1"/>
    <x v="3"/>
    <x v="5"/>
    <n v="207.7"/>
    <n v="10"/>
    <n v="0"/>
    <n v="43.11"/>
    <x v="8"/>
    <x v="2"/>
    <s v="18/09/2025"/>
    <x v="0"/>
    <n v="9"/>
    <x v="5"/>
    <s v="No Discount"/>
    <n v="0.20755897929706307"/>
  </r>
  <r>
    <s v="ORD100426"/>
    <s v="2024-03-01"/>
    <x v="131"/>
    <x v="0"/>
    <x v="4"/>
    <x v="2"/>
    <x v="4"/>
    <x v="26"/>
    <n v="11497.1"/>
    <n v="10"/>
    <n v="0"/>
    <n v="1824.67"/>
    <x v="6"/>
    <x v="0"/>
    <s v="01/03/2024"/>
    <x v="1"/>
    <n v="3"/>
    <x v="3"/>
    <s v="No Discount"/>
    <n v="0.15870697828147967"/>
  </r>
  <r>
    <s v="ORD100427"/>
    <s v="2024-02-17"/>
    <x v="52"/>
    <x v="3"/>
    <x v="15"/>
    <x v="2"/>
    <x v="4"/>
    <x v="10"/>
    <n v="507.81"/>
    <n v="3"/>
    <n v="0.25"/>
    <n v="52.99"/>
    <x v="1"/>
    <x v="0"/>
    <s v="17/02/2024"/>
    <x v="1"/>
    <n v="2"/>
    <x v="1"/>
    <s v="Low"/>
    <n v="0.1043500521848723"/>
  </r>
  <r>
    <s v="ORD100428"/>
    <s v="2024-04-15"/>
    <x v="176"/>
    <x v="2"/>
    <x v="10"/>
    <x v="2"/>
    <x v="6"/>
    <x v="13"/>
    <n v="1157.32"/>
    <n v="2"/>
    <n v="0"/>
    <n v="466.51"/>
    <x v="2"/>
    <x v="2"/>
    <s v="15/04/2024"/>
    <x v="1"/>
    <n v="4"/>
    <x v="8"/>
    <s v="No Discount"/>
    <n v="0.40309508174057307"/>
  </r>
  <r>
    <s v="ORD100429"/>
    <s v="2025-09-05"/>
    <x v="3"/>
    <x v="1"/>
    <x v="1"/>
    <x v="0"/>
    <x v="1"/>
    <x v="19"/>
    <n v="3190.4"/>
    <n v="10"/>
    <n v="0.1"/>
    <n v="736.8"/>
    <x v="7"/>
    <x v="1"/>
    <s v="05/09/2025"/>
    <x v="0"/>
    <n v="9"/>
    <x v="5"/>
    <s v="Low"/>
    <n v="0.23094282848545636"/>
  </r>
  <r>
    <s v="ORD100430"/>
    <s v="2025-12-30"/>
    <x v="177"/>
    <x v="2"/>
    <x v="10"/>
    <x v="2"/>
    <x v="8"/>
    <x v="12"/>
    <n v="1805.22"/>
    <n v="6"/>
    <n v="0"/>
    <n v="175.7"/>
    <x v="0"/>
    <x v="2"/>
    <s v="30/12/2025"/>
    <x v="0"/>
    <n v="12"/>
    <x v="4"/>
    <s v="No Discount"/>
    <n v="9.732885742457982E-2"/>
  </r>
  <r>
    <s v="ORD100431"/>
    <s v="2025-06-07"/>
    <x v="58"/>
    <x v="2"/>
    <x v="8"/>
    <x v="0"/>
    <x v="0"/>
    <x v="25"/>
    <n v="10047.69"/>
    <n v="9"/>
    <n v="0.3"/>
    <n v="844.44"/>
    <x v="7"/>
    <x v="3"/>
    <s v="07/06/2025"/>
    <x v="0"/>
    <n v="6"/>
    <x v="9"/>
    <s v="Low"/>
    <n v="8.4043197988791452E-2"/>
  </r>
  <r>
    <s v="ORD100432"/>
    <s v="2025-10-21"/>
    <x v="28"/>
    <x v="0"/>
    <x v="4"/>
    <x v="2"/>
    <x v="6"/>
    <x v="8"/>
    <n v="1361.52"/>
    <n v="4"/>
    <n v="0.25"/>
    <n v="85.72"/>
    <x v="9"/>
    <x v="3"/>
    <s v="21/10/2025"/>
    <x v="0"/>
    <n v="10"/>
    <x v="2"/>
    <s v="Low"/>
    <n v="6.295904577237206E-2"/>
  </r>
  <r>
    <s v="ORD100433"/>
    <s v="2024-04-14"/>
    <x v="111"/>
    <x v="3"/>
    <x v="14"/>
    <x v="1"/>
    <x v="5"/>
    <x v="24"/>
    <n v="126.08"/>
    <n v="8"/>
    <n v="0"/>
    <n v="44.9"/>
    <x v="4"/>
    <x v="1"/>
    <s v="14/04/2024"/>
    <x v="1"/>
    <n v="4"/>
    <x v="8"/>
    <s v="No Discount"/>
    <n v="0.35612309644670048"/>
  </r>
  <r>
    <s v="ORD100434"/>
    <s v="2024-12-17"/>
    <x v="123"/>
    <x v="2"/>
    <x v="10"/>
    <x v="2"/>
    <x v="4"/>
    <x v="26"/>
    <n v="2997.76"/>
    <n v="4"/>
    <n v="0"/>
    <n v="1220.96"/>
    <x v="5"/>
    <x v="1"/>
    <s v="17/12/2024"/>
    <x v="1"/>
    <n v="12"/>
    <x v="4"/>
    <s v="No Discount"/>
    <n v="0.40729077711357814"/>
  </r>
  <r>
    <s v="ORD100435"/>
    <s v="2024-01-30"/>
    <x v="103"/>
    <x v="3"/>
    <x v="12"/>
    <x v="0"/>
    <x v="2"/>
    <x v="21"/>
    <n v="63.45"/>
    <n v="3"/>
    <n v="0"/>
    <n v="11.62"/>
    <x v="3"/>
    <x v="0"/>
    <s v="30/01/2024"/>
    <x v="1"/>
    <n v="1"/>
    <x v="0"/>
    <s v="No Discount"/>
    <n v="0.18313632781717887"/>
  </r>
  <r>
    <s v="ORD100436"/>
    <s v="2025-02-05"/>
    <x v="48"/>
    <x v="1"/>
    <x v="2"/>
    <x v="2"/>
    <x v="4"/>
    <x v="26"/>
    <n v="1024.6099999999999"/>
    <n v="1"/>
    <n v="0.1"/>
    <n v="-12.82"/>
    <x v="9"/>
    <x v="0"/>
    <s v="05/02/2025"/>
    <x v="0"/>
    <n v="2"/>
    <x v="1"/>
    <s v="Low"/>
    <n v="-1.2512077766174448E-2"/>
  </r>
  <r>
    <s v="ORD100437"/>
    <s v="2024-06-08"/>
    <x v="75"/>
    <x v="2"/>
    <x v="3"/>
    <x v="0"/>
    <x v="0"/>
    <x v="0"/>
    <n v="2362.48"/>
    <n v="2"/>
    <n v="0.25"/>
    <n v="418.07"/>
    <x v="1"/>
    <x v="1"/>
    <s v="08/06/2024"/>
    <x v="1"/>
    <n v="6"/>
    <x v="9"/>
    <s v="Low"/>
    <n v="0.17696234465476957"/>
  </r>
  <r>
    <s v="ORD100438"/>
    <s v="2024-08-28"/>
    <x v="33"/>
    <x v="1"/>
    <x v="11"/>
    <x v="1"/>
    <x v="7"/>
    <x v="17"/>
    <n v="9152.64"/>
    <n v="9"/>
    <n v="0.15"/>
    <n v="1847.76"/>
    <x v="5"/>
    <x v="2"/>
    <s v="28/08/2024"/>
    <x v="1"/>
    <n v="8"/>
    <x v="11"/>
    <s v="Low"/>
    <n v="0.20188273547304386"/>
  </r>
  <r>
    <s v="ORD100439"/>
    <s v="2024-05-25"/>
    <x v="149"/>
    <x v="3"/>
    <x v="14"/>
    <x v="2"/>
    <x v="6"/>
    <x v="8"/>
    <n v="4602.1499999999996"/>
    <n v="5"/>
    <n v="0"/>
    <n v="310.10000000000002"/>
    <x v="8"/>
    <x v="3"/>
    <s v="25/05/2024"/>
    <x v="1"/>
    <n v="5"/>
    <x v="7"/>
    <s v="No Discount"/>
    <n v="6.7381549927751166E-2"/>
  </r>
  <r>
    <s v="ORD100440"/>
    <s v="2024-02-03"/>
    <x v="7"/>
    <x v="3"/>
    <x v="13"/>
    <x v="0"/>
    <x v="2"/>
    <x v="11"/>
    <n v="6929.34"/>
    <n v="6"/>
    <n v="0.1"/>
    <n v="487.61"/>
    <x v="7"/>
    <x v="1"/>
    <s v="03/02/2024"/>
    <x v="1"/>
    <n v="2"/>
    <x v="1"/>
    <s v="Low"/>
    <n v="7.0368895161732573E-2"/>
  </r>
  <r>
    <s v="ORD100441"/>
    <s v="2024-11-08"/>
    <x v="156"/>
    <x v="2"/>
    <x v="6"/>
    <x v="1"/>
    <x v="3"/>
    <x v="14"/>
    <n v="75.260000000000005"/>
    <n v="2"/>
    <n v="0.3"/>
    <n v="5.72"/>
    <x v="0"/>
    <x v="2"/>
    <s v="08/11/2024"/>
    <x v="1"/>
    <n v="11"/>
    <x v="10"/>
    <s v="Low"/>
    <n v="7.6003188944990696E-2"/>
  </r>
  <r>
    <s v="ORD100442"/>
    <s v="2025-11-27"/>
    <x v="50"/>
    <x v="1"/>
    <x v="11"/>
    <x v="2"/>
    <x v="6"/>
    <x v="23"/>
    <n v="1335.36"/>
    <n v="8"/>
    <n v="0.25"/>
    <n v="-219.81"/>
    <x v="9"/>
    <x v="0"/>
    <s v="27/11/2025"/>
    <x v="0"/>
    <n v="11"/>
    <x v="10"/>
    <s v="Low"/>
    <n v="-0.1646072969086988"/>
  </r>
  <r>
    <s v="ORD100443"/>
    <s v="2024-06-28"/>
    <x v="92"/>
    <x v="0"/>
    <x v="7"/>
    <x v="1"/>
    <x v="5"/>
    <x v="15"/>
    <n v="4524.84"/>
    <n v="6"/>
    <n v="0.1"/>
    <n v="1406.57"/>
    <x v="8"/>
    <x v="0"/>
    <s v="28/06/2024"/>
    <x v="1"/>
    <n v="6"/>
    <x v="9"/>
    <s v="Low"/>
    <n v="0.31085519045977311"/>
  </r>
  <r>
    <s v="ORD100444"/>
    <s v="2025-09-06"/>
    <x v="54"/>
    <x v="2"/>
    <x v="10"/>
    <x v="0"/>
    <x v="2"/>
    <x v="21"/>
    <n v="430.1"/>
    <n v="5"/>
    <n v="0"/>
    <n v="67.08"/>
    <x v="1"/>
    <x v="0"/>
    <s v="06/09/2025"/>
    <x v="0"/>
    <n v="9"/>
    <x v="5"/>
    <s v="No Discount"/>
    <n v="0.15596372936526387"/>
  </r>
  <r>
    <s v="ORD100445"/>
    <s v="2025-07-18"/>
    <x v="30"/>
    <x v="3"/>
    <x v="14"/>
    <x v="2"/>
    <x v="4"/>
    <x v="10"/>
    <n v="1966.5"/>
    <n v="6"/>
    <n v="0"/>
    <n v="320.10000000000002"/>
    <x v="2"/>
    <x v="3"/>
    <s v="18/07/2025"/>
    <x v="0"/>
    <n v="7"/>
    <x v="6"/>
    <s v="No Discount"/>
    <n v="0.16277650648360031"/>
  </r>
  <r>
    <s v="ORD100446"/>
    <s v="2024-02-28"/>
    <x v="124"/>
    <x v="1"/>
    <x v="2"/>
    <x v="1"/>
    <x v="5"/>
    <x v="7"/>
    <n v="1505.16"/>
    <n v="3"/>
    <n v="0.25"/>
    <n v="193.35"/>
    <x v="5"/>
    <x v="1"/>
    <s v="28/02/2024"/>
    <x v="1"/>
    <n v="2"/>
    <x v="1"/>
    <s v="Low"/>
    <n v="0.12845810412182093"/>
  </r>
  <r>
    <s v="ORD100447"/>
    <s v="2025-01-29"/>
    <x v="47"/>
    <x v="0"/>
    <x v="7"/>
    <x v="1"/>
    <x v="5"/>
    <x v="7"/>
    <n v="2534.1999999999998"/>
    <n v="4"/>
    <n v="0"/>
    <n v="671.25"/>
    <x v="5"/>
    <x v="3"/>
    <s v="29/01/2025"/>
    <x v="0"/>
    <n v="1"/>
    <x v="0"/>
    <s v="No Discount"/>
    <n v="0.26487648962197147"/>
  </r>
  <r>
    <s v="ORD100448"/>
    <s v="2025-04-17"/>
    <x v="14"/>
    <x v="0"/>
    <x v="0"/>
    <x v="2"/>
    <x v="4"/>
    <x v="10"/>
    <n v="4651.3"/>
    <n v="5"/>
    <n v="0.1"/>
    <n v="821.47"/>
    <x v="6"/>
    <x v="1"/>
    <s v="17/04/2025"/>
    <x v="0"/>
    <n v="4"/>
    <x v="8"/>
    <s v="Low"/>
    <n v="0.17661083998022059"/>
  </r>
  <r>
    <s v="ORD100449"/>
    <s v="2024-06-01"/>
    <x v="14"/>
    <x v="2"/>
    <x v="8"/>
    <x v="1"/>
    <x v="7"/>
    <x v="16"/>
    <n v="1077.27"/>
    <n v="1"/>
    <n v="0.05"/>
    <n v="312.87"/>
    <x v="5"/>
    <x v="0"/>
    <s v="01/06/2024"/>
    <x v="1"/>
    <n v="6"/>
    <x v="9"/>
    <s v="High"/>
    <n v="0.29042858336350219"/>
  </r>
  <r>
    <s v="ORD100450"/>
    <s v="2024-11-17"/>
    <x v="75"/>
    <x v="0"/>
    <x v="0"/>
    <x v="1"/>
    <x v="7"/>
    <x v="16"/>
    <n v="1477.42"/>
    <n v="7"/>
    <n v="0.1"/>
    <n v="-62.15"/>
    <x v="4"/>
    <x v="1"/>
    <s v="17/11/2024"/>
    <x v="1"/>
    <n v="11"/>
    <x v="10"/>
    <s v="Low"/>
    <n v="-4.2066575516779246E-2"/>
  </r>
  <r>
    <s v="ORD100451"/>
    <s v="2025-05-11"/>
    <x v="178"/>
    <x v="2"/>
    <x v="6"/>
    <x v="0"/>
    <x v="1"/>
    <x v="1"/>
    <n v="4982.25"/>
    <n v="5"/>
    <n v="0.2"/>
    <n v="572.66999999999996"/>
    <x v="9"/>
    <x v="2"/>
    <s v="11/05/2025"/>
    <x v="0"/>
    <n v="5"/>
    <x v="7"/>
    <s v="Low"/>
    <n v="0.11494204425711274"/>
  </r>
  <r>
    <s v="ORD100452"/>
    <s v="2024-11-28"/>
    <x v="157"/>
    <x v="3"/>
    <x v="13"/>
    <x v="2"/>
    <x v="4"/>
    <x v="6"/>
    <n v="6558.93"/>
    <n v="7"/>
    <n v="0"/>
    <n v="1672.78"/>
    <x v="8"/>
    <x v="1"/>
    <s v="28/11/2024"/>
    <x v="1"/>
    <n v="11"/>
    <x v="10"/>
    <s v="No Discount"/>
    <n v="0.25503855049527896"/>
  </r>
  <r>
    <s v="ORD100453"/>
    <s v="2024-03-30"/>
    <x v="37"/>
    <x v="2"/>
    <x v="6"/>
    <x v="2"/>
    <x v="6"/>
    <x v="8"/>
    <n v="6373.86"/>
    <n v="6"/>
    <n v="0.2"/>
    <n v="1428.36"/>
    <x v="1"/>
    <x v="2"/>
    <s v="30/03/2024"/>
    <x v="1"/>
    <n v="3"/>
    <x v="3"/>
    <s v="Low"/>
    <n v="0.22409654432322015"/>
  </r>
  <r>
    <s v="ORD100454"/>
    <s v="2024-12-13"/>
    <x v="179"/>
    <x v="1"/>
    <x v="1"/>
    <x v="0"/>
    <x v="2"/>
    <x v="21"/>
    <n v="4868.58"/>
    <n v="6"/>
    <n v="0.05"/>
    <n v="1377.81"/>
    <x v="6"/>
    <x v="2"/>
    <s v="13/12/2024"/>
    <x v="1"/>
    <n v="12"/>
    <x v="4"/>
    <s v="High"/>
    <n v="0.2830003820415809"/>
  </r>
  <r>
    <s v="ORD100455"/>
    <s v="2024-08-18"/>
    <x v="41"/>
    <x v="0"/>
    <x v="9"/>
    <x v="2"/>
    <x v="8"/>
    <x v="20"/>
    <n v="5996.94"/>
    <n v="6"/>
    <n v="0.25"/>
    <n v="368.3"/>
    <x v="8"/>
    <x v="2"/>
    <s v="18/08/2024"/>
    <x v="1"/>
    <n v="8"/>
    <x v="11"/>
    <s v="Low"/>
    <n v="6.1414654807285057E-2"/>
  </r>
  <r>
    <s v="ORD100456"/>
    <s v="2025-03-17"/>
    <x v="6"/>
    <x v="2"/>
    <x v="10"/>
    <x v="2"/>
    <x v="6"/>
    <x v="13"/>
    <n v="1033.98"/>
    <n v="2"/>
    <n v="0.3"/>
    <n v="-142.01"/>
    <x v="9"/>
    <x v="2"/>
    <s v="17/03/2025"/>
    <x v="0"/>
    <n v="3"/>
    <x v="3"/>
    <s v="Low"/>
    <n v="-0.13734308207121992"/>
  </r>
  <r>
    <s v="ORD100457"/>
    <s v="2024-07-07"/>
    <x v="40"/>
    <x v="3"/>
    <x v="15"/>
    <x v="1"/>
    <x v="5"/>
    <x v="7"/>
    <n v="3852.17"/>
    <n v="7"/>
    <n v="0.15"/>
    <n v="521.28"/>
    <x v="1"/>
    <x v="1"/>
    <s v="07/07/2024"/>
    <x v="1"/>
    <n v="7"/>
    <x v="6"/>
    <s v="Low"/>
    <n v="0.1353211306873788"/>
  </r>
  <r>
    <s v="ORD100458"/>
    <s v="2025-08-10"/>
    <x v="110"/>
    <x v="3"/>
    <x v="13"/>
    <x v="0"/>
    <x v="2"/>
    <x v="2"/>
    <n v="7674.6"/>
    <n v="10"/>
    <n v="0.2"/>
    <n v="8.93"/>
    <x v="1"/>
    <x v="0"/>
    <s v="10/08/2025"/>
    <x v="0"/>
    <n v="8"/>
    <x v="11"/>
    <s v="Low"/>
    <n v="1.163578557840148E-3"/>
  </r>
  <r>
    <s v="ORD100459"/>
    <s v="2024-10-23"/>
    <x v="180"/>
    <x v="3"/>
    <x v="12"/>
    <x v="1"/>
    <x v="3"/>
    <x v="14"/>
    <n v="608.88"/>
    <n v="1"/>
    <n v="0"/>
    <n v="92.36"/>
    <x v="2"/>
    <x v="0"/>
    <s v="23/10/2024"/>
    <x v="1"/>
    <n v="10"/>
    <x v="2"/>
    <s v="No Discount"/>
    <n v="0.15168834581526738"/>
  </r>
  <r>
    <s v="ORD100460"/>
    <s v="2024-06-09"/>
    <x v="181"/>
    <x v="3"/>
    <x v="12"/>
    <x v="1"/>
    <x v="3"/>
    <x v="14"/>
    <n v="1004.37"/>
    <n v="3"/>
    <n v="0.25"/>
    <n v="-124.84"/>
    <x v="4"/>
    <x v="3"/>
    <s v="09/06/2024"/>
    <x v="1"/>
    <n v="6"/>
    <x v="9"/>
    <s v="Low"/>
    <n v="-0.12429682288399693"/>
  </r>
  <r>
    <s v="ORD100461"/>
    <s v="2025-06-18"/>
    <x v="125"/>
    <x v="2"/>
    <x v="8"/>
    <x v="2"/>
    <x v="6"/>
    <x v="8"/>
    <n v="3914.56"/>
    <n v="4"/>
    <n v="0.25"/>
    <n v="650.58000000000004"/>
    <x v="2"/>
    <x v="0"/>
    <s v="18/06/2025"/>
    <x v="0"/>
    <n v="6"/>
    <x v="9"/>
    <s v="Low"/>
    <n v="0.16619492356739968"/>
  </r>
  <r>
    <s v="ORD100462"/>
    <s v="2025-06-28"/>
    <x v="33"/>
    <x v="2"/>
    <x v="10"/>
    <x v="2"/>
    <x v="6"/>
    <x v="23"/>
    <n v="4566.7299999999996"/>
    <n v="7"/>
    <n v="0.2"/>
    <n v="391.04"/>
    <x v="3"/>
    <x v="3"/>
    <s v="28/06/2025"/>
    <x v="0"/>
    <n v="6"/>
    <x v="9"/>
    <s v="Low"/>
    <n v="8.5628009538553859E-2"/>
  </r>
  <r>
    <s v="ORD100463"/>
    <s v="2024-01-02"/>
    <x v="34"/>
    <x v="1"/>
    <x v="5"/>
    <x v="2"/>
    <x v="8"/>
    <x v="20"/>
    <n v="695.28"/>
    <n v="6"/>
    <n v="0.1"/>
    <n v="140.46"/>
    <x v="3"/>
    <x v="3"/>
    <s v="02/01/2024"/>
    <x v="1"/>
    <n v="1"/>
    <x v="0"/>
    <s v="Low"/>
    <n v="0.20201933034173283"/>
  </r>
  <r>
    <s v="ORD100464"/>
    <s v="2025-05-26"/>
    <x v="144"/>
    <x v="1"/>
    <x v="5"/>
    <x v="1"/>
    <x v="5"/>
    <x v="24"/>
    <n v="5915.65"/>
    <n v="5"/>
    <n v="0.05"/>
    <n v="1116.51"/>
    <x v="2"/>
    <x v="2"/>
    <s v="26/05/2025"/>
    <x v="0"/>
    <n v="5"/>
    <x v="7"/>
    <s v="High"/>
    <n v="0.18873834658913222"/>
  </r>
  <r>
    <s v="ORD100465"/>
    <s v="2025-02-18"/>
    <x v="24"/>
    <x v="1"/>
    <x v="1"/>
    <x v="2"/>
    <x v="4"/>
    <x v="10"/>
    <n v="4114.3900000000003"/>
    <n v="7"/>
    <n v="0.1"/>
    <n v="1110.8900000000001"/>
    <x v="4"/>
    <x v="3"/>
    <s v="18/02/2025"/>
    <x v="0"/>
    <n v="2"/>
    <x v="1"/>
    <s v="Low"/>
    <n v="0.27000114233215616"/>
  </r>
  <r>
    <s v="ORD100466"/>
    <s v="2024-02-02"/>
    <x v="0"/>
    <x v="1"/>
    <x v="5"/>
    <x v="0"/>
    <x v="2"/>
    <x v="21"/>
    <n v="3093.75"/>
    <n v="5"/>
    <n v="0.2"/>
    <n v="53.99"/>
    <x v="9"/>
    <x v="3"/>
    <s v="02/02/2024"/>
    <x v="1"/>
    <n v="2"/>
    <x v="1"/>
    <s v="Low"/>
    <n v="1.7451313131313134E-2"/>
  </r>
  <r>
    <s v="ORD100467"/>
    <s v="2025-08-27"/>
    <x v="123"/>
    <x v="1"/>
    <x v="5"/>
    <x v="0"/>
    <x v="0"/>
    <x v="0"/>
    <n v="3486.8"/>
    <n v="4"/>
    <n v="0.1"/>
    <n v="983.16"/>
    <x v="4"/>
    <x v="0"/>
    <s v="27/08/2025"/>
    <x v="0"/>
    <n v="8"/>
    <x v="11"/>
    <s v="Low"/>
    <n v="0.28196627280027531"/>
  </r>
  <r>
    <s v="ORD100468"/>
    <s v="2024-10-27"/>
    <x v="78"/>
    <x v="1"/>
    <x v="2"/>
    <x v="0"/>
    <x v="1"/>
    <x v="19"/>
    <n v="788.4"/>
    <n v="1"/>
    <n v="0"/>
    <n v="166.57"/>
    <x v="7"/>
    <x v="0"/>
    <s v="27/10/2024"/>
    <x v="1"/>
    <n v="10"/>
    <x v="2"/>
    <s v="No Discount"/>
    <n v="0.21127600202942667"/>
  </r>
  <r>
    <s v="ORD100469"/>
    <s v="2024-03-18"/>
    <x v="182"/>
    <x v="0"/>
    <x v="0"/>
    <x v="0"/>
    <x v="0"/>
    <x v="22"/>
    <n v="10166.4"/>
    <n v="10"/>
    <n v="0.15"/>
    <n v="333.35"/>
    <x v="5"/>
    <x v="1"/>
    <s v="18/03/2024"/>
    <x v="1"/>
    <n v="3"/>
    <x v="3"/>
    <s v="Low"/>
    <n v="3.2789384639597109E-2"/>
  </r>
  <r>
    <s v="ORD100470"/>
    <s v="2024-10-29"/>
    <x v="171"/>
    <x v="0"/>
    <x v="9"/>
    <x v="2"/>
    <x v="4"/>
    <x v="10"/>
    <n v="1423.02"/>
    <n v="3"/>
    <n v="0.1"/>
    <n v="-21.26"/>
    <x v="0"/>
    <x v="0"/>
    <s v="29/10/2024"/>
    <x v="1"/>
    <n v="10"/>
    <x v="2"/>
    <s v="Low"/>
    <n v="-1.4940057061741931E-2"/>
  </r>
  <r>
    <s v="ORD100471"/>
    <s v="2024-11-06"/>
    <x v="140"/>
    <x v="2"/>
    <x v="6"/>
    <x v="0"/>
    <x v="2"/>
    <x v="21"/>
    <n v="1286.01"/>
    <n v="3"/>
    <n v="0.25"/>
    <n v="103.06"/>
    <x v="6"/>
    <x v="1"/>
    <s v="06/11/2024"/>
    <x v="1"/>
    <n v="11"/>
    <x v="10"/>
    <s v="Low"/>
    <n v="8.0139345728260286E-2"/>
  </r>
  <r>
    <s v="ORD100472"/>
    <s v="2024-04-13"/>
    <x v="156"/>
    <x v="3"/>
    <x v="13"/>
    <x v="0"/>
    <x v="0"/>
    <x v="25"/>
    <n v="8850.6"/>
    <n v="9"/>
    <n v="0.25"/>
    <n v="1647.86"/>
    <x v="9"/>
    <x v="1"/>
    <s v="13/04/2024"/>
    <x v="1"/>
    <n v="4"/>
    <x v="8"/>
    <s v="Low"/>
    <n v="0.18618624726007274"/>
  </r>
  <r>
    <s v="ORD100473"/>
    <s v="2024-05-05"/>
    <x v="145"/>
    <x v="1"/>
    <x v="5"/>
    <x v="2"/>
    <x v="6"/>
    <x v="8"/>
    <n v="1180.1400000000001"/>
    <n v="3"/>
    <n v="0.05"/>
    <n v="81.94"/>
    <x v="4"/>
    <x v="3"/>
    <s v="05/05/2024"/>
    <x v="1"/>
    <n v="5"/>
    <x v="7"/>
    <s v="High"/>
    <n v="6.9432440218957059E-2"/>
  </r>
  <r>
    <s v="ORD100474"/>
    <s v="2024-07-28"/>
    <x v="63"/>
    <x v="2"/>
    <x v="3"/>
    <x v="1"/>
    <x v="7"/>
    <x v="16"/>
    <n v="7931.61"/>
    <n v="9"/>
    <n v="0"/>
    <n v="1564.09"/>
    <x v="2"/>
    <x v="1"/>
    <s v="28/07/2024"/>
    <x v="1"/>
    <n v="7"/>
    <x v="6"/>
    <s v="No Discount"/>
    <n v="0.1971970381801425"/>
  </r>
  <r>
    <s v="ORD100475"/>
    <s v="2025-07-29"/>
    <x v="71"/>
    <x v="2"/>
    <x v="10"/>
    <x v="2"/>
    <x v="6"/>
    <x v="13"/>
    <n v="9247.41"/>
    <n v="9"/>
    <n v="0.15"/>
    <n v="381.51"/>
    <x v="4"/>
    <x v="2"/>
    <s v="29/07/2025"/>
    <x v="0"/>
    <n v="7"/>
    <x v="6"/>
    <s v="Low"/>
    <n v="4.1255875969595811E-2"/>
  </r>
  <r>
    <s v="ORD100476"/>
    <s v="2025-01-02"/>
    <x v="161"/>
    <x v="1"/>
    <x v="1"/>
    <x v="1"/>
    <x v="3"/>
    <x v="4"/>
    <n v="2335.48"/>
    <n v="4"/>
    <n v="0.15"/>
    <n v="59.81"/>
    <x v="9"/>
    <x v="1"/>
    <s v="02/01/2025"/>
    <x v="0"/>
    <n v="1"/>
    <x v="0"/>
    <s v="Low"/>
    <n v="2.5609296589994349E-2"/>
  </r>
  <r>
    <s v="ORD100477"/>
    <s v="2024-12-14"/>
    <x v="183"/>
    <x v="3"/>
    <x v="13"/>
    <x v="1"/>
    <x v="3"/>
    <x v="14"/>
    <n v="1310.76"/>
    <n v="2"/>
    <n v="0.3"/>
    <n v="-102.92"/>
    <x v="9"/>
    <x v="1"/>
    <s v="14/12/2024"/>
    <x v="1"/>
    <n v="12"/>
    <x v="4"/>
    <s v="Low"/>
    <n v="-7.8519332295767338E-2"/>
  </r>
  <r>
    <s v="ORD100478"/>
    <s v="2024-09-16"/>
    <x v="44"/>
    <x v="2"/>
    <x v="10"/>
    <x v="2"/>
    <x v="8"/>
    <x v="20"/>
    <n v="1003.82"/>
    <n v="1"/>
    <n v="0.3"/>
    <n v="-33.39"/>
    <x v="1"/>
    <x v="1"/>
    <s v="16/09/2024"/>
    <x v="1"/>
    <n v="9"/>
    <x v="5"/>
    <s v="Low"/>
    <n v="-3.3262935586061242E-2"/>
  </r>
  <r>
    <s v="ORD100479"/>
    <s v="2024-09-05"/>
    <x v="13"/>
    <x v="3"/>
    <x v="12"/>
    <x v="2"/>
    <x v="8"/>
    <x v="18"/>
    <n v="1354.74"/>
    <n v="2"/>
    <n v="0.2"/>
    <n v="-69.84"/>
    <x v="3"/>
    <x v="2"/>
    <s v="05/09/2024"/>
    <x v="1"/>
    <n v="9"/>
    <x v="5"/>
    <s v="Low"/>
    <n v="-5.1552327383852257E-2"/>
  </r>
  <r>
    <s v="ORD100480"/>
    <s v="2024-04-18"/>
    <x v="184"/>
    <x v="1"/>
    <x v="2"/>
    <x v="1"/>
    <x v="7"/>
    <x v="17"/>
    <n v="5809.86"/>
    <n v="6"/>
    <n v="0.15"/>
    <n v="-469.45"/>
    <x v="1"/>
    <x v="3"/>
    <s v="18/04/2024"/>
    <x v="1"/>
    <n v="4"/>
    <x v="8"/>
    <s v="Low"/>
    <n v="-8.0802291277242477E-2"/>
  </r>
  <r>
    <s v="ORD100481"/>
    <s v="2024-05-28"/>
    <x v="161"/>
    <x v="2"/>
    <x v="6"/>
    <x v="0"/>
    <x v="0"/>
    <x v="25"/>
    <n v="1242.6400000000001"/>
    <n v="8"/>
    <n v="0.05"/>
    <n v="58.03"/>
    <x v="2"/>
    <x v="1"/>
    <s v="28/05/2024"/>
    <x v="1"/>
    <n v="5"/>
    <x v="7"/>
    <s v="High"/>
    <n v="4.6698963497070749E-2"/>
  </r>
  <r>
    <s v="ORD100482"/>
    <s v="2025-10-28"/>
    <x v="16"/>
    <x v="3"/>
    <x v="15"/>
    <x v="2"/>
    <x v="8"/>
    <x v="12"/>
    <n v="2919.12"/>
    <n v="3"/>
    <n v="0.15"/>
    <n v="140.53"/>
    <x v="6"/>
    <x v="0"/>
    <s v="28/10/2025"/>
    <x v="0"/>
    <n v="10"/>
    <x v="2"/>
    <s v="Low"/>
    <n v="4.8141220641837269E-2"/>
  </r>
  <r>
    <s v="ORD100483"/>
    <s v="2024-11-03"/>
    <x v="61"/>
    <x v="2"/>
    <x v="10"/>
    <x v="1"/>
    <x v="7"/>
    <x v="17"/>
    <n v="2424.39"/>
    <n v="3"/>
    <n v="0.1"/>
    <n v="370.12"/>
    <x v="9"/>
    <x v="1"/>
    <s v="03/11/2024"/>
    <x v="1"/>
    <n v="11"/>
    <x v="10"/>
    <s v="Low"/>
    <n v="0.15266520650555399"/>
  </r>
  <r>
    <s v="ORD100484"/>
    <s v="2024-10-27"/>
    <x v="15"/>
    <x v="3"/>
    <x v="15"/>
    <x v="1"/>
    <x v="5"/>
    <x v="24"/>
    <n v="4942.5"/>
    <n v="5"/>
    <n v="0.05"/>
    <n v="1137.3699999999999"/>
    <x v="2"/>
    <x v="3"/>
    <s v="27/10/2024"/>
    <x v="1"/>
    <n v="10"/>
    <x v="2"/>
    <s v="High"/>
    <n v="0.23012038442083962"/>
  </r>
  <r>
    <s v="ORD100485"/>
    <s v="2025-01-05"/>
    <x v="161"/>
    <x v="0"/>
    <x v="9"/>
    <x v="1"/>
    <x v="7"/>
    <x v="17"/>
    <n v="6463.38"/>
    <n v="7"/>
    <n v="0"/>
    <n v="2258.39"/>
    <x v="0"/>
    <x v="1"/>
    <s v="05/01/2025"/>
    <x v="0"/>
    <n v="1"/>
    <x v="0"/>
    <s v="No Discount"/>
    <n v="0.34941315534596445"/>
  </r>
  <r>
    <s v="ORD100486"/>
    <s v="2024-07-14"/>
    <x v="65"/>
    <x v="1"/>
    <x v="1"/>
    <x v="1"/>
    <x v="7"/>
    <x v="9"/>
    <n v="239.2"/>
    <n v="10"/>
    <n v="0"/>
    <n v="95.36"/>
    <x v="4"/>
    <x v="3"/>
    <s v="14/07/2024"/>
    <x v="1"/>
    <n v="7"/>
    <x v="6"/>
    <s v="No Discount"/>
    <n v="0.39866220735785957"/>
  </r>
  <r>
    <s v="ORD100487"/>
    <s v="2025-05-20"/>
    <x v="33"/>
    <x v="1"/>
    <x v="2"/>
    <x v="0"/>
    <x v="2"/>
    <x v="11"/>
    <n v="8023.4"/>
    <n v="10"/>
    <n v="0.15"/>
    <n v="273.51"/>
    <x v="7"/>
    <x v="1"/>
    <s v="20/05/2025"/>
    <x v="0"/>
    <n v="5"/>
    <x v="7"/>
    <s v="Low"/>
    <n v="3.4089039559289082E-2"/>
  </r>
  <r>
    <s v="ORD100488"/>
    <s v="2025-04-14"/>
    <x v="58"/>
    <x v="3"/>
    <x v="14"/>
    <x v="0"/>
    <x v="1"/>
    <x v="1"/>
    <n v="4682.45"/>
    <n v="5"/>
    <n v="0.05"/>
    <n v="395.89"/>
    <x v="4"/>
    <x v="1"/>
    <s v="14/04/2025"/>
    <x v="0"/>
    <n v="4"/>
    <x v="8"/>
    <s v="High"/>
    <n v="8.4547619301861207E-2"/>
  </r>
  <r>
    <s v="ORD100489"/>
    <s v="2025-01-16"/>
    <x v="60"/>
    <x v="2"/>
    <x v="8"/>
    <x v="2"/>
    <x v="8"/>
    <x v="20"/>
    <n v="1015.16"/>
    <n v="1"/>
    <n v="0.25"/>
    <n v="2.0299999999999998"/>
    <x v="6"/>
    <x v="3"/>
    <s v="16/01/2025"/>
    <x v="0"/>
    <n v="1"/>
    <x v="0"/>
    <s v="Low"/>
    <n v="1.999684778754088E-3"/>
  </r>
  <r>
    <s v="ORD100490"/>
    <s v="2024-05-12"/>
    <x v="173"/>
    <x v="1"/>
    <x v="1"/>
    <x v="2"/>
    <x v="4"/>
    <x v="6"/>
    <n v="4673.55"/>
    <n v="5"/>
    <n v="0.15"/>
    <n v="-435.35"/>
    <x v="3"/>
    <x v="2"/>
    <s v="12/05/2024"/>
    <x v="1"/>
    <n v="5"/>
    <x v="7"/>
    <s v="Low"/>
    <n v="-9.315188668143061E-2"/>
  </r>
  <r>
    <s v="ORD100491"/>
    <s v="2024-08-10"/>
    <x v="175"/>
    <x v="1"/>
    <x v="1"/>
    <x v="0"/>
    <x v="1"/>
    <x v="1"/>
    <n v="2475.9"/>
    <n v="3"/>
    <n v="0.25"/>
    <n v="-76.069999999999993"/>
    <x v="0"/>
    <x v="3"/>
    <s v="10/08/2024"/>
    <x v="1"/>
    <n v="8"/>
    <x v="11"/>
    <s v="Low"/>
    <n v="-3.072418110586049E-2"/>
  </r>
  <r>
    <s v="ORD100492"/>
    <s v="2025-03-31"/>
    <x v="158"/>
    <x v="1"/>
    <x v="1"/>
    <x v="1"/>
    <x v="7"/>
    <x v="16"/>
    <n v="609.57000000000005"/>
    <n v="1"/>
    <n v="0.05"/>
    <n v="118.43"/>
    <x v="7"/>
    <x v="0"/>
    <s v="31/03/2025"/>
    <x v="0"/>
    <n v="3"/>
    <x v="3"/>
    <s v="High"/>
    <n v="0.19428449562806568"/>
  </r>
  <r>
    <s v="ORD100493"/>
    <s v="2025-09-25"/>
    <x v="48"/>
    <x v="2"/>
    <x v="6"/>
    <x v="2"/>
    <x v="4"/>
    <x v="6"/>
    <n v="1613.16"/>
    <n v="3"/>
    <n v="0"/>
    <n v="481.21"/>
    <x v="4"/>
    <x v="3"/>
    <s v="25/09/2025"/>
    <x v="0"/>
    <n v="9"/>
    <x v="5"/>
    <s v="No Discount"/>
    <n v="0.29830271020853477"/>
  </r>
  <r>
    <s v="ORD100494"/>
    <s v="2025-11-13"/>
    <x v="102"/>
    <x v="0"/>
    <x v="4"/>
    <x v="1"/>
    <x v="3"/>
    <x v="14"/>
    <n v="4130.5600000000004"/>
    <n v="8"/>
    <n v="0.3"/>
    <n v="530.76"/>
    <x v="7"/>
    <x v="3"/>
    <s v="13/11/2025"/>
    <x v="0"/>
    <n v="11"/>
    <x v="10"/>
    <s v="Low"/>
    <n v="0.12849589401921288"/>
  </r>
  <r>
    <s v="ORD100495"/>
    <s v="2024-03-12"/>
    <x v="178"/>
    <x v="3"/>
    <x v="12"/>
    <x v="1"/>
    <x v="5"/>
    <x v="24"/>
    <n v="928.89"/>
    <n v="9"/>
    <n v="0.1"/>
    <n v="272"/>
    <x v="8"/>
    <x v="3"/>
    <s v="12/03/2024"/>
    <x v="1"/>
    <n v="3"/>
    <x v="3"/>
    <s v="Low"/>
    <n v="0.29282261624088968"/>
  </r>
  <r>
    <s v="ORD100496"/>
    <s v="2025-06-13"/>
    <x v="113"/>
    <x v="0"/>
    <x v="4"/>
    <x v="0"/>
    <x v="1"/>
    <x v="3"/>
    <n v="2542.86"/>
    <n v="9"/>
    <n v="0.15"/>
    <n v="-171.97"/>
    <x v="6"/>
    <x v="1"/>
    <s v="13/06/2025"/>
    <x v="0"/>
    <n v="6"/>
    <x v="9"/>
    <s v="Low"/>
    <n v="-6.7628575698229554E-2"/>
  </r>
  <r>
    <s v="ORD100497"/>
    <s v="2024-08-27"/>
    <x v="60"/>
    <x v="0"/>
    <x v="4"/>
    <x v="0"/>
    <x v="1"/>
    <x v="3"/>
    <n v="2045.12"/>
    <n v="2"/>
    <n v="0.1"/>
    <n v="224.35"/>
    <x v="3"/>
    <x v="3"/>
    <s v="27/08/2024"/>
    <x v="1"/>
    <n v="8"/>
    <x v="11"/>
    <s v="Low"/>
    <n v="0.10970016429353779"/>
  </r>
  <r>
    <s v="ORD100498"/>
    <s v="2024-11-24"/>
    <x v="99"/>
    <x v="3"/>
    <x v="13"/>
    <x v="2"/>
    <x v="8"/>
    <x v="18"/>
    <n v="259.10000000000002"/>
    <n v="5"/>
    <n v="0.05"/>
    <n v="52.34"/>
    <x v="9"/>
    <x v="2"/>
    <s v="24/11/2024"/>
    <x v="1"/>
    <n v="11"/>
    <x v="10"/>
    <s v="High"/>
    <n v="0.2020069471246623"/>
  </r>
  <r>
    <s v="ORD100499"/>
    <s v="2024-12-11"/>
    <x v="149"/>
    <x v="0"/>
    <x v="9"/>
    <x v="2"/>
    <x v="8"/>
    <x v="18"/>
    <n v="3064.02"/>
    <n v="6"/>
    <n v="0.25"/>
    <n v="-445.34"/>
    <x v="1"/>
    <x v="2"/>
    <s v="11/12/2024"/>
    <x v="1"/>
    <n v="12"/>
    <x v="4"/>
    <s v="Low"/>
    <n v="-0.14534500427542901"/>
  </r>
  <r>
    <s v="ORD100500"/>
    <s v="2024-03-30"/>
    <x v="94"/>
    <x v="3"/>
    <x v="14"/>
    <x v="0"/>
    <x v="0"/>
    <x v="22"/>
    <n v="4347.55"/>
    <n v="5"/>
    <n v="0.3"/>
    <n v="427.34"/>
    <x v="7"/>
    <x v="3"/>
    <s v="30/03/2024"/>
    <x v="1"/>
    <n v="3"/>
    <x v="3"/>
    <s v="Low"/>
    <n v="9.8294441697047749E-2"/>
  </r>
  <r>
    <s v="ORD100501"/>
    <s v="2025-05-28"/>
    <x v="169"/>
    <x v="2"/>
    <x v="10"/>
    <x v="0"/>
    <x v="1"/>
    <x v="1"/>
    <n v="524.20000000000005"/>
    <n v="2"/>
    <n v="0.1"/>
    <n v="107.96"/>
    <x v="3"/>
    <x v="2"/>
    <s v="28/05/2025"/>
    <x v="0"/>
    <n v="5"/>
    <x v="7"/>
    <s v="Low"/>
    <n v="0.20595192674551696"/>
  </r>
  <r>
    <s v="ORD100502"/>
    <s v="2024-12-13"/>
    <x v="165"/>
    <x v="0"/>
    <x v="4"/>
    <x v="1"/>
    <x v="5"/>
    <x v="24"/>
    <n v="948.69"/>
    <n v="3"/>
    <n v="0.3"/>
    <n v="58.21"/>
    <x v="4"/>
    <x v="1"/>
    <s v="13/12/2024"/>
    <x v="1"/>
    <n v="12"/>
    <x v="4"/>
    <s v="Low"/>
    <n v="6.1358294068663104E-2"/>
  </r>
  <r>
    <s v="ORD100503"/>
    <s v="2025-01-17"/>
    <x v="157"/>
    <x v="1"/>
    <x v="1"/>
    <x v="0"/>
    <x v="0"/>
    <x v="0"/>
    <n v="6138.48"/>
    <n v="8"/>
    <n v="0.25"/>
    <n v="680.39"/>
    <x v="1"/>
    <x v="2"/>
    <s v="17/01/2025"/>
    <x v="0"/>
    <n v="1"/>
    <x v="0"/>
    <s v="Low"/>
    <n v="0.11084014283666316"/>
  </r>
  <r>
    <s v="ORD100504"/>
    <s v="2024-10-19"/>
    <x v="17"/>
    <x v="0"/>
    <x v="0"/>
    <x v="0"/>
    <x v="0"/>
    <x v="0"/>
    <n v="1347.44"/>
    <n v="4"/>
    <n v="0.2"/>
    <n v="241.67"/>
    <x v="5"/>
    <x v="3"/>
    <s v="19/10/2024"/>
    <x v="1"/>
    <n v="10"/>
    <x v="2"/>
    <s v="Low"/>
    <n v="0.17935492489461496"/>
  </r>
  <r>
    <s v="ORD100505"/>
    <s v="2024-08-10"/>
    <x v="55"/>
    <x v="1"/>
    <x v="5"/>
    <x v="1"/>
    <x v="3"/>
    <x v="4"/>
    <n v="3934.32"/>
    <n v="6"/>
    <n v="0.3"/>
    <n v="-120.02"/>
    <x v="3"/>
    <x v="1"/>
    <s v="10/08/2024"/>
    <x v="1"/>
    <n v="8"/>
    <x v="11"/>
    <s v="Low"/>
    <n v="-3.0505906992822136E-2"/>
  </r>
  <r>
    <s v="ORD100506"/>
    <s v="2025-02-26"/>
    <x v="81"/>
    <x v="2"/>
    <x v="8"/>
    <x v="2"/>
    <x v="8"/>
    <x v="12"/>
    <n v="80.19"/>
    <n v="1"/>
    <n v="0.3"/>
    <n v="-4.24"/>
    <x v="5"/>
    <x v="3"/>
    <s v="26/02/2025"/>
    <x v="0"/>
    <n v="2"/>
    <x v="1"/>
    <s v="Low"/>
    <n v="-5.287442324479362E-2"/>
  </r>
  <r>
    <s v="ORD100507"/>
    <s v="2024-09-19"/>
    <x v="110"/>
    <x v="3"/>
    <x v="14"/>
    <x v="0"/>
    <x v="2"/>
    <x v="11"/>
    <n v="823.72"/>
    <n v="1"/>
    <n v="0.1"/>
    <n v="133.78"/>
    <x v="3"/>
    <x v="0"/>
    <s v="19/09/2024"/>
    <x v="1"/>
    <n v="9"/>
    <x v="5"/>
    <s v="Low"/>
    <n v="0.16240955664546206"/>
  </r>
  <r>
    <s v="ORD100508"/>
    <s v="2024-08-30"/>
    <x v="178"/>
    <x v="3"/>
    <x v="14"/>
    <x v="1"/>
    <x v="7"/>
    <x v="17"/>
    <n v="3125.1"/>
    <n v="5"/>
    <n v="0.2"/>
    <n v="361.14"/>
    <x v="6"/>
    <x v="0"/>
    <s v="30/08/2024"/>
    <x v="1"/>
    <n v="8"/>
    <x v="11"/>
    <s v="Low"/>
    <n v="0.11556110204473456"/>
  </r>
  <r>
    <s v="ORD100509"/>
    <s v="2024-03-14"/>
    <x v="18"/>
    <x v="3"/>
    <x v="15"/>
    <x v="2"/>
    <x v="8"/>
    <x v="12"/>
    <n v="6036.31"/>
    <n v="7"/>
    <n v="0.05"/>
    <n v="1409.16"/>
    <x v="3"/>
    <x v="1"/>
    <s v="14/03/2024"/>
    <x v="1"/>
    <n v="3"/>
    <x v="3"/>
    <s v="High"/>
    <n v="0.23344725502832028"/>
  </r>
  <r>
    <s v="ORD100510"/>
    <s v="2024-06-10"/>
    <x v="173"/>
    <x v="3"/>
    <x v="14"/>
    <x v="0"/>
    <x v="0"/>
    <x v="25"/>
    <n v="310.16000000000003"/>
    <n v="1"/>
    <n v="0.3"/>
    <n v="-11.54"/>
    <x v="0"/>
    <x v="1"/>
    <s v="10/06/2024"/>
    <x v="1"/>
    <n v="6"/>
    <x v="9"/>
    <s v="Low"/>
    <n v="-3.72066030435904E-2"/>
  </r>
  <r>
    <s v="ORD100511"/>
    <s v="2025-11-04"/>
    <x v="56"/>
    <x v="1"/>
    <x v="5"/>
    <x v="2"/>
    <x v="8"/>
    <x v="18"/>
    <n v="1033.27"/>
    <n v="1"/>
    <n v="0.2"/>
    <n v="-20.239999999999998"/>
    <x v="8"/>
    <x v="1"/>
    <s v="04/11/2025"/>
    <x v="0"/>
    <n v="11"/>
    <x v="10"/>
    <s v="Low"/>
    <n v="-1.9588297347256766E-2"/>
  </r>
  <r>
    <s v="ORD100512"/>
    <s v="2024-03-12"/>
    <x v="129"/>
    <x v="2"/>
    <x v="10"/>
    <x v="1"/>
    <x v="7"/>
    <x v="17"/>
    <n v="11825.9"/>
    <n v="10"/>
    <n v="0.25"/>
    <n v="1707.36"/>
    <x v="3"/>
    <x v="1"/>
    <s v="12/03/2024"/>
    <x v="1"/>
    <n v="3"/>
    <x v="3"/>
    <s v="Low"/>
    <n v="0.14437463533430858"/>
  </r>
  <r>
    <s v="ORD100513"/>
    <s v="2025-01-04"/>
    <x v="126"/>
    <x v="2"/>
    <x v="6"/>
    <x v="2"/>
    <x v="8"/>
    <x v="12"/>
    <n v="2221.71"/>
    <n v="3"/>
    <n v="0.25"/>
    <n v="-363.35"/>
    <x v="6"/>
    <x v="1"/>
    <s v="04/01/2025"/>
    <x v="0"/>
    <n v="1"/>
    <x v="0"/>
    <s v="Low"/>
    <n v="-0.16354519716794721"/>
  </r>
  <r>
    <s v="ORD100514"/>
    <s v="2025-01-04"/>
    <x v="1"/>
    <x v="2"/>
    <x v="10"/>
    <x v="0"/>
    <x v="1"/>
    <x v="3"/>
    <n v="7722.89"/>
    <n v="7"/>
    <n v="0.2"/>
    <n v="-20.260000000000002"/>
    <x v="9"/>
    <x v="1"/>
    <s v="04/01/2025"/>
    <x v="0"/>
    <n v="1"/>
    <x v="0"/>
    <s v="Low"/>
    <n v="-2.6233702668301633E-3"/>
  </r>
  <r>
    <s v="ORD100515"/>
    <s v="2024-12-27"/>
    <x v="167"/>
    <x v="2"/>
    <x v="8"/>
    <x v="1"/>
    <x v="5"/>
    <x v="15"/>
    <n v="8494.7999999999993"/>
    <n v="10"/>
    <n v="0.1"/>
    <n v="2876.41"/>
    <x v="5"/>
    <x v="1"/>
    <s v="27/12/2024"/>
    <x v="1"/>
    <n v="12"/>
    <x v="4"/>
    <s v="Low"/>
    <n v="0.3386083250929981"/>
  </r>
  <r>
    <s v="ORD100516"/>
    <s v="2025-12-06"/>
    <x v="58"/>
    <x v="1"/>
    <x v="11"/>
    <x v="0"/>
    <x v="0"/>
    <x v="22"/>
    <n v="1761.54"/>
    <n v="2"/>
    <n v="0.1"/>
    <n v="81.790000000000006"/>
    <x v="9"/>
    <x v="2"/>
    <s v="06/12/2025"/>
    <x v="0"/>
    <n v="12"/>
    <x v="4"/>
    <s v="Low"/>
    <n v="4.6430963815752131E-2"/>
  </r>
  <r>
    <s v="ORD100517"/>
    <s v="2025-05-19"/>
    <x v="57"/>
    <x v="3"/>
    <x v="15"/>
    <x v="0"/>
    <x v="0"/>
    <x v="25"/>
    <n v="6688.4"/>
    <n v="10"/>
    <n v="0.25"/>
    <n v="-1000.38"/>
    <x v="0"/>
    <x v="0"/>
    <s v="19/05/2025"/>
    <x v="0"/>
    <n v="5"/>
    <x v="7"/>
    <s v="Low"/>
    <n v="-0.14956940374379524"/>
  </r>
  <r>
    <s v="ORD100518"/>
    <s v="2024-08-07"/>
    <x v="129"/>
    <x v="1"/>
    <x v="2"/>
    <x v="0"/>
    <x v="1"/>
    <x v="1"/>
    <n v="10965.9"/>
    <n v="10"/>
    <n v="0"/>
    <n v="1138.44"/>
    <x v="9"/>
    <x v="0"/>
    <s v="07/08/2024"/>
    <x v="1"/>
    <n v="8"/>
    <x v="11"/>
    <s v="No Discount"/>
    <n v="0.10381637622083004"/>
  </r>
  <r>
    <s v="ORD100519"/>
    <s v="2025-10-09"/>
    <x v="107"/>
    <x v="2"/>
    <x v="6"/>
    <x v="2"/>
    <x v="4"/>
    <x v="26"/>
    <n v="800.77"/>
    <n v="1"/>
    <n v="0.3"/>
    <n v="-76.14"/>
    <x v="9"/>
    <x v="0"/>
    <s v="09/10/2025"/>
    <x v="0"/>
    <n v="10"/>
    <x v="2"/>
    <s v="Low"/>
    <n v="-9.5083482148432139E-2"/>
  </r>
  <r>
    <s v="ORD100520"/>
    <s v="2024-04-01"/>
    <x v="2"/>
    <x v="3"/>
    <x v="12"/>
    <x v="2"/>
    <x v="4"/>
    <x v="26"/>
    <n v="2831.04"/>
    <n v="3"/>
    <n v="0.05"/>
    <n v="669.24"/>
    <x v="1"/>
    <x v="0"/>
    <s v="01/04/2024"/>
    <x v="1"/>
    <n v="4"/>
    <x v="8"/>
    <s v="High"/>
    <n v="0.23639369277721262"/>
  </r>
  <r>
    <s v="ORD100521"/>
    <s v="2025-03-15"/>
    <x v="108"/>
    <x v="2"/>
    <x v="8"/>
    <x v="2"/>
    <x v="8"/>
    <x v="18"/>
    <n v="4318.88"/>
    <n v="8"/>
    <n v="0.25"/>
    <n v="-236.15"/>
    <x v="4"/>
    <x v="2"/>
    <s v="15/03/2025"/>
    <x v="0"/>
    <n v="3"/>
    <x v="3"/>
    <s v="Low"/>
    <n v="-5.4678527766457971E-2"/>
  </r>
  <r>
    <s v="ORD100522"/>
    <s v="2025-09-27"/>
    <x v="102"/>
    <x v="3"/>
    <x v="12"/>
    <x v="0"/>
    <x v="0"/>
    <x v="22"/>
    <n v="3093.09"/>
    <n v="7"/>
    <n v="0.1"/>
    <n v="-150.43"/>
    <x v="5"/>
    <x v="1"/>
    <s v="27/09/2025"/>
    <x v="0"/>
    <n v="9"/>
    <x v="5"/>
    <s v="Low"/>
    <n v="-4.8634213682757374E-2"/>
  </r>
  <r>
    <s v="ORD100523"/>
    <s v="2024-09-25"/>
    <x v="122"/>
    <x v="3"/>
    <x v="12"/>
    <x v="2"/>
    <x v="8"/>
    <x v="18"/>
    <n v="4013.76"/>
    <n v="6"/>
    <n v="0.15"/>
    <n v="150.80000000000001"/>
    <x v="7"/>
    <x v="0"/>
    <s v="25/09/2024"/>
    <x v="1"/>
    <n v="9"/>
    <x v="5"/>
    <s v="Low"/>
    <n v="3.7570756597305272E-2"/>
  </r>
  <r>
    <s v="ORD100524"/>
    <s v="2024-10-09"/>
    <x v="154"/>
    <x v="2"/>
    <x v="6"/>
    <x v="0"/>
    <x v="1"/>
    <x v="1"/>
    <n v="3529.1"/>
    <n v="5"/>
    <n v="0.05"/>
    <n v="1135.56"/>
    <x v="2"/>
    <x v="2"/>
    <s v="09/10/2024"/>
    <x v="1"/>
    <n v="10"/>
    <x v="2"/>
    <s v="High"/>
    <n v="0.32177042305403641"/>
  </r>
  <r>
    <s v="ORD100525"/>
    <s v="2024-01-08"/>
    <x v="107"/>
    <x v="1"/>
    <x v="2"/>
    <x v="0"/>
    <x v="0"/>
    <x v="22"/>
    <n v="2052.7199999999998"/>
    <n v="9"/>
    <n v="0.25"/>
    <n v="330.96"/>
    <x v="5"/>
    <x v="2"/>
    <s v="08/01/2024"/>
    <x v="1"/>
    <n v="1"/>
    <x v="0"/>
    <s v="Low"/>
    <n v="0.16122997778557233"/>
  </r>
  <r>
    <s v="ORD100526"/>
    <s v="2025-10-07"/>
    <x v="173"/>
    <x v="3"/>
    <x v="14"/>
    <x v="1"/>
    <x v="3"/>
    <x v="5"/>
    <n v="4233.0600000000004"/>
    <n v="6"/>
    <n v="0.25"/>
    <n v="159.13999999999999"/>
    <x v="1"/>
    <x v="0"/>
    <s v="07/10/2025"/>
    <x v="0"/>
    <n v="10"/>
    <x v="2"/>
    <s v="Low"/>
    <n v="3.7594553349113873E-2"/>
  </r>
  <r>
    <s v="ORD100527"/>
    <s v="2025-11-02"/>
    <x v="178"/>
    <x v="1"/>
    <x v="5"/>
    <x v="2"/>
    <x v="4"/>
    <x v="26"/>
    <n v="8134.63"/>
    <n v="7"/>
    <n v="0.25"/>
    <n v="478.37"/>
    <x v="2"/>
    <x v="0"/>
    <s v="02/11/2025"/>
    <x v="0"/>
    <n v="11"/>
    <x v="10"/>
    <s v="Low"/>
    <n v="5.8806608290727418E-2"/>
  </r>
  <r>
    <s v="ORD100528"/>
    <s v="2024-09-13"/>
    <x v="86"/>
    <x v="0"/>
    <x v="9"/>
    <x v="1"/>
    <x v="5"/>
    <x v="7"/>
    <n v="2526.3000000000002"/>
    <n v="7"/>
    <n v="0.15"/>
    <n v="719.03"/>
    <x v="0"/>
    <x v="3"/>
    <s v="13/09/2024"/>
    <x v="1"/>
    <n v="9"/>
    <x v="5"/>
    <s v="Low"/>
    <n v="0.28461782052804496"/>
  </r>
  <r>
    <s v="ORD100529"/>
    <s v="2025-09-28"/>
    <x v="34"/>
    <x v="0"/>
    <x v="7"/>
    <x v="1"/>
    <x v="5"/>
    <x v="7"/>
    <n v="2790.24"/>
    <n v="8"/>
    <n v="0.1"/>
    <n v="-57.58"/>
    <x v="8"/>
    <x v="2"/>
    <s v="28/09/2025"/>
    <x v="0"/>
    <n v="9"/>
    <x v="5"/>
    <s v="Low"/>
    <n v="-2.0636217673031712E-2"/>
  </r>
  <r>
    <s v="ORD100530"/>
    <s v="2024-10-11"/>
    <x v="17"/>
    <x v="1"/>
    <x v="2"/>
    <x v="2"/>
    <x v="6"/>
    <x v="23"/>
    <n v="3135.06"/>
    <n v="9"/>
    <n v="0.2"/>
    <n v="-281.49"/>
    <x v="6"/>
    <x v="2"/>
    <s v="11/10/2024"/>
    <x v="1"/>
    <n v="10"/>
    <x v="2"/>
    <s v="Low"/>
    <n v="-8.9787755258272567E-2"/>
  </r>
  <r>
    <s v="ORD100531"/>
    <s v="2025-12-09"/>
    <x v="121"/>
    <x v="2"/>
    <x v="8"/>
    <x v="0"/>
    <x v="2"/>
    <x v="21"/>
    <n v="8340.85"/>
    <n v="7"/>
    <n v="0.2"/>
    <n v="1818.2"/>
    <x v="6"/>
    <x v="3"/>
    <s v="09/12/2025"/>
    <x v="0"/>
    <n v="12"/>
    <x v="4"/>
    <s v="Low"/>
    <n v="0.21798737538740057"/>
  </r>
  <r>
    <s v="ORD100532"/>
    <s v="2025-06-12"/>
    <x v="140"/>
    <x v="0"/>
    <x v="0"/>
    <x v="0"/>
    <x v="1"/>
    <x v="1"/>
    <n v="217.53"/>
    <n v="1"/>
    <n v="0.05"/>
    <n v="67.45"/>
    <x v="3"/>
    <x v="2"/>
    <s v="12/06/2025"/>
    <x v="0"/>
    <n v="6"/>
    <x v="9"/>
    <s v="High"/>
    <n v="0.310072173953018"/>
  </r>
  <r>
    <s v="ORD100533"/>
    <s v="2024-06-05"/>
    <x v="133"/>
    <x v="1"/>
    <x v="5"/>
    <x v="0"/>
    <x v="1"/>
    <x v="1"/>
    <n v="2001.48"/>
    <n v="3"/>
    <n v="0"/>
    <n v="729.08"/>
    <x v="6"/>
    <x v="3"/>
    <s v="05/06/2024"/>
    <x v="1"/>
    <n v="6"/>
    <x v="9"/>
    <s v="No Discount"/>
    <n v="0.36427043987449287"/>
  </r>
  <r>
    <s v="ORD100534"/>
    <s v="2024-06-12"/>
    <x v="79"/>
    <x v="2"/>
    <x v="3"/>
    <x v="1"/>
    <x v="5"/>
    <x v="7"/>
    <n v="1284.8"/>
    <n v="10"/>
    <n v="0.2"/>
    <n v="262.14"/>
    <x v="7"/>
    <x v="0"/>
    <s v="12/06/2024"/>
    <x v="1"/>
    <n v="6"/>
    <x v="9"/>
    <s v="Low"/>
    <n v="0.20403175591531755"/>
  </r>
  <r>
    <s v="ORD100535"/>
    <s v="2024-12-26"/>
    <x v="143"/>
    <x v="0"/>
    <x v="4"/>
    <x v="0"/>
    <x v="1"/>
    <x v="1"/>
    <n v="1904.5"/>
    <n v="5"/>
    <n v="0.3"/>
    <n v="-370.84"/>
    <x v="7"/>
    <x v="1"/>
    <s v="26/12/2024"/>
    <x v="1"/>
    <n v="12"/>
    <x v="4"/>
    <s v="Low"/>
    <n v="-0.19471777369388291"/>
  </r>
  <r>
    <s v="ORD100536"/>
    <s v="2024-12-03"/>
    <x v="180"/>
    <x v="0"/>
    <x v="0"/>
    <x v="1"/>
    <x v="3"/>
    <x v="14"/>
    <n v="3844.15"/>
    <n v="5"/>
    <n v="0.2"/>
    <n v="285.85000000000002"/>
    <x v="3"/>
    <x v="1"/>
    <s v="03/12/2024"/>
    <x v="1"/>
    <n v="12"/>
    <x v="4"/>
    <s v="Low"/>
    <n v="7.435974142528258E-2"/>
  </r>
  <r>
    <s v="ORD100537"/>
    <s v="2024-06-28"/>
    <x v="149"/>
    <x v="1"/>
    <x v="2"/>
    <x v="2"/>
    <x v="8"/>
    <x v="12"/>
    <n v="3909.96"/>
    <n v="9"/>
    <n v="0"/>
    <n v="872.82"/>
    <x v="2"/>
    <x v="2"/>
    <s v="28/06/2024"/>
    <x v="1"/>
    <n v="6"/>
    <x v="9"/>
    <s v="No Discount"/>
    <n v="0.22322990516527025"/>
  </r>
  <r>
    <s v="ORD100538"/>
    <s v="2024-12-21"/>
    <x v="185"/>
    <x v="0"/>
    <x v="7"/>
    <x v="0"/>
    <x v="1"/>
    <x v="19"/>
    <n v="7361.84"/>
    <n v="8"/>
    <n v="0.05"/>
    <n v="524.84"/>
    <x v="0"/>
    <x v="0"/>
    <s v="21/12/2024"/>
    <x v="1"/>
    <n v="12"/>
    <x v="4"/>
    <s v="High"/>
    <n v="7.1291959618790951E-2"/>
  </r>
  <r>
    <s v="ORD100539"/>
    <s v="2024-04-29"/>
    <x v="120"/>
    <x v="0"/>
    <x v="4"/>
    <x v="0"/>
    <x v="2"/>
    <x v="11"/>
    <n v="2156.88"/>
    <n v="3"/>
    <n v="0.1"/>
    <n v="218.13"/>
    <x v="5"/>
    <x v="2"/>
    <s v="29/04/2024"/>
    <x v="1"/>
    <n v="4"/>
    <x v="8"/>
    <s v="Low"/>
    <n v="0.10113219094247246"/>
  </r>
  <r>
    <s v="ORD100540"/>
    <s v="2025-12-19"/>
    <x v="179"/>
    <x v="1"/>
    <x v="11"/>
    <x v="2"/>
    <x v="8"/>
    <x v="12"/>
    <n v="3635.45"/>
    <n v="7"/>
    <n v="0.25"/>
    <n v="105.07"/>
    <x v="1"/>
    <x v="1"/>
    <s v="19/12/2025"/>
    <x v="0"/>
    <n v="12"/>
    <x v="4"/>
    <s v="Low"/>
    <n v="2.8901511504765571E-2"/>
  </r>
  <r>
    <s v="ORD100541"/>
    <s v="2024-12-09"/>
    <x v="65"/>
    <x v="0"/>
    <x v="7"/>
    <x v="2"/>
    <x v="4"/>
    <x v="6"/>
    <n v="8849.25"/>
    <n v="9"/>
    <n v="0.15"/>
    <n v="-501.77"/>
    <x v="5"/>
    <x v="3"/>
    <s v="09/12/2024"/>
    <x v="1"/>
    <n v="12"/>
    <x v="4"/>
    <s v="Low"/>
    <n v="-5.6701980393818685E-2"/>
  </r>
  <r>
    <s v="ORD100542"/>
    <s v="2024-06-18"/>
    <x v="135"/>
    <x v="0"/>
    <x v="0"/>
    <x v="1"/>
    <x v="5"/>
    <x v="24"/>
    <n v="1021.31"/>
    <n v="1"/>
    <n v="0.25"/>
    <n v="-203.53"/>
    <x v="7"/>
    <x v="0"/>
    <s v="18/06/2024"/>
    <x v="1"/>
    <n v="6"/>
    <x v="9"/>
    <s v="Low"/>
    <n v="-0.19928327344293115"/>
  </r>
  <r>
    <s v="ORD100543"/>
    <s v="2024-06-08"/>
    <x v="102"/>
    <x v="1"/>
    <x v="2"/>
    <x v="0"/>
    <x v="1"/>
    <x v="19"/>
    <n v="3788.4"/>
    <n v="7"/>
    <n v="0.05"/>
    <n v="1409.88"/>
    <x v="9"/>
    <x v="1"/>
    <s v="08/06/2024"/>
    <x v="1"/>
    <n v="6"/>
    <x v="9"/>
    <s v="High"/>
    <n v="0.37215711118150147"/>
  </r>
  <r>
    <s v="ORD100544"/>
    <s v="2024-09-22"/>
    <x v="186"/>
    <x v="2"/>
    <x v="10"/>
    <x v="1"/>
    <x v="5"/>
    <x v="7"/>
    <n v="478.08"/>
    <n v="8"/>
    <n v="0.25"/>
    <n v="-60.34"/>
    <x v="6"/>
    <x v="1"/>
    <s v="22/09/2024"/>
    <x v="1"/>
    <n v="9"/>
    <x v="5"/>
    <s v="Low"/>
    <n v="-0.12621318607764392"/>
  </r>
  <r>
    <s v="ORD100545"/>
    <s v="2025-12-06"/>
    <x v="17"/>
    <x v="1"/>
    <x v="2"/>
    <x v="2"/>
    <x v="6"/>
    <x v="13"/>
    <n v="274.41000000000003"/>
    <n v="1"/>
    <n v="0.1"/>
    <n v="17.14"/>
    <x v="2"/>
    <x v="1"/>
    <s v="06/12/2025"/>
    <x v="0"/>
    <n v="12"/>
    <x v="4"/>
    <s v="Low"/>
    <n v="6.2461280565577051E-2"/>
  </r>
  <r>
    <s v="ORD100546"/>
    <s v="2025-09-26"/>
    <x v="32"/>
    <x v="2"/>
    <x v="8"/>
    <x v="1"/>
    <x v="3"/>
    <x v="4"/>
    <n v="8345.7000000000007"/>
    <n v="9"/>
    <n v="0"/>
    <n v="1095.27"/>
    <x v="9"/>
    <x v="2"/>
    <s v="26/09/2025"/>
    <x v="0"/>
    <n v="9"/>
    <x v="5"/>
    <s v="No Discount"/>
    <n v="0.13123764333728746"/>
  </r>
  <r>
    <s v="ORD100547"/>
    <s v="2025-09-25"/>
    <x v="118"/>
    <x v="3"/>
    <x v="12"/>
    <x v="1"/>
    <x v="7"/>
    <x v="17"/>
    <n v="1964.58"/>
    <n v="2"/>
    <n v="0.3"/>
    <n v="-330.67"/>
    <x v="8"/>
    <x v="0"/>
    <s v="25/09/2025"/>
    <x v="0"/>
    <n v="9"/>
    <x v="5"/>
    <s v="Low"/>
    <n v="-0.1683158741308575"/>
  </r>
  <r>
    <s v="ORD100548"/>
    <s v="2024-06-20"/>
    <x v="25"/>
    <x v="0"/>
    <x v="4"/>
    <x v="2"/>
    <x v="6"/>
    <x v="13"/>
    <n v="1921.92"/>
    <n v="8"/>
    <n v="0"/>
    <n v="470.38"/>
    <x v="4"/>
    <x v="2"/>
    <s v="20/06/2024"/>
    <x v="1"/>
    <n v="6"/>
    <x v="9"/>
    <s v="No Discount"/>
    <n v="0.2447448384948385"/>
  </r>
  <r>
    <s v="ORD100549"/>
    <s v="2025-10-18"/>
    <x v="89"/>
    <x v="2"/>
    <x v="6"/>
    <x v="0"/>
    <x v="1"/>
    <x v="1"/>
    <n v="366.1"/>
    <n v="5"/>
    <n v="0"/>
    <n v="106.37"/>
    <x v="7"/>
    <x v="0"/>
    <s v="18/10/2025"/>
    <x v="0"/>
    <n v="10"/>
    <x v="2"/>
    <s v="No Discount"/>
    <n v="0.29054903031958479"/>
  </r>
  <r>
    <s v="ORD100550"/>
    <s v="2024-04-23"/>
    <x v="143"/>
    <x v="1"/>
    <x v="11"/>
    <x v="1"/>
    <x v="7"/>
    <x v="16"/>
    <n v="5232.2"/>
    <n v="10"/>
    <n v="0.1"/>
    <n v="54.66"/>
    <x v="7"/>
    <x v="0"/>
    <s v="23/04/2024"/>
    <x v="1"/>
    <n v="4"/>
    <x v="8"/>
    <s v="Low"/>
    <n v="1.0446848362065671E-2"/>
  </r>
  <r>
    <s v="ORD100551"/>
    <s v="2024-08-26"/>
    <x v="129"/>
    <x v="3"/>
    <x v="14"/>
    <x v="0"/>
    <x v="0"/>
    <x v="0"/>
    <n v="2300.04"/>
    <n v="9"/>
    <n v="0.15"/>
    <n v="41.67"/>
    <x v="8"/>
    <x v="3"/>
    <s v="26/08/2024"/>
    <x v="1"/>
    <n v="8"/>
    <x v="11"/>
    <s v="Low"/>
    <n v="1.811707622476131E-2"/>
  </r>
  <r>
    <s v="ORD100552"/>
    <s v="2025-10-24"/>
    <x v="71"/>
    <x v="2"/>
    <x v="10"/>
    <x v="2"/>
    <x v="8"/>
    <x v="20"/>
    <n v="713.92"/>
    <n v="4"/>
    <n v="0.3"/>
    <n v="-81.11"/>
    <x v="9"/>
    <x v="0"/>
    <s v="24/10/2025"/>
    <x v="0"/>
    <n v="10"/>
    <x v="2"/>
    <s v="Low"/>
    <n v="-0.11361216943074855"/>
  </r>
  <r>
    <s v="ORD100553"/>
    <s v="2024-09-06"/>
    <x v="57"/>
    <x v="0"/>
    <x v="9"/>
    <x v="0"/>
    <x v="0"/>
    <x v="25"/>
    <n v="9642"/>
    <n v="10"/>
    <n v="0.05"/>
    <n v="3118.83"/>
    <x v="7"/>
    <x v="1"/>
    <s v="06/09/2024"/>
    <x v="1"/>
    <n v="9"/>
    <x v="5"/>
    <s v="High"/>
    <n v="0.32346297448662104"/>
  </r>
  <r>
    <s v="ORD100554"/>
    <s v="2024-11-30"/>
    <x v="145"/>
    <x v="0"/>
    <x v="4"/>
    <x v="1"/>
    <x v="3"/>
    <x v="5"/>
    <n v="6976.6"/>
    <n v="10"/>
    <n v="0.1"/>
    <n v="104.48"/>
    <x v="7"/>
    <x v="1"/>
    <s v="30/11/2024"/>
    <x v="1"/>
    <n v="11"/>
    <x v="10"/>
    <s v="Low"/>
    <n v="1.4975776166040764E-2"/>
  </r>
  <r>
    <s v="ORD100555"/>
    <s v="2025-04-05"/>
    <x v="6"/>
    <x v="1"/>
    <x v="1"/>
    <x v="2"/>
    <x v="8"/>
    <x v="18"/>
    <n v="730.54"/>
    <n v="1"/>
    <n v="0.3"/>
    <n v="-52.12"/>
    <x v="4"/>
    <x v="2"/>
    <s v="05/04/2025"/>
    <x v="0"/>
    <n v="4"/>
    <x v="8"/>
    <s v="Low"/>
    <n v="-7.1344484901579658E-2"/>
  </r>
  <r>
    <s v="ORD100556"/>
    <s v="2025-06-01"/>
    <x v="168"/>
    <x v="3"/>
    <x v="14"/>
    <x v="0"/>
    <x v="1"/>
    <x v="19"/>
    <n v="11849.4"/>
    <n v="10"/>
    <n v="0.05"/>
    <n v="3045.5"/>
    <x v="2"/>
    <x v="3"/>
    <s v="01/06/2025"/>
    <x v="0"/>
    <n v="6"/>
    <x v="9"/>
    <s v="High"/>
    <n v="0.25701723294006451"/>
  </r>
  <r>
    <s v="ORD100557"/>
    <s v="2024-03-12"/>
    <x v="166"/>
    <x v="1"/>
    <x v="2"/>
    <x v="2"/>
    <x v="8"/>
    <x v="18"/>
    <n v="5109.68"/>
    <n v="8"/>
    <n v="0.15"/>
    <n v="1053.33"/>
    <x v="7"/>
    <x v="3"/>
    <s v="12/03/2024"/>
    <x v="1"/>
    <n v="3"/>
    <x v="3"/>
    <s v="Low"/>
    <n v="0.206144024674735"/>
  </r>
  <r>
    <s v="ORD100558"/>
    <s v="2024-09-24"/>
    <x v="159"/>
    <x v="2"/>
    <x v="8"/>
    <x v="1"/>
    <x v="3"/>
    <x v="5"/>
    <n v="3538.53"/>
    <n v="9"/>
    <n v="0.05"/>
    <n v="1201.26"/>
    <x v="4"/>
    <x v="1"/>
    <s v="24/09/2024"/>
    <x v="1"/>
    <n v="9"/>
    <x v="5"/>
    <s v="High"/>
    <n v="0.3394799535400293"/>
  </r>
  <r>
    <s v="ORD100559"/>
    <s v="2024-08-14"/>
    <x v="173"/>
    <x v="3"/>
    <x v="13"/>
    <x v="2"/>
    <x v="6"/>
    <x v="13"/>
    <n v="329.82"/>
    <n v="3"/>
    <n v="0.3"/>
    <n v="46.13"/>
    <x v="2"/>
    <x v="0"/>
    <s v="14/08/2024"/>
    <x v="1"/>
    <n v="8"/>
    <x v="11"/>
    <s v="Low"/>
    <n v="0.13986416833424292"/>
  </r>
  <r>
    <s v="ORD100560"/>
    <s v="2025-06-19"/>
    <x v="106"/>
    <x v="1"/>
    <x v="5"/>
    <x v="1"/>
    <x v="7"/>
    <x v="9"/>
    <n v="7660"/>
    <n v="10"/>
    <n v="0.3"/>
    <n v="-782"/>
    <x v="0"/>
    <x v="2"/>
    <s v="19/06/2025"/>
    <x v="0"/>
    <n v="6"/>
    <x v="9"/>
    <s v="Low"/>
    <n v="-0.102088772845953"/>
  </r>
  <r>
    <s v="ORD100561"/>
    <s v="2025-02-11"/>
    <x v="27"/>
    <x v="0"/>
    <x v="4"/>
    <x v="2"/>
    <x v="4"/>
    <x v="26"/>
    <n v="6266.26"/>
    <n v="7"/>
    <n v="0.3"/>
    <n v="922.6"/>
    <x v="1"/>
    <x v="1"/>
    <s v="11/02/2025"/>
    <x v="0"/>
    <n v="2"/>
    <x v="1"/>
    <s v="Low"/>
    <n v="0.14723295873455619"/>
  </r>
  <r>
    <s v="ORD100562"/>
    <s v="2025-07-04"/>
    <x v="130"/>
    <x v="2"/>
    <x v="10"/>
    <x v="1"/>
    <x v="7"/>
    <x v="9"/>
    <n v="541.08000000000004"/>
    <n v="1"/>
    <n v="0.1"/>
    <n v="108.78"/>
    <x v="9"/>
    <x v="0"/>
    <s v="04/07/2025"/>
    <x v="0"/>
    <n v="7"/>
    <x v="6"/>
    <s v="Low"/>
    <n v="0.20104235972499443"/>
  </r>
  <r>
    <s v="ORD100563"/>
    <s v="2024-09-29"/>
    <x v="187"/>
    <x v="2"/>
    <x v="10"/>
    <x v="0"/>
    <x v="1"/>
    <x v="3"/>
    <n v="6984.72"/>
    <n v="6"/>
    <n v="0"/>
    <n v="2118.85"/>
    <x v="8"/>
    <x v="1"/>
    <s v="29/09/2024"/>
    <x v="1"/>
    <n v="9"/>
    <x v="5"/>
    <s v="No Discount"/>
    <n v="0.30335503785405854"/>
  </r>
  <r>
    <s v="ORD100564"/>
    <s v="2025-01-07"/>
    <x v="50"/>
    <x v="3"/>
    <x v="14"/>
    <x v="0"/>
    <x v="1"/>
    <x v="3"/>
    <n v="656.9"/>
    <n v="5"/>
    <n v="0.05"/>
    <n v="242.98"/>
    <x v="7"/>
    <x v="2"/>
    <s v="07/01/2025"/>
    <x v="0"/>
    <n v="1"/>
    <x v="0"/>
    <s v="High"/>
    <n v="0.36988887197442533"/>
  </r>
  <r>
    <s v="ORD100565"/>
    <s v="2025-04-01"/>
    <x v="44"/>
    <x v="3"/>
    <x v="15"/>
    <x v="1"/>
    <x v="5"/>
    <x v="24"/>
    <n v="4073.23"/>
    <n v="7"/>
    <n v="0.25"/>
    <n v="-342.41"/>
    <x v="4"/>
    <x v="2"/>
    <s v="01/04/2025"/>
    <x v="0"/>
    <n v="4"/>
    <x v="8"/>
    <s v="Low"/>
    <n v="-8.4063507339384225E-2"/>
  </r>
  <r>
    <s v="ORD100566"/>
    <s v="2024-06-10"/>
    <x v="44"/>
    <x v="2"/>
    <x v="3"/>
    <x v="2"/>
    <x v="8"/>
    <x v="12"/>
    <n v="2134.12"/>
    <n v="2"/>
    <n v="0.2"/>
    <n v="64.67"/>
    <x v="2"/>
    <x v="0"/>
    <s v="10/06/2024"/>
    <x v="1"/>
    <n v="6"/>
    <x v="9"/>
    <s v="Low"/>
    <n v="3.0302888309935713E-2"/>
  </r>
  <r>
    <s v="ORD100567"/>
    <s v="2024-02-23"/>
    <x v="98"/>
    <x v="3"/>
    <x v="15"/>
    <x v="0"/>
    <x v="0"/>
    <x v="0"/>
    <n v="3297.12"/>
    <n v="8"/>
    <n v="0"/>
    <n v="1153.0999999999999"/>
    <x v="1"/>
    <x v="2"/>
    <s v="23/02/2024"/>
    <x v="1"/>
    <n v="2"/>
    <x v="1"/>
    <s v="No Discount"/>
    <n v="0.34972946086281359"/>
  </r>
  <r>
    <s v="ORD100568"/>
    <s v="2024-10-10"/>
    <x v="27"/>
    <x v="3"/>
    <x v="12"/>
    <x v="2"/>
    <x v="6"/>
    <x v="23"/>
    <n v="2884.64"/>
    <n v="4"/>
    <n v="0"/>
    <n v="734.3"/>
    <x v="3"/>
    <x v="2"/>
    <s v="10/10/2024"/>
    <x v="1"/>
    <n v="10"/>
    <x v="2"/>
    <s v="No Discount"/>
    <n v="0.25455516112929172"/>
  </r>
  <r>
    <s v="ORD100569"/>
    <s v="2025-04-26"/>
    <x v="36"/>
    <x v="2"/>
    <x v="10"/>
    <x v="0"/>
    <x v="0"/>
    <x v="22"/>
    <n v="2458.56"/>
    <n v="6"/>
    <n v="0.2"/>
    <n v="-193.21"/>
    <x v="0"/>
    <x v="3"/>
    <s v="26/04/2025"/>
    <x v="0"/>
    <n v="4"/>
    <x v="8"/>
    <s v="Low"/>
    <n v="-7.8586652349342714E-2"/>
  </r>
  <r>
    <s v="ORD100570"/>
    <s v="2025-11-24"/>
    <x v="23"/>
    <x v="1"/>
    <x v="2"/>
    <x v="0"/>
    <x v="0"/>
    <x v="22"/>
    <n v="2110.1999999999998"/>
    <n v="6"/>
    <n v="0.05"/>
    <n v="648.38"/>
    <x v="4"/>
    <x v="2"/>
    <s v="24/11/2025"/>
    <x v="0"/>
    <n v="11"/>
    <x v="10"/>
    <s v="High"/>
    <n v="0.30725997535778604"/>
  </r>
  <r>
    <s v="ORD100571"/>
    <s v="2025-05-04"/>
    <x v="114"/>
    <x v="2"/>
    <x v="10"/>
    <x v="1"/>
    <x v="3"/>
    <x v="14"/>
    <n v="2165.15"/>
    <n v="5"/>
    <n v="0.05"/>
    <n v="125"/>
    <x v="3"/>
    <x v="2"/>
    <s v="04/05/2025"/>
    <x v="0"/>
    <n v="5"/>
    <x v="7"/>
    <s v="High"/>
    <n v="5.77327205967254E-2"/>
  </r>
  <r>
    <s v="ORD100572"/>
    <s v="2025-07-24"/>
    <x v="148"/>
    <x v="0"/>
    <x v="9"/>
    <x v="1"/>
    <x v="5"/>
    <x v="15"/>
    <n v="7786.98"/>
    <n v="9"/>
    <n v="0.25"/>
    <n v="1492.1"/>
    <x v="0"/>
    <x v="0"/>
    <s v="24/07/2025"/>
    <x v="0"/>
    <n v="7"/>
    <x v="6"/>
    <s v="Low"/>
    <n v="0.19161472098297413"/>
  </r>
  <r>
    <s v="ORD100573"/>
    <s v="2024-07-07"/>
    <x v="129"/>
    <x v="3"/>
    <x v="15"/>
    <x v="1"/>
    <x v="3"/>
    <x v="4"/>
    <n v="735.29"/>
    <n v="1"/>
    <n v="0"/>
    <n v="190.92"/>
    <x v="5"/>
    <x v="0"/>
    <s v="07/07/2024"/>
    <x v="1"/>
    <n v="7"/>
    <x v="6"/>
    <s v="No Discount"/>
    <n v="0.25965265405486271"/>
  </r>
  <r>
    <s v="ORD100574"/>
    <s v="2025-03-19"/>
    <x v="25"/>
    <x v="2"/>
    <x v="8"/>
    <x v="2"/>
    <x v="6"/>
    <x v="23"/>
    <n v="4776.4399999999996"/>
    <n v="4"/>
    <n v="0.05"/>
    <n v="758.17"/>
    <x v="7"/>
    <x v="1"/>
    <s v="19/03/2025"/>
    <x v="0"/>
    <n v="3"/>
    <x v="3"/>
    <s v="High"/>
    <n v="0.15873118891894383"/>
  </r>
  <r>
    <s v="ORD100575"/>
    <s v="2024-07-15"/>
    <x v="114"/>
    <x v="3"/>
    <x v="12"/>
    <x v="2"/>
    <x v="4"/>
    <x v="26"/>
    <n v="11398.4"/>
    <n v="10"/>
    <n v="0.3"/>
    <n v="-2535.5500000000002"/>
    <x v="9"/>
    <x v="1"/>
    <s v="15/07/2024"/>
    <x v="1"/>
    <n v="7"/>
    <x v="6"/>
    <s v="Low"/>
    <n v="-0.2224478874227962"/>
  </r>
  <r>
    <s v="ORD100576"/>
    <s v="2024-10-11"/>
    <x v="180"/>
    <x v="3"/>
    <x v="13"/>
    <x v="2"/>
    <x v="6"/>
    <x v="8"/>
    <n v="6016.02"/>
    <n v="6"/>
    <n v="0"/>
    <n v="1184.03"/>
    <x v="6"/>
    <x v="3"/>
    <s v="11/10/2024"/>
    <x v="1"/>
    <n v="10"/>
    <x v="2"/>
    <s v="No Discount"/>
    <n v="0.19681284304241009"/>
  </r>
  <r>
    <s v="ORD100577"/>
    <s v="2024-12-15"/>
    <x v="19"/>
    <x v="1"/>
    <x v="1"/>
    <x v="1"/>
    <x v="3"/>
    <x v="4"/>
    <n v="2420.4299999999998"/>
    <n v="3"/>
    <n v="0.05"/>
    <n v="273.44"/>
    <x v="8"/>
    <x v="0"/>
    <s v="15/12/2024"/>
    <x v="1"/>
    <n v="12"/>
    <x v="4"/>
    <s v="High"/>
    <n v="0.11297166206004719"/>
  </r>
  <r>
    <s v="ORD100578"/>
    <s v="2025-11-09"/>
    <x v="181"/>
    <x v="0"/>
    <x v="7"/>
    <x v="2"/>
    <x v="6"/>
    <x v="13"/>
    <n v="1615.76"/>
    <n v="2"/>
    <n v="0"/>
    <n v="711.25"/>
    <x v="9"/>
    <x v="2"/>
    <s v="09/11/2025"/>
    <x v="0"/>
    <n v="11"/>
    <x v="10"/>
    <s v="No Discount"/>
    <n v="0.44019532603852057"/>
  </r>
  <r>
    <s v="ORD100579"/>
    <s v="2025-04-14"/>
    <x v="120"/>
    <x v="2"/>
    <x v="3"/>
    <x v="1"/>
    <x v="5"/>
    <x v="24"/>
    <n v="2312.31"/>
    <n v="3"/>
    <n v="0.25"/>
    <n v="-26.53"/>
    <x v="0"/>
    <x v="0"/>
    <s v="14/04/2025"/>
    <x v="0"/>
    <n v="4"/>
    <x v="8"/>
    <s v="Low"/>
    <n v="-1.1473375109738747E-2"/>
  </r>
  <r>
    <s v="ORD100580"/>
    <s v="2024-08-04"/>
    <x v="102"/>
    <x v="1"/>
    <x v="1"/>
    <x v="2"/>
    <x v="6"/>
    <x v="23"/>
    <n v="235.8"/>
    <n v="9"/>
    <n v="0.2"/>
    <n v="-21.01"/>
    <x v="4"/>
    <x v="2"/>
    <s v="04/08/2024"/>
    <x v="1"/>
    <n v="8"/>
    <x v="11"/>
    <s v="Low"/>
    <n v="-8.910093299406277E-2"/>
  </r>
  <r>
    <s v="ORD100581"/>
    <s v="2025-09-03"/>
    <x v="144"/>
    <x v="3"/>
    <x v="13"/>
    <x v="0"/>
    <x v="2"/>
    <x v="2"/>
    <n v="1544.34"/>
    <n v="3"/>
    <n v="0"/>
    <n v="157.1"/>
    <x v="9"/>
    <x v="0"/>
    <s v="03/09/2025"/>
    <x v="0"/>
    <n v="9"/>
    <x v="5"/>
    <s v="No Discount"/>
    <n v="0.10172630379320616"/>
  </r>
  <r>
    <s v="ORD100582"/>
    <s v="2025-01-29"/>
    <x v="47"/>
    <x v="0"/>
    <x v="7"/>
    <x v="2"/>
    <x v="8"/>
    <x v="12"/>
    <n v="5492.3"/>
    <n v="10"/>
    <n v="0.15"/>
    <n v="391.49"/>
    <x v="6"/>
    <x v="0"/>
    <s v="29/01/2025"/>
    <x v="0"/>
    <n v="1"/>
    <x v="0"/>
    <s v="Low"/>
    <n v="7.1279791708391743E-2"/>
  </r>
  <r>
    <s v="ORD100583"/>
    <s v="2024-07-18"/>
    <x v="31"/>
    <x v="0"/>
    <x v="7"/>
    <x v="2"/>
    <x v="6"/>
    <x v="13"/>
    <n v="1119.06"/>
    <n v="6"/>
    <n v="0"/>
    <n v="190.93"/>
    <x v="2"/>
    <x v="2"/>
    <s v="18/07/2024"/>
    <x v="1"/>
    <n v="7"/>
    <x v="6"/>
    <s v="No Discount"/>
    <n v="0.17061641020141907"/>
  </r>
  <r>
    <s v="ORD100584"/>
    <s v="2024-02-05"/>
    <x v="76"/>
    <x v="2"/>
    <x v="8"/>
    <x v="2"/>
    <x v="8"/>
    <x v="12"/>
    <n v="177.39"/>
    <n v="3"/>
    <n v="0.15"/>
    <n v="20.99"/>
    <x v="5"/>
    <x v="0"/>
    <s v="05/02/2024"/>
    <x v="1"/>
    <n v="2"/>
    <x v="1"/>
    <s v="Low"/>
    <n v="0.11832685044252776"/>
  </r>
  <r>
    <s v="ORD100585"/>
    <s v="2024-08-04"/>
    <x v="126"/>
    <x v="2"/>
    <x v="10"/>
    <x v="1"/>
    <x v="5"/>
    <x v="15"/>
    <n v="516.47"/>
    <n v="1"/>
    <n v="0"/>
    <n v="35.159999999999997"/>
    <x v="0"/>
    <x v="0"/>
    <s v="04/08/2024"/>
    <x v="1"/>
    <n v="8"/>
    <x v="11"/>
    <s v="No Discount"/>
    <n v="6.8077526284198497E-2"/>
  </r>
  <r>
    <s v="ORD100586"/>
    <s v="2024-05-15"/>
    <x v="60"/>
    <x v="3"/>
    <x v="13"/>
    <x v="0"/>
    <x v="0"/>
    <x v="0"/>
    <n v="3250.38"/>
    <n v="7"/>
    <n v="0.05"/>
    <n v="989.87"/>
    <x v="8"/>
    <x v="0"/>
    <s v="15/05/2024"/>
    <x v="1"/>
    <n v="5"/>
    <x v="7"/>
    <s v="High"/>
    <n v="0.30453977688762546"/>
  </r>
  <r>
    <s v="ORD100587"/>
    <s v="2025-08-27"/>
    <x v="133"/>
    <x v="2"/>
    <x v="10"/>
    <x v="0"/>
    <x v="2"/>
    <x v="21"/>
    <n v="1838.61"/>
    <n v="9"/>
    <n v="0.05"/>
    <n v="609.54999999999995"/>
    <x v="4"/>
    <x v="3"/>
    <s v="27/08/2025"/>
    <x v="0"/>
    <n v="8"/>
    <x v="11"/>
    <s v="High"/>
    <n v="0.33152762140965186"/>
  </r>
  <r>
    <s v="ORD100588"/>
    <s v="2025-05-18"/>
    <x v="84"/>
    <x v="2"/>
    <x v="8"/>
    <x v="1"/>
    <x v="7"/>
    <x v="16"/>
    <n v="4197.97"/>
    <n v="7"/>
    <n v="0.1"/>
    <n v="-159.44999999999999"/>
    <x v="1"/>
    <x v="3"/>
    <s v="18/05/2025"/>
    <x v="0"/>
    <n v="5"/>
    <x v="7"/>
    <s v="Low"/>
    <n v="-3.7982643992215279E-2"/>
  </r>
  <r>
    <s v="ORD100589"/>
    <s v="2024-08-12"/>
    <x v="127"/>
    <x v="3"/>
    <x v="12"/>
    <x v="2"/>
    <x v="4"/>
    <x v="6"/>
    <n v="444.37"/>
    <n v="1"/>
    <n v="0.25"/>
    <n v="13.42"/>
    <x v="6"/>
    <x v="2"/>
    <s v="12/08/2024"/>
    <x v="1"/>
    <n v="8"/>
    <x v="11"/>
    <s v="Low"/>
    <n v="3.0200058509800391E-2"/>
  </r>
  <r>
    <s v="ORD100590"/>
    <s v="2024-03-19"/>
    <x v="20"/>
    <x v="3"/>
    <x v="12"/>
    <x v="1"/>
    <x v="7"/>
    <x v="16"/>
    <n v="2002.5"/>
    <n v="5"/>
    <n v="0.1"/>
    <n v="166.99"/>
    <x v="0"/>
    <x v="1"/>
    <s v="19/03/2024"/>
    <x v="1"/>
    <n v="3"/>
    <x v="3"/>
    <s v="Low"/>
    <n v="8.3390761548064921E-2"/>
  </r>
  <r>
    <s v="ORD100591"/>
    <s v="2024-07-22"/>
    <x v="154"/>
    <x v="2"/>
    <x v="8"/>
    <x v="0"/>
    <x v="2"/>
    <x v="21"/>
    <n v="638.76"/>
    <n v="4"/>
    <n v="0.3"/>
    <n v="-115.34"/>
    <x v="0"/>
    <x v="1"/>
    <s v="22/07/2024"/>
    <x v="1"/>
    <n v="7"/>
    <x v="6"/>
    <s v="Low"/>
    <n v="-0.18056860166572736"/>
  </r>
  <r>
    <s v="ORD100592"/>
    <s v="2024-08-02"/>
    <x v="99"/>
    <x v="1"/>
    <x v="11"/>
    <x v="1"/>
    <x v="5"/>
    <x v="7"/>
    <n v="5114.41"/>
    <n v="7"/>
    <n v="0.15"/>
    <n v="567.77"/>
    <x v="4"/>
    <x v="3"/>
    <s v="02/08/2024"/>
    <x v="1"/>
    <n v="8"/>
    <x v="11"/>
    <s v="Low"/>
    <n v="0.11101378262595295"/>
  </r>
  <r>
    <s v="ORD100593"/>
    <s v="2024-09-22"/>
    <x v="44"/>
    <x v="2"/>
    <x v="10"/>
    <x v="0"/>
    <x v="1"/>
    <x v="1"/>
    <n v="1392.8"/>
    <n v="2"/>
    <n v="0.2"/>
    <n v="306.72000000000003"/>
    <x v="3"/>
    <x v="3"/>
    <s v="22/09/2024"/>
    <x v="1"/>
    <n v="9"/>
    <x v="5"/>
    <s v="Low"/>
    <n v="0.22021826536473293"/>
  </r>
  <r>
    <s v="ORD100594"/>
    <s v="2024-09-13"/>
    <x v="75"/>
    <x v="3"/>
    <x v="13"/>
    <x v="2"/>
    <x v="8"/>
    <x v="12"/>
    <n v="4124.16"/>
    <n v="9"/>
    <n v="0.15"/>
    <n v="509.96"/>
    <x v="6"/>
    <x v="2"/>
    <s v="13/09/2024"/>
    <x v="1"/>
    <n v="9"/>
    <x v="5"/>
    <s v="Low"/>
    <n v="0.12365184667908131"/>
  </r>
  <r>
    <s v="ORD100595"/>
    <s v="2025-02-26"/>
    <x v="94"/>
    <x v="1"/>
    <x v="11"/>
    <x v="0"/>
    <x v="0"/>
    <x v="0"/>
    <n v="2343.5300000000002"/>
    <n v="7"/>
    <n v="0.25"/>
    <n v="-358.01"/>
    <x v="4"/>
    <x v="0"/>
    <s v="26/02/2025"/>
    <x v="0"/>
    <n v="2"/>
    <x v="1"/>
    <s v="Low"/>
    <n v="-0.15276527290028288"/>
  </r>
  <r>
    <s v="ORD100596"/>
    <s v="2024-01-08"/>
    <x v="59"/>
    <x v="1"/>
    <x v="1"/>
    <x v="0"/>
    <x v="2"/>
    <x v="11"/>
    <n v="7065.84"/>
    <n v="8"/>
    <n v="0.05"/>
    <n v="112.31"/>
    <x v="9"/>
    <x v="2"/>
    <s v="08/01/2024"/>
    <x v="1"/>
    <n v="1"/>
    <x v="0"/>
    <s v="High"/>
    <n v="1.5894783918118723E-2"/>
  </r>
  <r>
    <s v="ORD100597"/>
    <s v="2025-05-01"/>
    <x v="126"/>
    <x v="3"/>
    <x v="13"/>
    <x v="2"/>
    <x v="4"/>
    <x v="6"/>
    <n v="2349.85"/>
    <n v="5"/>
    <n v="0.1"/>
    <n v="767"/>
    <x v="0"/>
    <x v="0"/>
    <s v="01/05/2025"/>
    <x v="0"/>
    <n v="5"/>
    <x v="7"/>
    <s v="Low"/>
    <n v="0.32640381300934102"/>
  </r>
  <r>
    <s v="ORD100598"/>
    <s v="2024-01-09"/>
    <x v="9"/>
    <x v="1"/>
    <x v="2"/>
    <x v="0"/>
    <x v="0"/>
    <x v="25"/>
    <n v="2595.65"/>
    <n v="5"/>
    <n v="0.1"/>
    <n v="-9.84"/>
    <x v="0"/>
    <x v="2"/>
    <s v="09/01/2024"/>
    <x v="1"/>
    <n v="1"/>
    <x v="0"/>
    <s v="Low"/>
    <n v="-3.790957948876004E-3"/>
  </r>
  <r>
    <s v="ORD100599"/>
    <s v="2025-10-27"/>
    <x v="6"/>
    <x v="0"/>
    <x v="0"/>
    <x v="2"/>
    <x v="8"/>
    <x v="12"/>
    <n v="670.55"/>
    <n v="5"/>
    <n v="0"/>
    <n v="239.03"/>
    <x v="9"/>
    <x v="0"/>
    <s v="27/10/2025"/>
    <x v="0"/>
    <n v="10"/>
    <x v="2"/>
    <s v="No Discount"/>
    <n v="0.35646857057639253"/>
  </r>
  <r>
    <s v="ORD100600"/>
    <s v="2024-07-28"/>
    <x v="28"/>
    <x v="0"/>
    <x v="4"/>
    <x v="2"/>
    <x v="4"/>
    <x v="26"/>
    <n v="1326.36"/>
    <n v="7"/>
    <n v="0.3"/>
    <n v="-10.119999999999999"/>
    <x v="3"/>
    <x v="2"/>
    <s v="28/07/2024"/>
    <x v="1"/>
    <n v="7"/>
    <x v="6"/>
    <s v="Low"/>
    <n v="-7.6299044000120633E-3"/>
  </r>
  <r>
    <s v="ORD100601"/>
    <s v="2024-01-16"/>
    <x v="121"/>
    <x v="2"/>
    <x v="8"/>
    <x v="2"/>
    <x v="8"/>
    <x v="20"/>
    <n v="7943.11"/>
    <n v="7"/>
    <n v="0.25"/>
    <n v="-1363.76"/>
    <x v="3"/>
    <x v="1"/>
    <s v="16/01/2024"/>
    <x v="1"/>
    <n v="1"/>
    <x v="0"/>
    <s v="Low"/>
    <n v="-0.17169093717699996"/>
  </r>
  <r>
    <s v="ORD100602"/>
    <s v="2024-03-05"/>
    <x v="84"/>
    <x v="3"/>
    <x v="12"/>
    <x v="1"/>
    <x v="5"/>
    <x v="24"/>
    <n v="5981.34"/>
    <n v="6"/>
    <n v="0.2"/>
    <n v="467.52"/>
    <x v="1"/>
    <x v="0"/>
    <s v="05/03/2024"/>
    <x v="1"/>
    <n v="3"/>
    <x v="3"/>
    <s v="Low"/>
    <n v="7.8163087201195719E-2"/>
  </r>
  <r>
    <s v="ORD100603"/>
    <s v="2024-01-08"/>
    <x v="63"/>
    <x v="2"/>
    <x v="3"/>
    <x v="2"/>
    <x v="6"/>
    <x v="13"/>
    <n v="209.72"/>
    <n v="2"/>
    <n v="0.05"/>
    <n v="4.6900000000000004"/>
    <x v="4"/>
    <x v="0"/>
    <s v="08/01/2024"/>
    <x v="1"/>
    <n v="1"/>
    <x v="0"/>
    <s v="High"/>
    <n v="2.2363150867823766E-2"/>
  </r>
  <r>
    <s v="ORD100604"/>
    <s v="2025-03-02"/>
    <x v="134"/>
    <x v="2"/>
    <x v="8"/>
    <x v="1"/>
    <x v="7"/>
    <x v="9"/>
    <n v="1101.76"/>
    <n v="2"/>
    <n v="0.25"/>
    <n v="35.380000000000003"/>
    <x v="8"/>
    <x v="0"/>
    <s v="02/03/2025"/>
    <x v="0"/>
    <n v="3"/>
    <x v="3"/>
    <s v="Low"/>
    <n v="3.2112256752831837E-2"/>
  </r>
  <r>
    <s v="ORD100605"/>
    <s v="2024-10-15"/>
    <x v="9"/>
    <x v="2"/>
    <x v="10"/>
    <x v="2"/>
    <x v="8"/>
    <x v="20"/>
    <n v="424.4"/>
    <n v="5"/>
    <n v="0.15"/>
    <n v="91.88"/>
    <x v="2"/>
    <x v="3"/>
    <s v="15/10/2024"/>
    <x v="1"/>
    <n v="10"/>
    <x v="2"/>
    <s v="Low"/>
    <n v="0.21649387370405279"/>
  </r>
  <r>
    <s v="ORD100606"/>
    <s v="2025-04-09"/>
    <x v="113"/>
    <x v="3"/>
    <x v="13"/>
    <x v="1"/>
    <x v="5"/>
    <x v="15"/>
    <n v="124.72"/>
    <n v="4"/>
    <n v="0.15"/>
    <n v="-3.76"/>
    <x v="0"/>
    <x v="0"/>
    <s v="09/04/2025"/>
    <x v="0"/>
    <n v="4"/>
    <x v="8"/>
    <s v="Low"/>
    <n v="-3.0147530468248876E-2"/>
  </r>
  <r>
    <s v="ORD100607"/>
    <s v="2024-08-15"/>
    <x v="188"/>
    <x v="2"/>
    <x v="10"/>
    <x v="0"/>
    <x v="0"/>
    <x v="25"/>
    <n v="638.91"/>
    <n v="3"/>
    <n v="0.15"/>
    <n v="124.97"/>
    <x v="1"/>
    <x v="2"/>
    <s v="15/08/2024"/>
    <x v="1"/>
    <n v="8"/>
    <x v="11"/>
    <s v="Low"/>
    <n v="0.19559875412812447"/>
  </r>
  <r>
    <s v="ORD100608"/>
    <s v="2024-05-29"/>
    <x v="25"/>
    <x v="3"/>
    <x v="12"/>
    <x v="1"/>
    <x v="3"/>
    <x v="4"/>
    <n v="121.08"/>
    <n v="4"/>
    <n v="0.2"/>
    <n v="6.65"/>
    <x v="3"/>
    <x v="3"/>
    <s v="29/05/2024"/>
    <x v="1"/>
    <n v="5"/>
    <x v="7"/>
    <s v="Low"/>
    <n v="5.4922365378262311E-2"/>
  </r>
  <r>
    <s v="ORD100609"/>
    <s v="2024-12-29"/>
    <x v="174"/>
    <x v="3"/>
    <x v="12"/>
    <x v="1"/>
    <x v="3"/>
    <x v="4"/>
    <n v="3495.92"/>
    <n v="4"/>
    <n v="0.3"/>
    <n v="-379.17"/>
    <x v="9"/>
    <x v="3"/>
    <s v="29/12/2024"/>
    <x v="1"/>
    <n v="12"/>
    <x v="4"/>
    <s v="Low"/>
    <n v="-0.10846071992494108"/>
  </r>
  <r>
    <s v="ORD100610"/>
    <s v="2024-08-10"/>
    <x v="105"/>
    <x v="0"/>
    <x v="0"/>
    <x v="0"/>
    <x v="2"/>
    <x v="11"/>
    <n v="5155.3"/>
    <n v="10"/>
    <n v="0.25"/>
    <n v="-942.51"/>
    <x v="1"/>
    <x v="0"/>
    <s v="10/08/2024"/>
    <x v="1"/>
    <n v="8"/>
    <x v="11"/>
    <s v="Low"/>
    <n v="-0.18282350202704012"/>
  </r>
  <r>
    <s v="ORD100611"/>
    <s v="2025-07-24"/>
    <x v="38"/>
    <x v="1"/>
    <x v="2"/>
    <x v="2"/>
    <x v="6"/>
    <x v="8"/>
    <n v="4143.5600000000004"/>
    <n v="4"/>
    <n v="0.2"/>
    <n v="63.35"/>
    <x v="4"/>
    <x v="3"/>
    <s v="24/07/2025"/>
    <x v="0"/>
    <n v="7"/>
    <x v="6"/>
    <s v="Low"/>
    <n v="1.5288785488806725E-2"/>
  </r>
  <r>
    <s v="ORD100612"/>
    <s v="2025-12-01"/>
    <x v="138"/>
    <x v="2"/>
    <x v="8"/>
    <x v="1"/>
    <x v="5"/>
    <x v="15"/>
    <n v="8462.8799999999992"/>
    <n v="9"/>
    <n v="0.05"/>
    <n v="2387.1999999999998"/>
    <x v="6"/>
    <x v="3"/>
    <s v="01/12/2025"/>
    <x v="0"/>
    <n v="12"/>
    <x v="4"/>
    <s v="High"/>
    <n v="0.28207891403399316"/>
  </r>
  <r>
    <s v="ORD100613"/>
    <s v="2024-12-20"/>
    <x v="20"/>
    <x v="3"/>
    <x v="15"/>
    <x v="1"/>
    <x v="7"/>
    <x v="9"/>
    <n v="708.66"/>
    <n v="3"/>
    <n v="0.15"/>
    <n v="108.53"/>
    <x v="6"/>
    <x v="2"/>
    <s v="20/12/2024"/>
    <x v="1"/>
    <n v="12"/>
    <x v="4"/>
    <s v="Low"/>
    <n v="0.15314819518527928"/>
  </r>
  <r>
    <s v="ORD100614"/>
    <s v="2025-03-21"/>
    <x v="68"/>
    <x v="3"/>
    <x v="12"/>
    <x v="0"/>
    <x v="1"/>
    <x v="3"/>
    <n v="6601.5"/>
    <n v="10"/>
    <n v="0.1"/>
    <n v="1066.8499999999999"/>
    <x v="8"/>
    <x v="1"/>
    <s v="21/03/2025"/>
    <x v="0"/>
    <n v="3"/>
    <x v="3"/>
    <s v="Low"/>
    <n v="0.1616072104824661"/>
  </r>
  <r>
    <s v="ORD100615"/>
    <s v="2025-05-23"/>
    <x v="6"/>
    <x v="1"/>
    <x v="5"/>
    <x v="2"/>
    <x v="6"/>
    <x v="13"/>
    <n v="3207.42"/>
    <n v="6"/>
    <n v="0.15"/>
    <n v="-100.21"/>
    <x v="5"/>
    <x v="1"/>
    <s v="23/05/2025"/>
    <x v="0"/>
    <n v="5"/>
    <x v="7"/>
    <s v="Low"/>
    <n v="-3.124317987666099E-2"/>
  </r>
  <r>
    <s v="ORD100616"/>
    <s v="2025-03-23"/>
    <x v="23"/>
    <x v="0"/>
    <x v="7"/>
    <x v="2"/>
    <x v="6"/>
    <x v="8"/>
    <n v="477.98"/>
    <n v="2"/>
    <n v="0.3"/>
    <n v="-27.44"/>
    <x v="8"/>
    <x v="3"/>
    <s v="23/03/2025"/>
    <x v="0"/>
    <n v="3"/>
    <x v="3"/>
    <s v="Low"/>
    <n v="-5.740825975982259E-2"/>
  </r>
  <r>
    <s v="ORD100617"/>
    <s v="2024-01-10"/>
    <x v="23"/>
    <x v="0"/>
    <x v="0"/>
    <x v="1"/>
    <x v="5"/>
    <x v="24"/>
    <n v="8957.52"/>
    <n v="9"/>
    <n v="0.05"/>
    <n v="2687.85"/>
    <x v="2"/>
    <x v="0"/>
    <s v="10/01/2024"/>
    <x v="1"/>
    <n v="1"/>
    <x v="0"/>
    <s v="High"/>
    <n v="0.30006631299734743"/>
  </r>
  <r>
    <s v="ORD100618"/>
    <s v="2024-07-03"/>
    <x v="130"/>
    <x v="1"/>
    <x v="5"/>
    <x v="2"/>
    <x v="4"/>
    <x v="10"/>
    <n v="234.84"/>
    <n v="6"/>
    <n v="0.1"/>
    <n v="20.02"/>
    <x v="3"/>
    <x v="3"/>
    <s v="03/07/2024"/>
    <x v="1"/>
    <n v="7"/>
    <x v="6"/>
    <s v="Low"/>
    <n v="8.5249531595980241E-2"/>
  </r>
  <r>
    <s v="ORD100619"/>
    <s v="2025-08-07"/>
    <x v="164"/>
    <x v="2"/>
    <x v="8"/>
    <x v="2"/>
    <x v="6"/>
    <x v="23"/>
    <n v="1061.58"/>
    <n v="6"/>
    <n v="0.25"/>
    <n v="-95.35"/>
    <x v="7"/>
    <x v="1"/>
    <s v="07/08/2025"/>
    <x v="0"/>
    <n v="8"/>
    <x v="11"/>
    <s v="Low"/>
    <n v="-8.9818949113585414E-2"/>
  </r>
  <r>
    <s v="ORD100620"/>
    <s v="2024-04-29"/>
    <x v="34"/>
    <x v="2"/>
    <x v="10"/>
    <x v="2"/>
    <x v="4"/>
    <x v="10"/>
    <n v="1102.8499999999999"/>
    <n v="7"/>
    <n v="0"/>
    <n v="490.92"/>
    <x v="8"/>
    <x v="2"/>
    <s v="29/04/2024"/>
    <x v="1"/>
    <n v="4"/>
    <x v="8"/>
    <s v="No Discount"/>
    <n v="0.44513759804143815"/>
  </r>
  <r>
    <s v="ORD100621"/>
    <s v="2025-07-20"/>
    <x v="174"/>
    <x v="0"/>
    <x v="7"/>
    <x v="1"/>
    <x v="3"/>
    <x v="14"/>
    <n v="628.94000000000005"/>
    <n v="1"/>
    <n v="0.25"/>
    <n v="-59.35"/>
    <x v="8"/>
    <x v="2"/>
    <s v="20/07/2025"/>
    <x v="0"/>
    <n v="7"/>
    <x v="6"/>
    <s v="Low"/>
    <n v="-9.4365122269214868E-2"/>
  </r>
  <r>
    <s v="ORD100622"/>
    <s v="2024-11-17"/>
    <x v="123"/>
    <x v="3"/>
    <x v="12"/>
    <x v="2"/>
    <x v="4"/>
    <x v="6"/>
    <n v="5274.08"/>
    <n v="7"/>
    <n v="0.2"/>
    <n v="786.64"/>
    <x v="6"/>
    <x v="0"/>
    <s v="17/11/2024"/>
    <x v="1"/>
    <n v="11"/>
    <x v="10"/>
    <s v="Low"/>
    <n v="0.14915207960440494"/>
  </r>
  <r>
    <s v="ORD100623"/>
    <s v="2025-10-18"/>
    <x v="75"/>
    <x v="0"/>
    <x v="9"/>
    <x v="1"/>
    <x v="7"/>
    <x v="17"/>
    <n v="3317.4"/>
    <n v="5"/>
    <n v="0.3"/>
    <n v="-370.43"/>
    <x v="5"/>
    <x v="2"/>
    <s v="18/10/2025"/>
    <x v="0"/>
    <n v="10"/>
    <x v="2"/>
    <s v="Low"/>
    <n v="-0.11166274793512992"/>
  </r>
  <r>
    <s v="ORD100624"/>
    <s v="2024-04-03"/>
    <x v="168"/>
    <x v="1"/>
    <x v="2"/>
    <x v="2"/>
    <x v="8"/>
    <x v="18"/>
    <n v="8726.58"/>
    <n v="9"/>
    <n v="0.3"/>
    <n v="-1012.32"/>
    <x v="6"/>
    <x v="1"/>
    <s v="03/04/2024"/>
    <x v="1"/>
    <n v="4"/>
    <x v="8"/>
    <s v="Low"/>
    <n v="-0.11600420783399683"/>
  </r>
  <r>
    <s v="ORD100625"/>
    <s v="2025-03-25"/>
    <x v="51"/>
    <x v="1"/>
    <x v="1"/>
    <x v="0"/>
    <x v="0"/>
    <x v="0"/>
    <n v="401.73"/>
    <n v="1"/>
    <n v="0.15"/>
    <n v="-7.94"/>
    <x v="0"/>
    <x v="1"/>
    <s v="25/03/2025"/>
    <x v="0"/>
    <n v="3"/>
    <x v="3"/>
    <s v="Low"/>
    <n v="-1.9764518457670573E-2"/>
  </r>
  <r>
    <s v="ORD100626"/>
    <s v="2025-08-22"/>
    <x v="52"/>
    <x v="0"/>
    <x v="9"/>
    <x v="2"/>
    <x v="4"/>
    <x v="6"/>
    <n v="919.94"/>
    <n v="7"/>
    <n v="0.1"/>
    <n v="69.42"/>
    <x v="3"/>
    <x v="0"/>
    <s v="22/08/2025"/>
    <x v="0"/>
    <n v="8"/>
    <x v="11"/>
    <s v="Low"/>
    <n v="7.5461443137595924E-2"/>
  </r>
  <r>
    <s v="ORD100627"/>
    <s v="2025-04-07"/>
    <x v="2"/>
    <x v="3"/>
    <x v="15"/>
    <x v="1"/>
    <x v="7"/>
    <x v="17"/>
    <n v="11195.2"/>
    <n v="10"/>
    <n v="0.2"/>
    <n v="-778.78"/>
    <x v="8"/>
    <x v="0"/>
    <s v="07/04/2025"/>
    <x v="0"/>
    <n v="4"/>
    <x v="8"/>
    <s v="Low"/>
    <n v="-6.9563741603544366E-2"/>
  </r>
  <r>
    <s v="ORD100628"/>
    <s v="2024-10-01"/>
    <x v="175"/>
    <x v="2"/>
    <x v="8"/>
    <x v="0"/>
    <x v="0"/>
    <x v="25"/>
    <n v="4920.03"/>
    <n v="9"/>
    <n v="0.25"/>
    <n v="357.74"/>
    <x v="9"/>
    <x v="0"/>
    <s v="01/10/2024"/>
    <x v="1"/>
    <n v="10"/>
    <x v="2"/>
    <s v="Low"/>
    <n v="7.2710938754438501E-2"/>
  </r>
  <r>
    <s v="ORD100629"/>
    <s v="2024-11-24"/>
    <x v="183"/>
    <x v="2"/>
    <x v="6"/>
    <x v="2"/>
    <x v="4"/>
    <x v="6"/>
    <n v="9882.18"/>
    <n v="9"/>
    <n v="0.2"/>
    <n v="-637.38"/>
    <x v="6"/>
    <x v="0"/>
    <s v="24/11/2024"/>
    <x v="1"/>
    <n v="11"/>
    <x v="10"/>
    <s v="Low"/>
    <n v="-6.4497914427788197E-2"/>
  </r>
  <r>
    <s v="ORD100630"/>
    <s v="2025-10-25"/>
    <x v="52"/>
    <x v="2"/>
    <x v="3"/>
    <x v="2"/>
    <x v="4"/>
    <x v="26"/>
    <n v="286.83999999999997"/>
    <n v="4"/>
    <n v="0.15"/>
    <n v="45.37"/>
    <x v="4"/>
    <x v="0"/>
    <s v="25/10/2025"/>
    <x v="0"/>
    <n v="10"/>
    <x v="2"/>
    <s v="Low"/>
    <n v="0.15817180309580253"/>
  </r>
  <r>
    <s v="ORD100631"/>
    <s v="2024-10-02"/>
    <x v="98"/>
    <x v="2"/>
    <x v="8"/>
    <x v="0"/>
    <x v="2"/>
    <x v="11"/>
    <n v="8572.23"/>
    <n v="9"/>
    <n v="0.1"/>
    <n v="443.72"/>
    <x v="1"/>
    <x v="1"/>
    <s v="02/10/2024"/>
    <x v="1"/>
    <n v="10"/>
    <x v="2"/>
    <s v="Low"/>
    <n v="5.1762493540187332E-2"/>
  </r>
  <r>
    <s v="ORD100632"/>
    <s v="2025-01-09"/>
    <x v="13"/>
    <x v="0"/>
    <x v="4"/>
    <x v="0"/>
    <x v="2"/>
    <x v="2"/>
    <n v="4252.59"/>
    <n v="9"/>
    <n v="0.25"/>
    <n v="828.49"/>
    <x v="2"/>
    <x v="3"/>
    <s v="09/01/2025"/>
    <x v="0"/>
    <n v="1"/>
    <x v="0"/>
    <s v="Low"/>
    <n v="0.19482009786976878"/>
  </r>
  <r>
    <s v="ORD100633"/>
    <s v="2024-06-06"/>
    <x v="60"/>
    <x v="1"/>
    <x v="5"/>
    <x v="0"/>
    <x v="2"/>
    <x v="21"/>
    <n v="4932"/>
    <n v="5"/>
    <n v="0.25"/>
    <n v="-299.17"/>
    <x v="7"/>
    <x v="0"/>
    <s v="06/06/2024"/>
    <x v="1"/>
    <n v="6"/>
    <x v="9"/>
    <s v="Low"/>
    <n v="-6.0658961881589625E-2"/>
  </r>
  <r>
    <s v="ORD100634"/>
    <s v="2024-01-09"/>
    <x v="109"/>
    <x v="0"/>
    <x v="7"/>
    <x v="1"/>
    <x v="7"/>
    <x v="9"/>
    <n v="4775.26"/>
    <n v="7"/>
    <n v="0.1"/>
    <n v="988.97"/>
    <x v="0"/>
    <x v="2"/>
    <s v="09/01/2024"/>
    <x v="1"/>
    <n v="1"/>
    <x v="0"/>
    <s v="Low"/>
    <n v="0.20710285932074901"/>
  </r>
  <r>
    <s v="ORD100635"/>
    <s v="2025-12-19"/>
    <x v="113"/>
    <x v="2"/>
    <x v="3"/>
    <x v="0"/>
    <x v="0"/>
    <x v="25"/>
    <n v="6775.28"/>
    <n v="8"/>
    <n v="0.05"/>
    <n v="2213.81"/>
    <x v="9"/>
    <x v="0"/>
    <s v="19/12/2025"/>
    <x v="0"/>
    <n v="12"/>
    <x v="4"/>
    <s v="High"/>
    <n v="0.32674811963490807"/>
  </r>
  <r>
    <s v="ORD100636"/>
    <s v="2025-06-27"/>
    <x v="182"/>
    <x v="3"/>
    <x v="15"/>
    <x v="2"/>
    <x v="8"/>
    <x v="12"/>
    <n v="11325.1"/>
    <n v="10"/>
    <n v="0.25"/>
    <n v="775.22"/>
    <x v="0"/>
    <x v="1"/>
    <s v="27/06/2025"/>
    <x v="0"/>
    <n v="6"/>
    <x v="9"/>
    <s v="Low"/>
    <n v="6.8451492702051198E-2"/>
  </r>
  <r>
    <s v="ORD100637"/>
    <s v="2024-12-31"/>
    <x v="46"/>
    <x v="3"/>
    <x v="13"/>
    <x v="0"/>
    <x v="0"/>
    <x v="22"/>
    <n v="4778.3599999999997"/>
    <n v="4"/>
    <n v="0.25"/>
    <n v="939.71"/>
    <x v="7"/>
    <x v="2"/>
    <s v="31/12/2024"/>
    <x v="1"/>
    <n v="12"/>
    <x v="4"/>
    <s v="Low"/>
    <n v="0.19665952335110792"/>
  </r>
  <r>
    <s v="ORD100638"/>
    <s v="2024-12-24"/>
    <x v="13"/>
    <x v="3"/>
    <x v="12"/>
    <x v="0"/>
    <x v="2"/>
    <x v="11"/>
    <n v="3493.44"/>
    <n v="3"/>
    <n v="0.25"/>
    <n v="-384.47"/>
    <x v="5"/>
    <x v="2"/>
    <s v="24/12/2024"/>
    <x v="1"/>
    <n v="12"/>
    <x v="4"/>
    <s v="Low"/>
    <n v="-0.11005484565356784"/>
  </r>
  <r>
    <s v="ORD100639"/>
    <s v="2025-12-17"/>
    <x v="154"/>
    <x v="3"/>
    <x v="12"/>
    <x v="0"/>
    <x v="2"/>
    <x v="21"/>
    <n v="528.78"/>
    <n v="3"/>
    <n v="0.2"/>
    <n v="77.349999999999994"/>
    <x v="3"/>
    <x v="3"/>
    <s v="17/12/2025"/>
    <x v="0"/>
    <n v="12"/>
    <x v="4"/>
    <s v="Low"/>
    <n v="0.1462801164945724"/>
  </r>
  <r>
    <s v="ORD100640"/>
    <s v="2024-05-04"/>
    <x v="26"/>
    <x v="1"/>
    <x v="1"/>
    <x v="2"/>
    <x v="6"/>
    <x v="13"/>
    <n v="5847.8"/>
    <n v="5"/>
    <n v="0.1"/>
    <n v="1776.8"/>
    <x v="5"/>
    <x v="2"/>
    <s v="04/05/2024"/>
    <x v="1"/>
    <n v="5"/>
    <x v="7"/>
    <s v="Low"/>
    <n v="0.30384076062792842"/>
  </r>
  <r>
    <s v="ORD100641"/>
    <s v="2025-04-03"/>
    <x v="127"/>
    <x v="0"/>
    <x v="0"/>
    <x v="1"/>
    <x v="7"/>
    <x v="9"/>
    <n v="3363.81"/>
    <n v="3"/>
    <n v="0.25"/>
    <n v="500.79"/>
    <x v="4"/>
    <x v="2"/>
    <s v="03/04/2025"/>
    <x v="0"/>
    <n v="4"/>
    <x v="8"/>
    <s v="Low"/>
    <n v="0.14887582830183632"/>
  </r>
  <r>
    <s v="ORD100642"/>
    <s v="2025-08-05"/>
    <x v="95"/>
    <x v="0"/>
    <x v="0"/>
    <x v="2"/>
    <x v="6"/>
    <x v="13"/>
    <n v="6961.52"/>
    <n v="8"/>
    <n v="0.15"/>
    <n v="2065.69"/>
    <x v="5"/>
    <x v="0"/>
    <s v="05/08/2025"/>
    <x v="0"/>
    <n v="8"/>
    <x v="11"/>
    <s v="Low"/>
    <n v="0.29672973718383339"/>
  </r>
  <r>
    <s v="ORD100643"/>
    <s v="2025-04-08"/>
    <x v="189"/>
    <x v="2"/>
    <x v="3"/>
    <x v="2"/>
    <x v="4"/>
    <x v="10"/>
    <n v="10626.6"/>
    <n v="10"/>
    <n v="0.3"/>
    <n v="-297.55"/>
    <x v="8"/>
    <x v="2"/>
    <s v="08/04/2025"/>
    <x v="0"/>
    <n v="4"/>
    <x v="8"/>
    <s v="Low"/>
    <n v="-2.800048933807615E-2"/>
  </r>
  <r>
    <s v="ORD100644"/>
    <s v="2024-03-07"/>
    <x v="20"/>
    <x v="1"/>
    <x v="2"/>
    <x v="2"/>
    <x v="6"/>
    <x v="23"/>
    <n v="2613.48"/>
    <n v="3"/>
    <n v="0.1"/>
    <n v="245.82"/>
    <x v="6"/>
    <x v="3"/>
    <s v="07/03/2024"/>
    <x v="1"/>
    <n v="3"/>
    <x v="3"/>
    <s v="Low"/>
    <n v="9.4058496717020976E-2"/>
  </r>
  <r>
    <s v="ORD100645"/>
    <s v="2024-10-21"/>
    <x v="3"/>
    <x v="0"/>
    <x v="7"/>
    <x v="2"/>
    <x v="4"/>
    <x v="26"/>
    <n v="892.48"/>
    <n v="2"/>
    <n v="0.05"/>
    <n v="120.83"/>
    <x v="5"/>
    <x v="1"/>
    <s v="21/10/2024"/>
    <x v="1"/>
    <n v="10"/>
    <x v="2"/>
    <s v="High"/>
    <n v="0.13538678737898888"/>
  </r>
  <r>
    <s v="ORD100646"/>
    <s v="2024-07-12"/>
    <x v="115"/>
    <x v="3"/>
    <x v="15"/>
    <x v="0"/>
    <x v="0"/>
    <x v="0"/>
    <n v="3232.2"/>
    <n v="3"/>
    <n v="0.05"/>
    <n v="844.98"/>
    <x v="0"/>
    <x v="0"/>
    <s v="12/07/2024"/>
    <x v="1"/>
    <n v="7"/>
    <x v="6"/>
    <s v="High"/>
    <n v="0.26142565435307225"/>
  </r>
  <r>
    <s v="ORD100647"/>
    <s v="2025-02-18"/>
    <x v="44"/>
    <x v="0"/>
    <x v="7"/>
    <x v="1"/>
    <x v="5"/>
    <x v="24"/>
    <n v="2752.44"/>
    <n v="4"/>
    <n v="0.15"/>
    <n v="-271.36"/>
    <x v="6"/>
    <x v="3"/>
    <s v="18/02/2025"/>
    <x v="0"/>
    <n v="2"/>
    <x v="1"/>
    <s v="Low"/>
    <n v="-9.8588888404470221E-2"/>
  </r>
  <r>
    <s v="ORD100648"/>
    <s v="2024-08-20"/>
    <x v="175"/>
    <x v="2"/>
    <x v="6"/>
    <x v="0"/>
    <x v="2"/>
    <x v="11"/>
    <n v="7049.34"/>
    <n v="6"/>
    <n v="0.2"/>
    <n v="1539.25"/>
    <x v="1"/>
    <x v="2"/>
    <s v="20/08/2024"/>
    <x v="1"/>
    <n v="8"/>
    <x v="11"/>
    <s v="Low"/>
    <n v="0.21835377496332989"/>
  </r>
  <r>
    <s v="ORD100649"/>
    <s v="2025-02-19"/>
    <x v="190"/>
    <x v="0"/>
    <x v="0"/>
    <x v="0"/>
    <x v="1"/>
    <x v="1"/>
    <n v="3526.02"/>
    <n v="9"/>
    <n v="0.2"/>
    <n v="236.86"/>
    <x v="7"/>
    <x v="3"/>
    <s v="19/02/2025"/>
    <x v="0"/>
    <n v="2"/>
    <x v="1"/>
    <s v="Low"/>
    <n v="6.7174888401086777E-2"/>
  </r>
  <r>
    <s v="ORD100650"/>
    <s v="2024-07-14"/>
    <x v="69"/>
    <x v="1"/>
    <x v="1"/>
    <x v="1"/>
    <x v="5"/>
    <x v="24"/>
    <n v="260.01"/>
    <n v="9"/>
    <n v="0"/>
    <n v="68.900000000000006"/>
    <x v="6"/>
    <x v="2"/>
    <s v="14/07/2024"/>
    <x v="1"/>
    <n v="7"/>
    <x v="6"/>
    <s v="No Discount"/>
    <n v="0.2649898080843045"/>
  </r>
  <r>
    <s v="ORD100651"/>
    <s v="2024-07-14"/>
    <x v="163"/>
    <x v="0"/>
    <x v="0"/>
    <x v="1"/>
    <x v="3"/>
    <x v="14"/>
    <n v="817.08"/>
    <n v="4"/>
    <n v="0.2"/>
    <n v="-106.36"/>
    <x v="1"/>
    <x v="1"/>
    <s v="14/07/2024"/>
    <x v="1"/>
    <n v="7"/>
    <x v="6"/>
    <s v="Low"/>
    <n v="-0.13017085230332404"/>
  </r>
  <r>
    <s v="ORD100652"/>
    <s v="2024-07-01"/>
    <x v="188"/>
    <x v="3"/>
    <x v="12"/>
    <x v="0"/>
    <x v="0"/>
    <x v="22"/>
    <n v="5958.7"/>
    <n v="5"/>
    <n v="0"/>
    <n v="1683.94"/>
    <x v="7"/>
    <x v="0"/>
    <s v="01/07/2024"/>
    <x v="1"/>
    <n v="7"/>
    <x v="6"/>
    <s v="No Discount"/>
    <n v="0.28260190981254302"/>
  </r>
  <r>
    <s v="ORD100653"/>
    <s v="2025-11-29"/>
    <x v="91"/>
    <x v="0"/>
    <x v="4"/>
    <x v="1"/>
    <x v="5"/>
    <x v="24"/>
    <n v="4756.8"/>
    <n v="10"/>
    <n v="0.05"/>
    <n v="1652.38"/>
    <x v="3"/>
    <x v="3"/>
    <s v="29/11/2025"/>
    <x v="0"/>
    <n v="11"/>
    <x v="10"/>
    <s v="High"/>
    <n v="0.34737218298015471"/>
  </r>
  <r>
    <s v="ORD100654"/>
    <s v="2025-04-23"/>
    <x v="160"/>
    <x v="0"/>
    <x v="7"/>
    <x v="0"/>
    <x v="0"/>
    <x v="0"/>
    <n v="2476.1999999999998"/>
    <n v="4"/>
    <n v="0.15"/>
    <n v="508.1"/>
    <x v="9"/>
    <x v="1"/>
    <s v="23/04/2025"/>
    <x v="0"/>
    <n v="4"/>
    <x v="8"/>
    <s v="Low"/>
    <n v="0.20519344156368632"/>
  </r>
  <r>
    <s v="ORD100655"/>
    <s v="2025-01-30"/>
    <x v="123"/>
    <x v="3"/>
    <x v="15"/>
    <x v="1"/>
    <x v="5"/>
    <x v="24"/>
    <n v="8951.1299999999992"/>
    <n v="9"/>
    <n v="0.2"/>
    <n v="1737.78"/>
    <x v="9"/>
    <x v="2"/>
    <s v="30/01/2025"/>
    <x v="0"/>
    <n v="1"/>
    <x v="0"/>
    <s v="Low"/>
    <n v="0.19414085149025878"/>
  </r>
  <r>
    <s v="ORD100656"/>
    <s v="2024-09-03"/>
    <x v="54"/>
    <x v="2"/>
    <x v="3"/>
    <x v="1"/>
    <x v="3"/>
    <x v="5"/>
    <n v="6868.98"/>
    <n v="6"/>
    <n v="0.1"/>
    <n v="1645.73"/>
    <x v="3"/>
    <x v="3"/>
    <s v="03/09/2024"/>
    <x v="1"/>
    <n v="9"/>
    <x v="5"/>
    <s v="Low"/>
    <n v="0.23958870167040813"/>
  </r>
  <r>
    <s v="ORD100657"/>
    <s v="2024-07-24"/>
    <x v="149"/>
    <x v="3"/>
    <x v="13"/>
    <x v="1"/>
    <x v="5"/>
    <x v="24"/>
    <n v="788.48"/>
    <n v="2"/>
    <n v="0.05"/>
    <n v="241.47"/>
    <x v="1"/>
    <x v="1"/>
    <s v="24/07/2024"/>
    <x v="1"/>
    <n v="7"/>
    <x v="6"/>
    <s v="High"/>
    <n v="0.30624746347402598"/>
  </r>
  <r>
    <s v="ORD100658"/>
    <s v="2025-07-18"/>
    <x v="3"/>
    <x v="3"/>
    <x v="15"/>
    <x v="1"/>
    <x v="5"/>
    <x v="7"/>
    <n v="2815.83"/>
    <n v="9"/>
    <n v="0.2"/>
    <n v="88.72"/>
    <x v="3"/>
    <x v="3"/>
    <s v="18/07/2025"/>
    <x v="0"/>
    <n v="7"/>
    <x v="6"/>
    <s v="Low"/>
    <n v="3.1507583909539991E-2"/>
  </r>
  <r>
    <s v="ORD100659"/>
    <s v="2024-01-07"/>
    <x v="149"/>
    <x v="2"/>
    <x v="3"/>
    <x v="2"/>
    <x v="6"/>
    <x v="13"/>
    <n v="6828.96"/>
    <n v="8"/>
    <n v="0.05"/>
    <n v="1192.5899999999999"/>
    <x v="7"/>
    <x v="0"/>
    <s v="07/01/2024"/>
    <x v="1"/>
    <n v="1"/>
    <x v="0"/>
    <s v="High"/>
    <n v="0.17463713361917479"/>
  </r>
  <r>
    <s v="ORD100660"/>
    <s v="2024-03-13"/>
    <x v="45"/>
    <x v="2"/>
    <x v="3"/>
    <x v="1"/>
    <x v="5"/>
    <x v="15"/>
    <n v="2283.6"/>
    <n v="4"/>
    <n v="0.25"/>
    <n v="-384.32"/>
    <x v="2"/>
    <x v="2"/>
    <s v="13/03/2024"/>
    <x v="1"/>
    <n v="3"/>
    <x v="3"/>
    <s v="Low"/>
    <n v="-0.16829567349798563"/>
  </r>
  <r>
    <s v="ORD100661"/>
    <s v="2024-12-12"/>
    <x v="84"/>
    <x v="3"/>
    <x v="12"/>
    <x v="0"/>
    <x v="1"/>
    <x v="19"/>
    <n v="3086.13"/>
    <n v="3"/>
    <n v="0.15"/>
    <n v="577.42999999999995"/>
    <x v="4"/>
    <x v="2"/>
    <s v="12/12/2024"/>
    <x v="1"/>
    <n v="12"/>
    <x v="4"/>
    <s v="Low"/>
    <n v="0.18710488540664194"/>
  </r>
  <r>
    <s v="ORD100662"/>
    <s v="2025-10-15"/>
    <x v="104"/>
    <x v="1"/>
    <x v="5"/>
    <x v="0"/>
    <x v="1"/>
    <x v="3"/>
    <n v="3039.57"/>
    <n v="3"/>
    <n v="0.3"/>
    <n v="249.52"/>
    <x v="5"/>
    <x v="0"/>
    <s v="15/10/2025"/>
    <x v="0"/>
    <n v="10"/>
    <x v="2"/>
    <s v="Low"/>
    <n v="8.2090558861944288E-2"/>
  </r>
  <r>
    <s v="ORD100663"/>
    <s v="2025-05-16"/>
    <x v="170"/>
    <x v="0"/>
    <x v="4"/>
    <x v="1"/>
    <x v="3"/>
    <x v="5"/>
    <n v="6604.38"/>
    <n v="9"/>
    <n v="0"/>
    <n v="2780.36"/>
    <x v="6"/>
    <x v="3"/>
    <s v="16/05/2025"/>
    <x v="0"/>
    <n v="5"/>
    <x v="7"/>
    <s v="No Discount"/>
    <n v="0.42098728419624554"/>
  </r>
  <r>
    <s v="ORD100664"/>
    <s v="2025-07-19"/>
    <x v="34"/>
    <x v="0"/>
    <x v="9"/>
    <x v="2"/>
    <x v="4"/>
    <x v="10"/>
    <n v="5846.46"/>
    <n v="6"/>
    <n v="0.3"/>
    <n v="-877.6"/>
    <x v="3"/>
    <x v="0"/>
    <s v="19/07/2025"/>
    <x v="0"/>
    <n v="7"/>
    <x v="6"/>
    <s v="Low"/>
    <n v="-0.15010792855847813"/>
  </r>
  <r>
    <s v="ORD100665"/>
    <s v="2025-12-09"/>
    <x v="79"/>
    <x v="0"/>
    <x v="0"/>
    <x v="2"/>
    <x v="8"/>
    <x v="20"/>
    <n v="7543.08"/>
    <n v="9"/>
    <n v="0.25"/>
    <n v="-659.09"/>
    <x v="2"/>
    <x v="2"/>
    <s v="09/12/2025"/>
    <x v="0"/>
    <n v="12"/>
    <x v="4"/>
    <s v="Low"/>
    <n v="-8.737677447408751E-2"/>
  </r>
  <r>
    <s v="ORD100666"/>
    <s v="2025-07-04"/>
    <x v="161"/>
    <x v="3"/>
    <x v="15"/>
    <x v="2"/>
    <x v="6"/>
    <x v="8"/>
    <n v="1887.74"/>
    <n v="2"/>
    <n v="0.05"/>
    <n v="95.72"/>
    <x v="9"/>
    <x v="1"/>
    <s v="04/07/2025"/>
    <x v="0"/>
    <n v="7"/>
    <x v="6"/>
    <s v="High"/>
    <n v="5.0706135378812758E-2"/>
  </r>
  <r>
    <s v="ORD100667"/>
    <s v="2024-05-20"/>
    <x v="130"/>
    <x v="1"/>
    <x v="2"/>
    <x v="2"/>
    <x v="4"/>
    <x v="26"/>
    <n v="7645.89"/>
    <n v="7"/>
    <n v="0.05"/>
    <n v="945.67"/>
    <x v="7"/>
    <x v="1"/>
    <s v="20/05/2024"/>
    <x v="1"/>
    <n v="5"/>
    <x v="7"/>
    <s v="High"/>
    <n v="0.12368344300009547"/>
  </r>
  <r>
    <s v="ORD100668"/>
    <s v="2025-04-25"/>
    <x v="143"/>
    <x v="2"/>
    <x v="8"/>
    <x v="2"/>
    <x v="4"/>
    <x v="26"/>
    <n v="3463.38"/>
    <n v="9"/>
    <n v="0.1"/>
    <n v="171.98"/>
    <x v="3"/>
    <x v="3"/>
    <s v="25/04/2025"/>
    <x v="0"/>
    <n v="4"/>
    <x v="8"/>
    <s v="Low"/>
    <n v="4.9656693750036091E-2"/>
  </r>
  <r>
    <s v="ORD100669"/>
    <s v="2025-06-18"/>
    <x v="107"/>
    <x v="3"/>
    <x v="15"/>
    <x v="1"/>
    <x v="5"/>
    <x v="24"/>
    <n v="363.12"/>
    <n v="3"/>
    <n v="0.1"/>
    <n v="50.23"/>
    <x v="1"/>
    <x v="3"/>
    <s v="18/06/2025"/>
    <x v="0"/>
    <n v="6"/>
    <x v="9"/>
    <s v="Low"/>
    <n v="0.13832892707644856"/>
  </r>
  <r>
    <s v="ORD100670"/>
    <s v="2024-11-03"/>
    <x v="10"/>
    <x v="0"/>
    <x v="7"/>
    <x v="1"/>
    <x v="5"/>
    <x v="7"/>
    <n v="162.28"/>
    <n v="4"/>
    <n v="0.05"/>
    <n v="48.67"/>
    <x v="6"/>
    <x v="3"/>
    <s v="03/11/2024"/>
    <x v="1"/>
    <n v="11"/>
    <x v="10"/>
    <s v="High"/>
    <n v="0.29991372935666749"/>
  </r>
  <r>
    <s v="ORD100671"/>
    <s v="2024-08-03"/>
    <x v="83"/>
    <x v="1"/>
    <x v="2"/>
    <x v="0"/>
    <x v="2"/>
    <x v="2"/>
    <n v="3088.89"/>
    <n v="3"/>
    <n v="0.2"/>
    <n v="-205.08"/>
    <x v="2"/>
    <x v="2"/>
    <s v="03/08/2024"/>
    <x v="1"/>
    <n v="8"/>
    <x v="11"/>
    <s v="Low"/>
    <n v="-6.6392781873100049E-2"/>
  </r>
  <r>
    <s v="ORD100672"/>
    <s v="2024-10-11"/>
    <x v="33"/>
    <x v="0"/>
    <x v="4"/>
    <x v="1"/>
    <x v="5"/>
    <x v="7"/>
    <n v="2454.27"/>
    <n v="3"/>
    <n v="0.15"/>
    <n v="-219.41"/>
    <x v="6"/>
    <x v="2"/>
    <s v="11/10/2024"/>
    <x v="1"/>
    <n v="10"/>
    <x v="2"/>
    <s v="Low"/>
    <n v="-8.9399291846455356E-2"/>
  </r>
  <r>
    <s v="ORD100673"/>
    <s v="2024-04-24"/>
    <x v="29"/>
    <x v="2"/>
    <x v="3"/>
    <x v="0"/>
    <x v="0"/>
    <x v="0"/>
    <n v="1143.3800000000001"/>
    <n v="2"/>
    <n v="0.05"/>
    <n v="108.57"/>
    <x v="3"/>
    <x v="2"/>
    <s v="24/04/2024"/>
    <x v="1"/>
    <n v="4"/>
    <x v="8"/>
    <s v="High"/>
    <n v="9.4955307946614415E-2"/>
  </r>
  <r>
    <s v="ORD100674"/>
    <s v="2025-01-30"/>
    <x v="68"/>
    <x v="1"/>
    <x v="11"/>
    <x v="0"/>
    <x v="2"/>
    <x v="21"/>
    <n v="4499.46"/>
    <n v="6"/>
    <n v="0"/>
    <n v="1658.78"/>
    <x v="9"/>
    <x v="3"/>
    <s v="30/01/2025"/>
    <x v="0"/>
    <n v="1"/>
    <x v="0"/>
    <s v="No Discount"/>
    <n v="0.36866201721984415"/>
  </r>
  <r>
    <s v="ORD100675"/>
    <s v="2024-02-25"/>
    <x v="173"/>
    <x v="3"/>
    <x v="13"/>
    <x v="1"/>
    <x v="7"/>
    <x v="16"/>
    <n v="230.28"/>
    <n v="2"/>
    <n v="0"/>
    <n v="52.39"/>
    <x v="9"/>
    <x v="2"/>
    <s v="25/02/2024"/>
    <x v="1"/>
    <n v="2"/>
    <x v="1"/>
    <s v="No Discount"/>
    <n v="0.22750564530137224"/>
  </r>
  <r>
    <s v="ORD100676"/>
    <s v="2024-10-24"/>
    <x v="76"/>
    <x v="3"/>
    <x v="14"/>
    <x v="0"/>
    <x v="2"/>
    <x v="21"/>
    <n v="3270.15"/>
    <n v="9"/>
    <n v="0.05"/>
    <n v="1153.78"/>
    <x v="7"/>
    <x v="3"/>
    <s v="24/10/2024"/>
    <x v="1"/>
    <n v="10"/>
    <x v="2"/>
    <s v="High"/>
    <n v="0.35282173600599359"/>
  </r>
  <r>
    <s v="ORD100677"/>
    <s v="2024-10-03"/>
    <x v="66"/>
    <x v="0"/>
    <x v="7"/>
    <x v="2"/>
    <x v="4"/>
    <x v="10"/>
    <n v="2502.96"/>
    <n v="4"/>
    <n v="0.2"/>
    <n v="426.78"/>
    <x v="1"/>
    <x v="1"/>
    <s v="03/10/2024"/>
    <x v="1"/>
    <n v="10"/>
    <x v="2"/>
    <s v="Low"/>
    <n v="0.17051011602262919"/>
  </r>
  <r>
    <s v="ORD100678"/>
    <s v="2025-11-14"/>
    <x v="47"/>
    <x v="0"/>
    <x v="4"/>
    <x v="0"/>
    <x v="0"/>
    <x v="25"/>
    <n v="7827.82"/>
    <n v="7"/>
    <n v="0.1"/>
    <n v="2285.9899999999998"/>
    <x v="9"/>
    <x v="1"/>
    <s v="14/11/2025"/>
    <x v="0"/>
    <n v="11"/>
    <x v="10"/>
    <s v="Low"/>
    <n v="0.29203405290361811"/>
  </r>
  <r>
    <s v="ORD100679"/>
    <s v="2024-12-14"/>
    <x v="176"/>
    <x v="3"/>
    <x v="12"/>
    <x v="2"/>
    <x v="8"/>
    <x v="12"/>
    <n v="484.96"/>
    <n v="8"/>
    <n v="0.05"/>
    <n v="141.27000000000001"/>
    <x v="6"/>
    <x v="1"/>
    <s v="14/12/2024"/>
    <x v="1"/>
    <n v="12"/>
    <x v="4"/>
    <s v="High"/>
    <n v="0.29130237545364568"/>
  </r>
  <r>
    <s v="ORD100680"/>
    <s v="2025-01-02"/>
    <x v="19"/>
    <x v="2"/>
    <x v="3"/>
    <x v="0"/>
    <x v="0"/>
    <x v="22"/>
    <n v="1727.74"/>
    <n v="7"/>
    <n v="0.3"/>
    <n v="-145.66999999999999"/>
    <x v="3"/>
    <x v="0"/>
    <s v="02/01/2025"/>
    <x v="0"/>
    <n v="1"/>
    <x v="0"/>
    <s v="Low"/>
    <n v="-8.4312454420225252E-2"/>
  </r>
  <r>
    <s v="ORD100681"/>
    <s v="2025-07-22"/>
    <x v="15"/>
    <x v="2"/>
    <x v="10"/>
    <x v="0"/>
    <x v="0"/>
    <x v="22"/>
    <n v="945.06"/>
    <n v="3"/>
    <n v="0.1"/>
    <n v="244.53"/>
    <x v="9"/>
    <x v="0"/>
    <s v="22/07/2025"/>
    <x v="0"/>
    <n v="7"/>
    <x v="6"/>
    <s v="Low"/>
    <n v="0.25874547647768398"/>
  </r>
  <r>
    <s v="ORD100682"/>
    <s v="2024-07-11"/>
    <x v="48"/>
    <x v="1"/>
    <x v="2"/>
    <x v="2"/>
    <x v="4"/>
    <x v="26"/>
    <n v="73.06"/>
    <n v="1"/>
    <n v="0.25"/>
    <n v="-6.85"/>
    <x v="3"/>
    <x v="0"/>
    <s v="11/07/2024"/>
    <x v="1"/>
    <n v="7"/>
    <x v="6"/>
    <s v="Low"/>
    <n v="-9.3758554612647135E-2"/>
  </r>
  <r>
    <s v="ORD100683"/>
    <s v="2024-04-19"/>
    <x v="33"/>
    <x v="3"/>
    <x v="14"/>
    <x v="2"/>
    <x v="4"/>
    <x v="26"/>
    <n v="3179.6"/>
    <n v="10"/>
    <n v="0.1"/>
    <n v="975.33"/>
    <x v="6"/>
    <x v="1"/>
    <s v="19/04/2024"/>
    <x v="1"/>
    <n v="4"/>
    <x v="8"/>
    <s v="Low"/>
    <n v="0.30674613158887915"/>
  </r>
  <r>
    <s v="ORD100684"/>
    <s v="2025-06-25"/>
    <x v="189"/>
    <x v="1"/>
    <x v="1"/>
    <x v="2"/>
    <x v="8"/>
    <x v="18"/>
    <n v="4296.42"/>
    <n v="6"/>
    <n v="0"/>
    <n v="1399.12"/>
    <x v="9"/>
    <x v="3"/>
    <s v="25/06/2025"/>
    <x v="0"/>
    <n v="6"/>
    <x v="9"/>
    <s v="No Discount"/>
    <n v="0.32564786496664661"/>
  </r>
  <r>
    <s v="ORD100685"/>
    <s v="2024-04-28"/>
    <x v="85"/>
    <x v="2"/>
    <x v="8"/>
    <x v="2"/>
    <x v="4"/>
    <x v="10"/>
    <n v="7545.2"/>
    <n v="10"/>
    <n v="0.15"/>
    <n v="2032.84"/>
    <x v="3"/>
    <x v="0"/>
    <s v="28/04/2024"/>
    <x v="1"/>
    <n v="4"/>
    <x v="8"/>
    <s v="Low"/>
    <n v="0.26942161904257012"/>
  </r>
  <r>
    <s v="ORD100686"/>
    <s v="2024-11-27"/>
    <x v="189"/>
    <x v="1"/>
    <x v="1"/>
    <x v="1"/>
    <x v="5"/>
    <x v="15"/>
    <n v="3580.89"/>
    <n v="3"/>
    <n v="0.3"/>
    <n v="-117.62"/>
    <x v="7"/>
    <x v="2"/>
    <s v="27/11/2024"/>
    <x v="1"/>
    <n v="11"/>
    <x v="10"/>
    <s v="Low"/>
    <n v="-3.2846582832759458E-2"/>
  </r>
  <r>
    <s v="ORD100687"/>
    <s v="2025-02-25"/>
    <x v="50"/>
    <x v="3"/>
    <x v="13"/>
    <x v="1"/>
    <x v="7"/>
    <x v="17"/>
    <n v="3022.95"/>
    <n v="7"/>
    <n v="0.05"/>
    <n v="398.99"/>
    <x v="5"/>
    <x v="3"/>
    <s v="25/02/2025"/>
    <x v="0"/>
    <n v="2"/>
    <x v="1"/>
    <s v="High"/>
    <n v="0.13198696637390631"/>
  </r>
  <r>
    <s v="ORD100688"/>
    <s v="2025-09-05"/>
    <x v="34"/>
    <x v="1"/>
    <x v="11"/>
    <x v="1"/>
    <x v="7"/>
    <x v="9"/>
    <n v="1983.78"/>
    <n v="6"/>
    <n v="0.2"/>
    <n v="348.25"/>
    <x v="4"/>
    <x v="3"/>
    <s v="05/09/2025"/>
    <x v="0"/>
    <n v="9"/>
    <x v="5"/>
    <s v="Low"/>
    <n v="0.17554869995664843"/>
  </r>
  <r>
    <s v="ORD100689"/>
    <s v="2025-10-16"/>
    <x v="72"/>
    <x v="3"/>
    <x v="14"/>
    <x v="2"/>
    <x v="6"/>
    <x v="8"/>
    <n v="1589.28"/>
    <n v="7"/>
    <n v="0"/>
    <n v="698.36"/>
    <x v="9"/>
    <x v="1"/>
    <s v="16/10/2025"/>
    <x v="0"/>
    <n v="10"/>
    <x v="2"/>
    <s v="No Discount"/>
    <n v="0.43941910802375922"/>
  </r>
  <r>
    <s v="ORD100690"/>
    <s v="2024-03-01"/>
    <x v="189"/>
    <x v="1"/>
    <x v="2"/>
    <x v="0"/>
    <x v="0"/>
    <x v="0"/>
    <n v="4210.38"/>
    <n v="9"/>
    <n v="0"/>
    <n v="604.94000000000005"/>
    <x v="2"/>
    <x v="3"/>
    <s v="01/03/2024"/>
    <x v="1"/>
    <n v="3"/>
    <x v="3"/>
    <s v="No Discount"/>
    <n v="0.14367824281893796"/>
  </r>
  <r>
    <s v="ORD100691"/>
    <s v="2024-10-17"/>
    <x v="128"/>
    <x v="0"/>
    <x v="7"/>
    <x v="1"/>
    <x v="5"/>
    <x v="24"/>
    <n v="1697.4"/>
    <n v="5"/>
    <n v="0"/>
    <n v="170.22"/>
    <x v="0"/>
    <x v="1"/>
    <s v="17/10/2024"/>
    <x v="1"/>
    <n v="10"/>
    <x v="2"/>
    <s v="No Discount"/>
    <n v="0.10028278543655002"/>
  </r>
  <r>
    <s v="ORD100692"/>
    <s v="2025-03-23"/>
    <x v="57"/>
    <x v="3"/>
    <x v="14"/>
    <x v="0"/>
    <x v="0"/>
    <x v="0"/>
    <n v="8394.0499999999993"/>
    <n v="7"/>
    <n v="0.3"/>
    <n v="-65.37"/>
    <x v="2"/>
    <x v="1"/>
    <s v="23/03/2025"/>
    <x v="0"/>
    <n v="3"/>
    <x v="3"/>
    <s v="Low"/>
    <n v="-7.7876591156831338E-3"/>
  </r>
  <r>
    <s v="ORD100693"/>
    <s v="2025-03-17"/>
    <x v="113"/>
    <x v="3"/>
    <x v="12"/>
    <x v="2"/>
    <x v="4"/>
    <x v="6"/>
    <n v="4253.92"/>
    <n v="4"/>
    <n v="0.1"/>
    <n v="152.75"/>
    <x v="5"/>
    <x v="3"/>
    <s v="17/03/2025"/>
    <x v="0"/>
    <n v="3"/>
    <x v="3"/>
    <s v="Low"/>
    <n v="3.590805656899989E-2"/>
  </r>
  <r>
    <s v="ORD100694"/>
    <s v="2024-08-17"/>
    <x v="184"/>
    <x v="1"/>
    <x v="1"/>
    <x v="2"/>
    <x v="8"/>
    <x v="20"/>
    <n v="1199.71"/>
    <n v="1"/>
    <n v="0"/>
    <n v="304.26"/>
    <x v="8"/>
    <x v="0"/>
    <s v="17/08/2024"/>
    <x v="1"/>
    <n v="8"/>
    <x v="11"/>
    <s v="No Discount"/>
    <n v="0.2536112893949371"/>
  </r>
  <r>
    <s v="ORD100695"/>
    <s v="2024-09-16"/>
    <x v="97"/>
    <x v="1"/>
    <x v="1"/>
    <x v="0"/>
    <x v="2"/>
    <x v="21"/>
    <n v="1341.54"/>
    <n v="2"/>
    <n v="0.2"/>
    <n v="-163.34"/>
    <x v="0"/>
    <x v="3"/>
    <s v="16/09/2024"/>
    <x v="1"/>
    <n v="9"/>
    <x v="5"/>
    <s v="Low"/>
    <n v="-0.12175559431697899"/>
  </r>
  <r>
    <s v="ORD100696"/>
    <s v="2024-07-26"/>
    <x v="111"/>
    <x v="2"/>
    <x v="8"/>
    <x v="2"/>
    <x v="4"/>
    <x v="10"/>
    <n v="3846.44"/>
    <n v="4"/>
    <n v="0"/>
    <n v="201.11"/>
    <x v="3"/>
    <x v="1"/>
    <s v="26/07/2024"/>
    <x v="1"/>
    <n v="7"/>
    <x v="6"/>
    <s v="No Discount"/>
    <n v="5.2284710017574697E-2"/>
  </r>
  <r>
    <s v="ORD100697"/>
    <s v="2025-09-29"/>
    <x v="52"/>
    <x v="2"/>
    <x v="3"/>
    <x v="1"/>
    <x v="7"/>
    <x v="16"/>
    <n v="7954.8"/>
    <n v="10"/>
    <n v="0.3"/>
    <n v="-1702.69"/>
    <x v="4"/>
    <x v="1"/>
    <s v="29/09/2025"/>
    <x v="0"/>
    <n v="9"/>
    <x v="5"/>
    <s v="Low"/>
    <n v="-0.21404560768341127"/>
  </r>
  <r>
    <s v="ORD100698"/>
    <s v="2024-07-13"/>
    <x v="57"/>
    <x v="1"/>
    <x v="1"/>
    <x v="0"/>
    <x v="1"/>
    <x v="3"/>
    <n v="11554.6"/>
    <n v="10"/>
    <n v="0.25"/>
    <n v="1124.8499999999999"/>
    <x v="0"/>
    <x v="2"/>
    <s v="13/07/2024"/>
    <x v="1"/>
    <n v="7"/>
    <x v="6"/>
    <s v="Low"/>
    <n v="9.7350838627040304E-2"/>
  </r>
  <r>
    <s v="ORD100699"/>
    <s v="2024-06-19"/>
    <x v="178"/>
    <x v="1"/>
    <x v="2"/>
    <x v="0"/>
    <x v="1"/>
    <x v="3"/>
    <n v="418.38"/>
    <n v="3"/>
    <n v="0.1"/>
    <n v="-20.74"/>
    <x v="9"/>
    <x v="0"/>
    <s v="19/06/2024"/>
    <x v="1"/>
    <n v="6"/>
    <x v="9"/>
    <s v="Low"/>
    <n v="-4.9572159281036372E-2"/>
  </r>
  <r>
    <s v="ORD100700"/>
    <s v="2025-08-29"/>
    <x v="13"/>
    <x v="3"/>
    <x v="15"/>
    <x v="0"/>
    <x v="1"/>
    <x v="1"/>
    <n v="2846.73"/>
    <n v="3"/>
    <n v="0.25"/>
    <n v="-165.2"/>
    <x v="5"/>
    <x v="0"/>
    <s v="29/08/2025"/>
    <x v="0"/>
    <n v="8"/>
    <x v="11"/>
    <s v="Low"/>
    <n v="-5.8031495786393508E-2"/>
  </r>
  <r>
    <s v="ORD100701"/>
    <s v="2025-08-01"/>
    <x v="186"/>
    <x v="0"/>
    <x v="7"/>
    <x v="0"/>
    <x v="1"/>
    <x v="19"/>
    <n v="371.29"/>
    <n v="1"/>
    <n v="0.05"/>
    <n v="147.77000000000001"/>
    <x v="8"/>
    <x v="0"/>
    <s v="01/08/2025"/>
    <x v="0"/>
    <n v="8"/>
    <x v="11"/>
    <s v="High"/>
    <n v="0.39799078887123274"/>
  </r>
  <r>
    <s v="ORD100702"/>
    <s v="2025-07-20"/>
    <x v="191"/>
    <x v="0"/>
    <x v="4"/>
    <x v="1"/>
    <x v="3"/>
    <x v="14"/>
    <n v="5668.98"/>
    <n v="6"/>
    <n v="0.1"/>
    <n v="1208.2"/>
    <x v="2"/>
    <x v="0"/>
    <s v="20/07/2025"/>
    <x v="0"/>
    <n v="7"/>
    <x v="6"/>
    <s v="Low"/>
    <n v="0.21312475965694008"/>
  </r>
  <r>
    <s v="ORD100703"/>
    <s v="2024-11-10"/>
    <x v="40"/>
    <x v="3"/>
    <x v="13"/>
    <x v="1"/>
    <x v="3"/>
    <x v="5"/>
    <n v="4712.24"/>
    <n v="4"/>
    <n v="0.25"/>
    <n v="719.58"/>
    <x v="6"/>
    <x v="2"/>
    <s v="10/11/2024"/>
    <x v="1"/>
    <n v="11"/>
    <x v="10"/>
    <s v="Low"/>
    <n v="0.1527044462930581"/>
  </r>
  <r>
    <s v="ORD100704"/>
    <s v="2025-08-03"/>
    <x v="29"/>
    <x v="0"/>
    <x v="7"/>
    <x v="1"/>
    <x v="3"/>
    <x v="14"/>
    <n v="1923.1"/>
    <n v="10"/>
    <n v="0.15"/>
    <n v="-172.91"/>
    <x v="0"/>
    <x v="1"/>
    <s v="03/08/2025"/>
    <x v="0"/>
    <n v="8"/>
    <x v="11"/>
    <s v="Low"/>
    <n v="-8.991212105454735E-2"/>
  </r>
  <r>
    <s v="ORD100705"/>
    <s v="2025-06-22"/>
    <x v="82"/>
    <x v="0"/>
    <x v="4"/>
    <x v="0"/>
    <x v="2"/>
    <x v="21"/>
    <n v="265.52"/>
    <n v="8"/>
    <n v="0.25"/>
    <n v="48.09"/>
    <x v="1"/>
    <x v="1"/>
    <s v="22/06/2025"/>
    <x v="0"/>
    <n v="6"/>
    <x v="9"/>
    <s v="Low"/>
    <n v="0.1811163000903887"/>
  </r>
  <r>
    <s v="ORD100706"/>
    <s v="2025-03-17"/>
    <x v="192"/>
    <x v="0"/>
    <x v="0"/>
    <x v="2"/>
    <x v="6"/>
    <x v="23"/>
    <n v="806.16"/>
    <n v="8"/>
    <n v="0.3"/>
    <n v="58.72"/>
    <x v="4"/>
    <x v="0"/>
    <s v="17/03/2025"/>
    <x v="0"/>
    <n v="3"/>
    <x v="3"/>
    <s v="Low"/>
    <n v="7.2839138632529526E-2"/>
  </r>
  <r>
    <s v="ORD100707"/>
    <s v="2024-06-13"/>
    <x v="78"/>
    <x v="0"/>
    <x v="0"/>
    <x v="2"/>
    <x v="4"/>
    <x v="10"/>
    <n v="2829.36"/>
    <n v="3"/>
    <n v="0.1"/>
    <n v="10.56"/>
    <x v="1"/>
    <x v="2"/>
    <s v="13/06/2024"/>
    <x v="1"/>
    <n v="6"/>
    <x v="9"/>
    <s v="Low"/>
    <n v="3.7322928153363305E-3"/>
  </r>
  <r>
    <s v="ORD100708"/>
    <s v="2025-07-11"/>
    <x v="159"/>
    <x v="1"/>
    <x v="1"/>
    <x v="2"/>
    <x v="4"/>
    <x v="10"/>
    <n v="5390.2"/>
    <n v="10"/>
    <n v="0"/>
    <n v="2320.46"/>
    <x v="1"/>
    <x v="2"/>
    <s v="11/07/2025"/>
    <x v="0"/>
    <n v="7"/>
    <x v="6"/>
    <s v="No Discount"/>
    <n v="0.43049608548847912"/>
  </r>
  <r>
    <s v="ORD100709"/>
    <s v="2025-06-02"/>
    <x v="190"/>
    <x v="3"/>
    <x v="14"/>
    <x v="1"/>
    <x v="5"/>
    <x v="24"/>
    <n v="6185.6"/>
    <n v="10"/>
    <n v="0.15"/>
    <n v="737.97"/>
    <x v="9"/>
    <x v="1"/>
    <s v="02/06/2025"/>
    <x v="0"/>
    <n v="6"/>
    <x v="9"/>
    <s v="Low"/>
    <n v="0.11930451370926022"/>
  </r>
  <r>
    <s v="ORD100710"/>
    <s v="2024-10-31"/>
    <x v="38"/>
    <x v="0"/>
    <x v="9"/>
    <x v="0"/>
    <x v="2"/>
    <x v="2"/>
    <n v="6694.4"/>
    <n v="10"/>
    <n v="0.15"/>
    <n v="181.68"/>
    <x v="7"/>
    <x v="2"/>
    <s v="31/10/2024"/>
    <x v="1"/>
    <n v="10"/>
    <x v="2"/>
    <s v="Low"/>
    <n v="2.7139101338432125E-2"/>
  </r>
  <r>
    <s v="ORD100711"/>
    <s v="2025-08-24"/>
    <x v="83"/>
    <x v="3"/>
    <x v="15"/>
    <x v="1"/>
    <x v="7"/>
    <x v="17"/>
    <n v="6610.95"/>
    <n v="9"/>
    <n v="0.3"/>
    <n v="204.13"/>
    <x v="7"/>
    <x v="0"/>
    <s v="24/08/2025"/>
    <x v="0"/>
    <n v="8"/>
    <x v="11"/>
    <s v="Low"/>
    <n v="3.0877559201022545E-2"/>
  </r>
  <r>
    <s v="ORD100712"/>
    <s v="2025-12-25"/>
    <x v="185"/>
    <x v="2"/>
    <x v="8"/>
    <x v="2"/>
    <x v="4"/>
    <x v="26"/>
    <n v="2907.75"/>
    <n v="3"/>
    <n v="0.2"/>
    <n v="-4.4400000000000004"/>
    <x v="2"/>
    <x v="0"/>
    <s v="25/12/2025"/>
    <x v="0"/>
    <n v="12"/>
    <x v="4"/>
    <s v="Low"/>
    <n v="-1.5269538302811454E-3"/>
  </r>
  <r>
    <s v="ORD100713"/>
    <s v="2024-01-28"/>
    <x v="130"/>
    <x v="1"/>
    <x v="2"/>
    <x v="1"/>
    <x v="7"/>
    <x v="9"/>
    <n v="1820.72"/>
    <n v="2"/>
    <n v="0"/>
    <n v="523.9"/>
    <x v="9"/>
    <x v="3"/>
    <s v="28/01/2024"/>
    <x v="1"/>
    <n v="1"/>
    <x v="0"/>
    <s v="No Discount"/>
    <n v="0.28774331033876704"/>
  </r>
  <r>
    <s v="ORD100714"/>
    <s v="2025-11-05"/>
    <x v="13"/>
    <x v="1"/>
    <x v="5"/>
    <x v="0"/>
    <x v="2"/>
    <x v="11"/>
    <n v="9089.84"/>
    <n v="8"/>
    <n v="0.2"/>
    <n v="1363.65"/>
    <x v="2"/>
    <x v="1"/>
    <s v="05/11/2025"/>
    <x v="0"/>
    <n v="11"/>
    <x v="10"/>
    <s v="Low"/>
    <n v="0.15001914225112875"/>
  </r>
  <r>
    <s v="ORD100715"/>
    <s v="2025-12-30"/>
    <x v="52"/>
    <x v="1"/>
    <x v="5"/>
    <x v="0"/>
    <x v="0"/>
    <x v="0"/>
    <n v="385.5"/>
    <n v="1"/>
    <n v="0.3"/>
    <n v="-70.930000000000007"/>
    <x v="2"/>
    <x v="1"/>
    <s v="30/12/2025"/>
    <x v="0"/>
    <n v="12"/>
    <x v="4"/>
    <s v="Low"/>
    <n v="-0.18399481193255515"/>
  </r>
  <r>
    <s v="ORD100716"/>
    <s v="2025-01-23"/>
    <x v="85"/>
    <x v="1"/>
    <x v="5"/>
    <x v="1"/>
    <x v="7"/>
    <x v="17"/>
    <n v="8647.92"/>
    <n v="8"/>
    <n v="0.15"/>
    <n v="1212.05"/>
    <x v="3"/>
    <x v="3"/>
    <s v="23/01/2025"/>
    <x v="0"/>
    <n v="1"/>
    <x v="0"/>
    <s v="Low"/>
    <n v="0.14015508931627488"/>
  </r>
  <r>
    <s v="ORD100717"/>
    <s v="2024-09-23"/>
    <x v="136"/>
    <x v="3"/>
    <x v="13"/>
    <x v="0"/>
    <x v="1"/>
    <x v="3"/>
    <n v="3151.3"/>
    <n v="10"/>
    <n v="0.05"/>
    <n v="1055.6400000000001"/>
    <x v="0"/>
    <x v="1"/>
    <s v="23/09/2024"/>
    <x v="1"/>
    <n v="9"/>
    <x v="5"/>
    <s v="High"/>
    <n v="0.3349855615142957"/>
  </r>
  <r>
    <s v="ORD100718"/>
    <s v="2024-07-27"/>
    <x v="22"/>
    <x v="0"/>
    <x v="7"/>
    <x v="1"/>
    <x v="3"/>
    <x v="4"/>
    <n v="4454.8"/>
    <n v="5"/>
    <n v="0.05"/>
    <n v="1034.43"/>
    <x v="8"/>
    <x v="0"/>
    <s v="27/07/2024"/>
    <x v="1"/>
    <n v="7"/>
    <x v="6"/>
    <s v="High"/>
    <n v="0.2322057106940828"/>
  </r>
  <r>
    <s v="ORD100719"/>
    <s v="2024-09-12"/>
    <x v="108"/>
    <x v="0"/>
    <x v="0"/>
    <x v="2"/>
    <x v="4"/>
    <x v="26"/>
    <n v="3082.4"/>
    <n v="4"/>
    <n v="0.1"/>
    <n v="56.46"/>
    <x v="9"/>
    <x v="3"/>
    <s v="12/09/2024"/>
    <x v="1"/>
    <n v="9"/>
    <x v="5"/>
    <s v="Low"/>
    <n v="1.8316895925253051E-2"/>
  </r>
  <r>
    <s v="ORD100720"/>
    <s v="2025-10-26"/>
    <x v="84"/>
    <x v="1"/>
    <x v="11"/>
    <x v="0"/>
    <x v="1"/>
    <x v="19"/>
    <n v="11898.7"/>
    <n v="10"/>
    <n v="0.3"/>
    <n v="-2521.1"/>
    <x v="1"/>
    <x v="1"/>
    <s v="26/10/2025"/>
    <x v="0"/>
    <n v="10"/>
    <x v="2"/>
    <s v="Low"/>
    <n v="-0.21188028944338455"/>
  </r>
  <r>
    <s v="ORD100721"/>
    <s v="2025-08-20"/>
    <x v="17"/>
    <x v="1"/>
    <x v="1"/>
    <x v="2"/>
    <x v="6"/>
    <x v="13"/>
    <n v="2202.12"/>
    <n v="6"/>
    <n v="0.15"/>
    <n v="-213.47"/>
    <x v="3"/>
    <x v="3"/>
    <s v="20/08/2025"/>
    <x v="0"/>
    <n v="8"/>
    <x v="11"/>
    <s v="Low"/>
    <n v="-9.693840480991045E-2"/>
  </r>
  <r>
    <s v="ORD100722"/>
    <s v="2025-11-11"/>
    <x v="129"/>
    <x v="0"/>
    <x v="7"/>
    <x v="0"/>
    <x v="2"/>
    <x v="11"/>
    <n v="2173.38"/>
    <n v="2"/>
    <n v="0.1"/>
    <n v="85.27"/>
    <x v="6"/>
    <x v="2"/>
    <s v="11/11/2025"/>
    <x v="0"/>
    <n v="11"/>
    <x v="10"/>
    <s v="Low"/>
    <n v="3.923382013269653E-2"/>
  </r>
  <r>
    <s v="ORD100723"/>
    <s v="2024-01-02"/>
    <x v="93"/>
    <x v="3"/>
    <x v="13"/>
    <x v="1"/>
    <x v="3"/>
    <x v="4"/>
    <n v="5668.16"/>
    <n v="8"/>
    <n v="0.05"/>
    <n v="1708.82"/>
    <x v="1"/>
    <x v="0"/>
    <s v="02/01/2024"/>
    <x v="1"/>
    <n v="1"/>
    <x v="0"/>
    <s v="High"/>
    <n v="0.30147702252582848"/>
  </r>
  <r>
    <s v="ORD100724"/>
    <s v="2025-01-21"/>
    <x v="133"/>
    <x v="3"/>
    <x v="14"/>
    <x v="2"/>
    <x v="6"/>
    <x v="13"/>
    <n v="10865.2"/>
    <n v="10"/>
    <n v="0.2"/>
    <n v="2093.02"/>
    <x v="1"/>
    <x v="0"/>
    <s v="21/01/2025"/>
    <x v="0"/>
    <n v="1"/>
    <x v="0"/>
    <s v="Low"/>
    <n v="0.19263520229724257"/>
  </r>
  <r>
    <s v="ORD100725"/>
    <s v="2024-11-05"/>
    <x v="18"/>
    <x v="0"/>
    <x v="4"/>
    <x v="2"/>
    <x v="8"/>
    <x v="20"/>
    <n v="9282.5"/>
    <n v="10"/>
    <n v="0.25"/>
    <n v="-1137.2"/>
    <x v="2"/>
    <x v="2"/>
    <s v="05/11/2024"/>
    <x v="1"/>
    <n v="11"/>
    <x v="10"/>
    <s v="Low"/>
    <n v="-0.12251009964987881"/>
  </r>
  <r>
    <s v="ORD100726"/>
    <s v="2024-12-08"/>
    <x v="193"/>
    <x v="2"/>
    <x v="6"/>
    <x v="2"/>
    <x v="4"/>
    <x v="26"/>
    <n v="5734.3"/>
    <n v="5"/>
    <n v="0.05"/>
    <n v="38.770000000000003"/>
    <x v="5"/>
    <x v="2"/>
    <s v="08/12/2024"/>
    <x v="1"/>
    <n v="12"/>
    <x v="4"/>
    <s v="High"/>
    <n v="6.7610693545855647E-3"/>
  </r>
  <r>
    <s v="ORD100727"/>
    <s v="2024-06-29"/>
    <x v="15"/>
    <x v="1"/>
    <x v="2"/>
    <x v="1"/>
    <x v="7"/>
    <x v="16"/>
    <n v="5303.55"/>
    <n v="5"/>
    <n v="0"/>
    <n v="1952.28"/>
    <x v="7"/>
    <x v="1"/>
    <s v="29/06/2024"/>
    <x v="1"/>
    <n v="6"/>
    <x v="9"/>
    <s v="No Discount"/>
    <n v="0.36810815397233926"/>
  </r>
  <r>
    <s v="ORD100728"/>
    <s v="2025-07-01"/>
    <x v="175"/>
    <x v="3"/>
    <x v="12"/>
    <x v="2"/>
    <x v="8"/>
    <x v="12"/>
    <n v="1036.44"/>
    <n v="4"/>
    <n v="0.25"/>
    <n v="147.04"/>
    <x v="1"/>
    <x v="3"/>
    <s v="01/07/2025"/>
    <x v="0"/>
    <n v="7"/>
    <x v="6"/>
    <s v="Low"/>
    <n v="0.14187024815715332"/>
  </r>
  <r>
    <s v="ORD100729"/>
    <s v="2024-11-23"/>
    <x v="116"/>
    <x v="0"/>
    <x v="4"/>
    <x v="2"/>
    <x v="4"/>
    <x v="6"/>
    <n v="136.56"/>
    <n v="2"/>
    <n v="0.2"/>
    <n v="29.66"/>
    <x v="8"/>
    <x v="1"/>
    <s v="23/11/2024"/>
    <x v="1"/>
    <n v="11"/>
    <x v="10"/>
    <s v="Low"/>
    <n v="0.21719390743995312"/>
  </r>
  <r>
    <s v="ORD100730"/>
    <s v="2024-07-10"/>
    <x v="36"/>
    <x v="0"/>
    <x v="0"/>
    <x v="2"/>
    <x v="8"/>
    <x v="20"/>
    <n v="1178.2"/>
    <n v="5"/>
    <n v="0.2"/>
    <n v="-176.33"/>
    <x v="5"/>
    <x v="3"/>
    <s v="10/07/2024"/>
    <x v="1"/>
    <n v="7"/>
    <x v="6"/>
    <s v="Low"/>
    <n v="-0.14966049906637244"/>
  </r>
  <r>
    <s v="ORD100731"/>
    <s v="2025-07-06"/>
    <x v="51"/>
    <x v="1"/>
    <x v="1"/>
    <x v="1"/>
    <x v="5"/>
    <x v="7"/>
    <n v="995.56"/>
    <n v="1"/>
    <n v="0.05"/>
    <n v="386.55"/>
    <x v="6"/>
    <x v="1"/>
    <s v="06/07/2025"/>
    <x v="0"/>
    <n v="7"/>
    <x v="6"/>
    <s v="High"/>
    <n v="0.38827393627707024"/>
  </r>
  <r>
    <s v="ORD100732"/>
    <s v="2025-03-22"/>
    <x v="166"/>
    <x v="3"/>
    <x v="12"/>
    <x v="2"/>
    <x v="6"/>
    <x v="8"/>
    <n v="2115.27"/>
    <n v="9"/>
    <n v="0"/>
    <n v="313.91000000000003"/>
    <x v="6"/>
    <x v="1"/>
    <s v="22/03/2025"/>
    <x v="0"/>
    <n v="3"/>
    <x v="3"/>
    <s v="No Discount"/>
    <n v="0.14840185886435303"/>
  </r>
  <r>
    <s v="ORD100733"/>
    <s v="2025-12-15"/>
    <x v="113"/>
    <x v="2"/>
    <x v="10"/>
    <x v="2"/>
    <x v="4"/>
    <x v="26"/>
    <n v="4180.05"/>
    <n v="5"/>
    <n v="0.05"/>
    <n v="1454.07"/>
    <x v="3"/>
    <x v="1"/>
    <s v="15/12/2025"/>
    <x v="0"/>
    <n v="12"/>
    <x v="4"/>
    <s v="High"/>
    <n v="0.34785947536512718"/>
  </r>
  <r>
    <s v="ORD100734"/>
    <s v="2024-05-31"/>
    <x v="51"/>
    <x v="3"/>
    <x v="12"/>
    <x v="1"/>
    <x v="5"/>
    <x v="24"/>
    <n v="6423.9"/>
    <n v="7"/>
    <n v="0.15"/>
    <n v="730.49"/>
    <x v="8"/>
    <x v="2"/>
    <s v="31/05/2024"/>
    <x v="1"/>
    <n v="5"/>
    <x v="7"/>
    <s v="Low"/>
    <n v="0.11371441024922556"/>
  </r>
  <r>
    <s v="ORD100735"/>
    <s v="2024-09-30"/>
    <x v="99"/>
    <x v="0"/>
    <x v="9"/>
    <x v="0"/>
    <x v="1"/>
    <x v="19"/>
    <n v="7439.13"/>
    <n v="9"/>
    <n v="0.1"/>
    <n v="2347.2199999999998"/>
    <x v="9"/>
    <x v="2"/>
    <s v="30/09/2024"/>
    <x v="1"/>
    <n v="9"/>
    <x v="5"/>
    <s v="Low"/>
    <n v="0.31552345502767121"/>
  </r>
  <r>
    <s v="ORD100736"/>
    <s v="2024-11-06"/>
    <x v="46"/>
    <x v="2"/>
    <x v="6"/>
    <x v="1"/>
    <x v="3"/>
    <x v="4"/>
    <n v="1316.82"/>
    <n v="6"/>
    <n v="0.15"/>
    <n v="48.95"/>
    <x v="3"/>
    <x v="2"/>
    <s v="06/11/2024"/>
    <x v="1"/>
    <n v="11"/>
    <x v="10"/>
    <s v="Low"/>
    <n v="3.7172886195531663E-2"/>
  </r>
  <r>
    <s v="ORD100737"/>
    <s v="2024-03-11"/>
    <x v="5"/>
    <x v="3"/>
    <x v="13"/>
    <x v="2"/>
    <x v="4"/>
    <x v="26"/>
    <n v="8251.0400000000009"/>
    <n v="8"/>
    <n v="0.05"/>
    <n v="2822.31"/>
    <x v="3"/>
    <x v="0"/>
    <s v="11/03/2024"/>
    <x v="1"/>
    <n v="3"/>
    <x v="3"/>
    <s v="High"/>
    <n v="0.34205506214974107"/>
  </r>
  <r>
    <s v="ORD100738"/>
    <s v="2025-07-13"/>
    <x v="67"/>
    <x v="3"/>
    <x v="12"/>
    <x v="2"/>
    <x v="4"/>
    <x v="26"/>
    <n v="6730.1"/>
    <n v="10"/>
    <n v="0.3"/>
    <n v="-1282.92"/>
    <x v="1"/>
    <x v="3"/>
    <s v="13/07/2025"/>
    <x v="0"/>
    <n v="7"/>
    <x v="6"/>
    <s v="Low"/>
    <n v="-0.19062421063580037"/>
  </r>
  <r>
    <s v="ORD100739"/>
    <s v="2024-10-27"/>
    <x v="106"/>
    <x v="0"/>
    <x v="4"/>
    <x v="2"/>
    <x v="4"/>
    <x v="6"/>
    <n v="1941.51"/>
    <n v="3"/>
    <n v="0.25"/>
    <n v="228.99"/>
    <x v="1"/>
    <x v="2"/>
    <s v="27/10/2024"/>
    <x v="1"/>
    <n v="10"/>
    <x v="2"/>
    <s v="Low"/>
    <n v="0.11794428048271706"/>
  </r>
  <r>
    <s v="ORD100740"/>
    <s v="2024-09-10"/>
    <x v="136"/>
    <x v="0"/>
    <x v="0"/>
    <x v="1"/>
    <x v="3"/>
    <x v="4"/>
    <n v="6205.26"/>
    <n v="6"/>
    <n v="0.05"/>
    <n v="1606.34"/>
    <x v="1"/>
    <x v="3"/>
    <s v="10/09/2024"/>
    <x v="1"/>
    <n v="9"/>
    <x v="5"/>
    <s v="High"/>
    <n v="0.2588674769469772"/>
  </r>
  <r>
    <s v="ORD100741"/>
    <s v="2024-09-30"/>
    <x v="173"/>
    <x v="0"/>
    <x v="7"/>
    <x v="2"/>
    <x v="8"/>
    <x v="18"/>
    <n v="569.24"/>
    <n v="4"/>
    <n v="0.15"/>
    <n v="85"/>
    <x v="6"/>
    <x v="2"/>
    <s v="30/09/2024"/>
    <x v="1"/>
    <n v="9"/>
    <x v="5"/>
    <s v="Low"/>
    <n v="0.14932190288806127"/>
  </r>
  <r>
    <s v="ORD100742"/>
    <s v="2024-06-25"/>
    <x v="126"/>
    <x v="3"/>
    <x v="12"/>
    <x v="0"/>
    <x v="2"/>
    <x v="11"/>
    <n v="3712.87"/>
    <n v="7"/>
    <n v="0.25"/>
    <n v="125.15"/>
    <x v="5"/>
    <x v="3"/>
    <s v="25/06/2024"/>
    <x v="1"/>
    <n v="6"/>
    <x v="9"/>
    <s v="Low"/>
    <n v="3.3707078351787163E-2"/>
  </r>
  <r>
    <s v="ORD100743"/>
    <s v="2024-05-26"/>
    <x v="179"/>
    <x v="3"/>
    <x v="15"/>
    <x v="1"/>
    <x v="5"/>
    <x v="7"/>
    <n v="578.16999999999996"/>
    <n v="1"/>
    <n v="0.25"/>
    <n v="32.979999999999997"/>
    <x v="7"/>
    <x v="1"/>
    <s v="26/05/2024"/>
    <x v="1"/>
    <n v="5"/>
    <x v="7"/>
    <s v="Low"/>
    <n v="5.7042046456924435E-2"/>
  </r>
  <r>
    <s v="ORD100744"/>
    <s v="2024-01-18"/>
    <x v="143"/>
    <x v="2"/>
    <x v="6"/>
    <x v="0"/>
    <x v="0"/>
    <x v="22"/>
    <n v="1010.72"/>
    <n v="4"/>
    <n v="0.1"/>
    <n v="45.19"/>
    <x v="6"/>
    <x v="3"/>
    <s v="18/01/2024"/>
    <x v="1"/>
    <n v="1"/>
    <x v="0"/>
    <s v="Low"/>
    <n v="4.4710701282254232E-2"/>
  </r>
  <r>
    <s v="ORD100745"/>
    <s v="2025-11-01"/>
    <x v="103"/>
    <x v="2"/>
    <x v="6"/>
    <x v="0"/>
    <x v="0"/>
    <x v="0"/>
    <n v="117.15"/>
    <n v="1"/>
    <n v="0"/>
    <n v="40.08"/>
    <x v="7"/>
    <x v="3"/>
    <s v="01/11/2025"/>
    <x v="0"/>
    <n v="11"/>
    <x v="10"/>
    <s v="No Discount"/>
    <n v="0.34212548015364913"/>
  </r>
  <r>
    <s v="ORD100746"/>
    <s v="2025-09-18"/>
    <x v="42"/>
    <x v="3"/>
    <x v="14"/>
    <x v="2"/>
    <x v="8"/>
    <x v="12"/>
    <n v="3983.16"/>
    <n v="4"/>
    <n v="0.1"/>
    <n v="-75.459999999999994"/>
    <x v="8"/>
    <x v="3"/>
    <s v="18/09/2025"/>
    <x v="0"/>
    <n v="9"/>
    <x v="5"/>
    <s v="Low"/>
    <n v="-1.8944757428775143E-2"/>
  </r>
  <r>
    <s v="ORD100747"/>
    <s v="2025-05-19"/>
    <x v="64"/>
    <x v="0"/>
    <x v="9"/>
    <x v="0"/>
    <x v="0"/>
    <x v="0"/>
    <n v="2338.08"/>
    <n v="3"/>
    <n v="0.2"/>
    <n v="198.8"/>
    <x v="1"/>
    <x v="1"/>
    <s v="19/05/2025"/>
    <x v="0"/>
    <n v="5"/>
    <x v="7"/>
    <s v="Low"/>
    <n v="8.5027030726065836E-2"/>
  </r>
  <r>
    <s v="ORD100748"/>
    <s v="2024-07-24"/>
    <x v="179"/>
    <x v="0"/>
    <x v="0"/>
    <x v="1"/>
    <x v="7"/>
    <x v="9"/>
    <n v="1177.23"/>
    <n v="1"/>
    <n v="0.1"/>
    <n v="-23.15"/>
    <x v="0"/>
    <x v="2"/>
    <s v="24/07/2024"/>
    <x v="1"/>
    <n v="7"/>
    <x v="6"/>
    <s v="Low"/>
    <n v="-1.9664806367489785E-2"/>
  </r>
  <r>
    <s v="ORD100749"/>
    <s v="2025-02-10"/>
    <x v="132"/>
    <x v="1"/>
    <x v="2"/>
    <x v="1"/>
    <x v="7"/>
    <x v="16"/>
    <n v="4640.28"/>
    <n v="4"/>
    <n v="0.2"/>
    <n v="203.85"/>
    <x v="4"/>
    <x v="3"/>
    <s v="10/02/2025"/>
    <x v="0"/>
    <n v="2"/>
    <x v="1"/>
    <s v="Low"/>
    <n v="4.393053867439034E-2"/>
  </r>
  <r>
    <s v="ORD100750"/>
    <s v="2024-05-13"/>
    <x v="194"/>
    <x v="1"/>
    <x v="5"/>
    <x v="1"/>
    <x v="3"/>
    <x v="5"/>
    <n v="6200.64"/>
    <n v="6"/>
    <n v="0.15"/>
    <n v="667.92"/>
    <x v="3"/>
    <x v="0"/>
    <s v="13/05/2024"/>
    <x v="1"/>
    <n v="5"/>
    <x v="7"/>
    <s v="Low"/>
    <n v="0.10771791298962687"/>
  </r>
  <r>
    <s v="ORD100751"/>
    <s v="2025-04-21"/>
    <x v="125"/>
    <x v="1"/>
    <x v="5"/>
    <x v="2"/>
    <x v="8"/>
    <x v="18"/>
    <n v="4179.6499999999996"/>
    <n v="5"/>
    <n v="0.1"/>
    <n v="839.19"/>
    <x v="3"/>
    <x v="0"/>
    <s v="21/04/2025"/>
    <x v="0"/>
    <n v="4"/>
    <x v="8"/>
    <s v="Low"/>
    <n v="0.2007799696146807"/>
  </r>
  <r>
    <s v="ORD100752"/>
    <s v="2025-11-11"/>
    <x v="40"/>
    <x v="3"/>
    <x v="13"/>
    <x v="2"/>
    <x v="6"/>
    <x v="23"/>
    <n v="82.72"/>
    <n v="4"/>
    <n v="0.1"/>
    <n v="26.42"/>
    <x v="2"/>
    <x v="2"/>
    <s v="11/11/2025"/>
    <x v="0"/>
    <n v="11"/>
    <x v="10"/>
    <s v="Low"/>
    <n v="0.31939071566731142"/>
  </r>
  <r>
    <s v="ORD100753"/>
    <s v="2025-12-24"/>
    <x v="85"/>
    <x v="2"/>
    <x v="6"/>
    <x v="0"/>
    <x v="2"/>
    <x v="2"/>
    <n v="2154.6"/>
    <n v="4"/>
    <n v="0.1"/>
    <n v="354.4"/>
    <x v="8"/>
    <x v="0"/>
    <s v="24/12/2025"/>
    <x v="0"/>
    <n v="12"/>
    <x v="4"/>
    <s v="Low"/>
    <n v="0.16448528729230483"/>
  </r>
  <r>
    <s v="ORD100754"/>
    <s v="2024-10-02"/>
    <x v="195"/>
    <x v="2"/>
    <x v="10"/>
    <x v="0"/>
    <x v="0"/>
    <x v="25"/>
    <n v="4813.68"/>
    <n v="6"/>
    <n v="0.05"/>
    <n v="1324.31"/>
    <x v="6"/>
    <x v="0"/>
    <s v="02/10/2024"/>
    <x v="1"/>
    <n v="10"/>
    <x v="2"/>
    <s v="High"/>
    <n v="0.27511384221635005"/>
  </r>
  <r>
    <s v="ORD100755"/>
    <s v="2024-07-18"/>
    <x v="65"/>
    <x v="1"/>
    <x v="2"/>
    <x v="2"/>
    <x v="6"/>
    <x v="8"/>
    <n v="3681.04"/>
    <n v="4"/>
    <n v="0"/>
    <n v="1395.99"/>
    <x v="2"/>
    <x v="1"/>
    <s v="18/07/2024"/>
    <x v="1"/>
    <n v="7"/>
    <x v="6"/>
    <s v="No Discount"/>
    <n v="0.37923793275813356"/>
  </r>
  <r>
    <s v="ORD100756"/>
    <s v="2025-07-28"/>
    <x v="194"/>
    <x v="2"/>
    <x v="6"/>
    <x v="2"/>
    <x v="4"/>
    <x v="6"/>
    <n v="1204.68"/>
    <n v="4"/>
    <n v="0.25"/>
    <n v="85.7"/>
    <x v="9"/>
    <x v="0"/>
    <s v="28/07/2025"/>
    <x v="0"/>
    <n v="7"/>
    <x v="6"/>
    <s v="Low"/>
    <n v="7.1139223694259054E-2"/>
  </r>
  <r>
    <s v="ORD100757"/>
    <s v="2024-10-05"/>
    <x v="194"/>
    <x v="0"/>
    <x v="7"/>
    <x v="0"/>
    <x v="1"/>
    <x v="19"/>
    <n v="715.54"/>
    <n v="7"/>
    <n v="0.25"/>
    <n v="-42.17"/>
    <x v="9"/>
    <x v="2"/>
    <s v="05/10/2024"/>
    <x v="1"/>
    <n v="10"/>
    <x v="2"/>
    <s v="Low"/>
    <n v="-5.893451099868631E-2"/>
  </r>
  <r>
    <s v="ORD100758"/>
    <s v="2025-11-26"/>
    <x v="184"/>
    <x v="2"/>
    <x v="10"/>
    <x v="1"/>
    <x v="3"/>
    <x v="4"/>
    <n v="740.48"/>
    <n v="2"/>
    <n v="0.05"/>
    <n v="154.49"/>
    <x v="4"/>
    <x v="2"/>
    <s v="26/11/2025"/>
    <x v="0"/>
    <n v="11"/>
    <x v="10"/>
    <s v="High"/>
    <n v="0.20863493949870354"/>
  </r>
  <r>
    <s v="ORD100759"/>
    <s v="2025-12-06"/>
    <x v="172"/>
    <x v="1"/>
    <x v="2"/>
    <x v="0"/>
    <x v="2"/>
    <x v="21"/>
    <n v="7640.08"/>
    <n v="7"/>
    <n v="0.05"/>
    <n v="494.35"/>
    <x v="3"/>
    <x v="2"/>
    <s v="06/12/2025"/>
    <x v="0"/>
    <n v="12"/>
    <x v="4"/>
    <s v="High"/>
    <n v="6.4704819844818379E-2"/>
  </r>
  <r>
    <s v="ORD100760"/>
    <s v="2025-12-04"/>
    <x v="180"/>
    <x v="3"/>
    <x v="13"/>
    <x v="2"/>
    <x v="8"/>
    <x v="12"/>
    <n v="5272.68"/>
    <n v="7"/>
    <n v="0.25"/>
    <n v="915.73"/>
    <x v="9"/>
    <x v="2"/>
    <s v="04/12/2025"/>
    <x v="0"/>
    <n v="12"/>
    <x v="4"/>
    <s v="Low"/>
    <n v="0.17367448811610034"/>
  </r>
  <r>
    <s v="ORD100761"/>
    <s v="2024-07-23"/>
    <x v="90"/>
    <x v="0"/>
    <x v="4"/>
    <x v="1"/>
    <x v="7"/>
    <x v="9"/>
    <n v="462.48"/>
    <n v="2"/>
    <n v="0"/>
    <n v="93.63"/>
    <x v="6"/>
    <x v="0"/>
    <s v="23/07/2024"/>
    <x v="1"/>
    <n v="7"/>
    <x v="6"/>
    <s v="No Discount"/>
    <n v="0.20245199792423454"/>
  </r>
  <r>
    <s v="ORD100762"/>
    <s v="2025-07-09"/>
    <x v="162"/>
    <x v="3"/>
    <x v="15"/>
    <x v="2"/>
    <x v="4"/>
    <x v="26"/>
    <n v="11579"/>
    <n v="10"/>
    <n v="0.05"/>
    <n v="2792.93"/>
    <x v="3"/>
    <x v="3"/>
    <s v="09/07/2025"/>
    <x v="0"/>
    <n v="7"/>
    <x v="6"/>
    <s v="High"/>
    <n v="0.24120649451593401"/>
  </r>
  <r>
    <s v="ORD100763"/>
    <s v="2024-04-04"/>
    <x v="94"/>
    <x v="0"/>
    <x v="4"/>
    <x v="0"/>
    <x v="1"/>
    <x v="3"/>
    <n v="2221.6799999999998"/>
    <n v="4"/>
    <n v="0.3"/>
    <n v="-422.62"/>
    <x v="8"/>
    <x v="3"/>
    <s v="04/04/2024"/>
    <x v="1"/>
    <n v="4"/>
    <x v="8"/>
    <s v="Low"/>
    <n v="-0.19022541500126033"/>
  </r>
  <r>
    <s v="ORD100764"/>
    <s v="2024-03-09"/>
    <x v="49"/>
    <x v="1"/>
    <x v="2"/>
    <x v="0"/>
    <x v="0"/>
    <x v="22"/>
    <n v="4955.28"/>
    <n v="6"/>
    <n v="0.25"/>
    <n v="-849.92"/>
    <x v="7"/>
    <x v="0"/>
    <s v="09/03/2024"/>
    <x v="1"/>
    <n v="3"/>
    <x v="3"/>
    <s v="Low"/>
    <n v="-0.17151805750633667"/>
  </r>
  <r>
    <s v="ORD100765"/>
    <s v="2024-01-04"/>
    <x v="157"/>
    <x v="2"/>
    <x v="6"/>
    <x v="1"/>
    <x v="7"/>
    <x v="9"/>
    <n v="1514.52"/>
    <n v="3"/>
    <n v="0.15"/>
    <n v="445.91"/>
    <x v="5"/>
    <x v="1"/>
    <s v="04/01/2024"/>
    <x v="1"/>
    <n v="1"/>
    <x v="0"/>
    <s v="Low"/>
    <n v="0.29442331563795793"/>
  </r>
  <r>
    <s v="ORD100766"/>
    <s v="2025-04-30"/>
    <x v="65"/>
    <x v="1"/>
    <x v="5"/>
    <x v="1"/>
    <x v="5"/>
    <x v="24"/>
    <n v="3465.36"/>
    <n v="8"/>
    <n v="0.1"/>
    <n v="1181.2"/>
    <x v="3"/>
    <x v="2"/>
    <s v="30/04/2025"/>
    <x v="0"/>
    <n v="4"/>
    <x v="8"/>
    <s v="Low"/>
    <n v="0.34085924694692615"/>
  </r>
  <r>
    <s v="ORD100767"/>
    <s v="2024-11-08"/>
    <x v="43"/>
    <x v="2"/>
    <x v="8"/>
    <x v="1"/>
    <x v="5"/>
    <x v="7"/>
    <n v="201.54"/>
    <n v="6"/>
    <n v="0.3"/>
    <n v="26.21"/>
    <x v="9"/>
    <x v="1"/>
    <s v="08/11/2024"/>
    <x v="1"/>
    <n v="11"/>
    <x v="10"/>
    <s v="Low"/>
    <n v="0.13004862558301084"/>
  </r>
  <r>
    <s v="ORD100768"/>
    <s v="2024-03-12"/>
    <x v="168"/>
    <x v="0"/>
    <x v="4"/>
    <x v="1"/>
    <x v="3"/>
    <x v="5"/>
    <n v="8638.3799999999992"/>
    <n v="9"/>
    <n v="0.15"/>
    <n v="1225.52"/>
    <x v="3"/>
    <x v="3"/>
    <s v="12/03/2024"/>
    <x v="1"/>
    <n v="3"/>
    <x v="3"/>
    <s v="Low"/>
    <n v="0.14186919306629253"/>
  </r>
  <r>
    <s v="ORD100769"/>
    <s v="2025-06-04"/>
    <x v="77"/>
    <x v="3"/>
    <x v="15"/>
    <x v="0"/>
    <x v="1"/>
    <x v="3"/>
    <n v="2137.08"/>
    <n v="3"/>
    <n v="0.15"/>
    <n v="261.5"/>
    <x v="3"/>
    <x v="2"/>
    <s v="04/06/2025"/>
    <x v="0"/>
    <n v="6"/>
    <x v="9"/>
    <s v="Low"/>
    <n v="0.12236322458681941"/>
  </r>
  <r>
    <s v="ORD100770"/>
    <s v="2025-08-07"/>
    <x v="174"/>
    <x v="2"/>
    <x v="8"/>
    <x v="2"/>
    <x v="6"/>
    <x v="13"/>
    <n v="140.57"/>
    <n v="1"/>
    <n v="0.1"/>
    <n v="-6.02"/>
    <x v="7"/>
    <x v="1"/>
    <s v="07/08/2025"/>
    <x v="0"/>
    <n v="8"/>
    <x v="11"/>
    <s v="Low"/>
    <n v="-4.2825638471935691E-2"/>
  </r>
  <r>
    <s v="ORD100771"/>
    <s v="2024-11-19"/>
    <x v="54"/>
    <x v="2"/>
    <x v="10"/>
    <x v="2"/>
    <x v="6"/>
    <x v="23"/>
    <n v="7473.4"/>
    <n v="10"/>
    <n v="0.15"/>
    <n v="1376.69"/>
    <x v="5"/>
    <x v="3"/>
    <s v="19/11/2024"/>
    <x v="1"/>
    <n v="11"/>
    <x v="10"/>
    <s v="Low"/>
    <n v="0.1842120052452699"/>
  </r>
  <r>
    <s v="ORD100772"/>
    <s v="2024-02-22"/>
    <x v="6"/>
    <x v="2"/>
    <x v="10"/>
    <x v="1"/>
    <x v="7"/>
    <x v="9"/>
    <n v="4842.6400000000003"/>
    <n v="8"/>
    <n v="0.1"/>
    <n v="848.56"/>
    <x v="3"/>
    <x v="1"/>
    <s v="22/02/2024"/>
    <x v="1"/>
    <n v="2"/>
    <x v="1"/>
    <s v="Low"/>
    <n v="0.17522673583004308"/>
  </r>
  <r>
    <s v="ORD100773"/>
    <s v="2025-12-20"/>
    <x v="124"/>
    <x v="3"/>
    <x v="12"/>
    <x v="0"/>
    <x v="0"/>
    <x v="0"/>
    <n v="890.08"/>
    <n v="1"/>
    <n v="0.2"/>
    <n v="70.09"/>
    <x v="6"/>
    <x v="0"/>
    <s v="20/12/2025"/>
    <x v="0"/>
    <n v="12"/>
    <x v="4"/>
    <s v="Low"/>
    <n v="7.8745730720834087E-2"/>
  </r>
  <r>
    <s v="ORD100774"/>
    <s v="2025-12-07"/>
    <x v="63"/>
    <x v="2"/>
    <x v="8"/>
    <x v="2"/>
    <x v="6"/>
    <x v="23"/>
    <n v="2484.7800000000002"/>
    <n v="3"/>
    <n v="0.3"/>
    <n v="-576.89"/>
    <x v="9"/>
    <x v="1"/>
    <s v="07/12/2025"/>
    <x v="0"/>
    <n v="12"/>
    <x v="4"/>
    <s v="Low"/>
    <n v="-0.23216944759697034"/>
  </r>
  <r>
    <s v="ORD100775"/>
    <s v="2025-03-15"/>
    <x v="81"/>
    <x v="2"/>
    <x v="8"/>
    <x v="1"/>
    <x v="5"/>
    <x v="15"/>
    <n v="1459.84"/>
    <n v="8"/>
    <n v="0.3"/>
    <n v="-27.8"/>
    <x v="1"/>
    <x v="3"/>
    <s v="15/03/2025"/>
    <x v="0"/>
    <n v="3"/>
    <x v="3"/>
    <s v="Low"/>
    <n v="-1.9043182814555023E-2"/>
  </r>
  <r>
    <s v="ORD100776"/>
    <s v="2024-06-17"/>
    <x v="156"/>
    <x v="2"/>
    <x v="3"/>
    <x v="0"/>
    <x v="2"/>
    <x v="11"/>
    <n v="1401.72"/>
    <n v="3"/>
    <n v="0.05"/>
    <n v="475.83"/>
    <x v="7"/>
    <x v="0"/>
    <s v="17/06/2024"/>
    <x v="1"/>
    <n v="6"/>
    <x v="9"/>
    <s v="High"/>
    <n v="0.33946151870559027"/>
  </r>
  <r>
    <s v="ORD100777"/>
    <s v="2024-10-30"/>
    <x v="124"/>
    <x v="0"/>
    <x v="4"/>
    <x v="1"/>
    <x v="5"/>
    <x v="7"/>
    <n v="565.95000000000005"/>
    <n v="5"/>
    <n v="0.1"/>
    <n v="167.24"/>
    <x v="2"/>
    <x v="0"/>
    <s v="30/10/2024"/>
    <x v="1"/>
    <n v="10"/>
    <x v="2"/>
    <s v="Low"/>
    <n v="0.29550313631946284"/>
  </r>
  <r>
    <s v="ORD100778"/>
    <s v="2025-07-13"/>
    <x v="12"/>
    <x v="3"/>
    <x v="13"/>
    <x v="0"/>
    <x v="2"/>
    <x v="11"/>
    <n v="8168.3"/>
    <n v="10"/>
    <n v="0.3"/>
    <n v="506.17"/>
    <x v="5"/>
    <x v="0"/>
    <s v="13/07/2025"/>
    <x v="0"/>
    <n v="7"/>
    <x v="6"/>
    <s v="Low"/>
    <n v="6.1967606478704258E-2"/>
  </r>
  <r>
    <s v="ORD100779"/>
    <s v="2024-03-23"/>
    <x v="183"/>
    <x v="0"/>
    <x v="9"/>
    <x v="1"/>
    <x v="3"/>
    <x v="14"/>
    <n v="6532.68"/>
    <n v="7"/>
    <n v="0.3"/>
    <n v="542.11"/>
    <x v="6"/>
    <x v="2"/>
    <s v="23/03/2024"/>
    <x v="1"/>
    <n v="3"/>
    <x v="3"/>
    <s v="Low"/>
    <n v="8.2984318840047269E-2"/>
  </r>
  <r>
    <s v="ORD100780"/>
    <s v="2025-09-04"/>
    <x v="142"/>
    <x v="1"/>
    <x v="1"/>
    <x v="2"/>
    <x v="6"/>
    <x v="13"/>
    <n v="5176.3999999999996"/>
    <n v="8"/>
    <n v="0.15"/>
    <n v="761.34"/>
    <x v="7"/>
    <x v="0"/>
    <s v="04/09/2025"/>
    <x v="0"/>
    <n v="9"/>
    <x v="5"/>
    <s v="Low"/>
    <n v="0.14707905107796926"/>
  </r>
  <r>
    <s v="ORD100781"/>
    <s v="2025-08-03"/>
    <x v="68"/>
    <x v="1"/>
    <x v="5"/>
    <x v="0"/>
    <x v="1"/>
    <x v="19"/>
    <n v="9179.91"/>
    <n v="9"/>
    <n v="0.25"/>
    <n v="1461.09"/>
    <x v="1"/>
    <x v="1"/>
    <s v="03/08/2025"/>
    <x v="0"/>
    <n v="8"/>
    <x v="11"/>
    <s v="Low"/>
    <n v="0.1591616911276908"/>
  </r>
  <r>
    <s v="ORD100782"/>
    <s v="2025-09-19"/>
    <x v="40"/>
    <x v="2"/>
    <x v="10"/>
    <x v="2"/>
    <x v="4"/>
    <x v="10"/>
    <n v="1034.8800000000001"/>
    <n v="2"/>
    <n v="0.1"/>
    <n v="15.81"/>
    <x v="4"/>
    <x v="2"/>
    <s v="19/09/2025"/>
    <x v="0"/>
    <n v="9"/>
    <x v="5"/>
    <s v="Low"/>
    <n v="1.5277133580705008E-2"/>
  </r>
  <r>
    <s v="ORD100783"/>
    <s v="2025-09-14"/>
    <x v="41"/>
    <x v="2"/>
    <x v="6"/>
    <x v="1"/>
    <x v="7"/>
    <x v="17"/>
    <n v="6617.6"/>
    <n v="10"/>
    <n v="0.2"/>
    <n v="1303.81"/>
    <x v="5"/>
    <x v="1"/>
    <s v="14/09/2025"/>
    <x v="0"/>
    <n v="9"/>
    <x v="5"/>
    <s v="Low"/>
    <n v="0.19702157882011603"/>
  </r>
  <r>
    <s v="ORD100784"/>
    <s v="2024-04-23"/>
    <x v="16"/>
    <x v="3"/>
    <x v="14"/>
    <x v="2"/>
    <x v="6"/>
    <x v="8"/>
    <n v="2541.48"/>
    <n v="4"/>
    <n v="0.05"/>
    <n v="879.33"/>
    <x v="6"/>
    <x v="3"/>
    <s v="23/04/2024"/>
    <x v="1"/>
    <n v="4"/>
    <x v="8"/>
    <s v="High"/>
    <n v="0.34599131214882667"/>
  </r>
  <r>
    <s v="ORD100785"/>
    <s v="2025-07-19"/>
    <x v="119"/>
    <x v="3"/>
    <x v="15"/>
    <x v="1"/>
    <x v="7"/>
    <x v="16"/>
    <n v="10389.33"/>
    <n v="9"/>
    <n v="0.05"/>
    <n v="538.84"/>
    <x v="8"/>
    <x v="1"/>
    <s v="19/07/2025"/>
    <x v="0"/>
    <n v="7"/>
    <x v="6"/>
    <s v="High"/>
    <n v="5.186474969993253E-2"/>
  </r>
  <r>
    <s v="ORD100786"/>
    <s v="2025-01-20"/>
    <x v="83"/>
    <x v="3"/>
    <x v="13"/>
    <x v="0"/>
    <x v="2"/>
    <x v="11"/>
    <n v="1832.1"/>
    <n v="6"/>
    <n v="0.1"/>
    <n v="124.07"/>
    <x v="6"/>
    <x v="0"/>
    <s v="20/01/2025"/>
    <x v="0"/>
    <n v="1"/>
    <x v="0"/>
    <s v="Low"/>
    <n v="6.7720102614486105E-2"/>
  </r>
  <r>
    <s v="ORD100787"/>
    <s v="2024-07-06"/>
    <x v="56"/>
    <x v="1"/>
    <x v="11"/>
    <x v="1"/>
    <x v="5"/>
    <x v="15"/>
    <n v="555.87"/>
    <n v="7"/>
    <n v="0.1"/>
    <n v="82.57"/>
    <x v="8"/>
    <x v="2"/>
    <s v="06/07/2024"/>
    <x v="1"/>
    <n v="7"/>
    <x v="6"/>
    <s v="Low"/>
    <n v="0.148541925270297"/>
  </r>
  <r>
    <s v="ORD100788"/>
    <s v="2025-05-10"/>
    <x v="147"/>
    <x v="3"/>
    <x v="14"/>
    <x v="0"/>
    <x v="1"/>
    <x v="19"/>
    <n v="1946.35"/>
    <n v="7"/>
    <n v="0.05"/>
    <n v="615.96"/>
    <x v="3"/>
    <x v="2"/>
    <s v="10/05/2025"/>
    <x v="0"/>
    <n v="5"/>
    <x v="7"/>
    <s v="High"/>
    <n v="0.31646928866853347"/>
  </r>
  <r>
    <s v="ORD100789"/>
    <s v="2025-06-28"/>
    <x v="113"/>
    <x v="2"/>
    <x v="6"/>
    <x v="1"/>
    <x v="5"/>
    <x v="7"/>
    <n v="4632.72"/>
    <n v="4"/>
    <n v="0.05"/>
    <n v="1303.4100000000001"/>
    <x v="0"/>
    <x v="0"/>
    <s v="28/06/2025"/>
    <x v="0"/>
    <n v="6"/>
    <x v="9"/>
    <s v="High"/>
    <n v="0.28134875407967674"/>
  </r>
  <r>
    <s v="ORD100790"/>
    <s v="2024-03-02"/>
    <x v="144"/>
    <x v="3"/>
    <x v="15"/>
    <x v="2"/>
    <x v="8"/>
    <x v="18"/>
    <n v="6259.47"/>
    <n v="7"/>
    <n v="0.1"/>
    <n v="497.16"/>
    <x v="0"/>
    <x v="0"/>
    <s v="02/03/2024"/>
    <x v="1"/>
    <n v="3"/>
    <x v="3"/>
    <s v="Low"/>
    <n v="7.9425254853845453E-2"/>
  </r>
  <r>
    <s v="ORD100791"/>
    <s v="2025-06-13"/>
    <x v="133"/>
    <x v="0"/>
    <x v="7"/>
    <x v="0"/>
    <x v="1"/>
    <x v="1"/>
    <n v="7803.27"/>
    <n v="9"/>
    <n v="0.3"/>
    <n v="112.32"/>
    <x v="6"/>
    <x v="0"/>
    <s v="13/06/2025"/>
    <x v="0"/>
    <n v="6"/>
    <x v="9"/>
    <s v="Low"/>
    <n v="1.4393965606726409E-2"/>
  </r>
  <r>
    <s v="ORD100792"/>
    <s v="2024-12-07"/>
    <x v="82"/>
    <x v="3"/>
    <x v="15"/>
    <x v="0"/>
    <x v="1"/>
    <x v="3"/>
    <n v="646.82000000000005"/>
    <n v="1"/>
    <n v="0.05"/>
    <n v="179.41"/>
    <x v="3"/>
    <x v="0"/>
    <s v="07/12/2024"/>
    <x v="1"/>
    <n v="12"/>
    <x v="4"/>
    <s v="High"/>
    <n v="0.27737237562227512"/>
  </r>
  <r>
    <s v="ORD100793"/>
    <s v="2024-08-08"/>
    <x v="43"/>
    <x v="0"/>
    <x v="0"/>
    <x v="0"/>
    <x v="2"/>
    <x v="11"/>
    <n v="7772.8"/>
    <n v="8"/>
    <n v="0.15"/>
    <n v="1242.98"/>
    <x v="3"/>
    <x v="3"/>
    <s v="08/08/2024"/>
    <x v="1"/>
    <n v="8"/>
    <x v="11"/>
    <s v="Low"/>
    <n v="0.15991405928365582"/>
  </r>
  <r>
    <s v="ORD100794"/>
    <s v="2025-04-24"/>
    <x v="191"/>
    <x v="1"/>
    <x v="2"/>
    <x v="0"/>
    <x v="0"/>
    <x v="25"/>
    <n v="1366.24"/>
    <n v="4"/>
    <n v="0.3"/>
    <n v="-25.27"/>
    <x v="1"/>
    <x v="0"/>
    <s v="24/04/2025"/>
    <x v="0"/>
    <n v="4"/>
    <x v="8"/>
    <s v="Low"/>
    <n v="-1.8496018269118165E-2"/>
  </r>
  <r>
    <s v="ORD100795"/>
    <s v="2024-02-16"/>
    <x v="171"/>
    <x v="2"/>
    <x v="6"/>
    <x v="0"/>
    <x v="2"/>
    <x v="2"/>
    <n v="3804.56"/>
    <n v="4"/>
    <n v="0.3"/>
    <n v="-502.12"/>
    <x v="8"/>
    <x v="0"/>
    <s v="16/02/2024"/>
    <x v="1"/>
    <n v="2"/>
    <x v="1"/>
    <s v="Low"/>
    <n v="-0.13197846794373069"/>
  </r>
  <r>
    <s v="ORD100796"/>
    <s v="2024-07-03"/>
    <x v="175"/>
    <x v="3"/>
    <x v="12"/>
    <x v="1"/>
    <x v="3"/>
    <x v="5"/>
    <n v="776.83"/>
    <n v="1"/>
    <n v="0.05"/>
    <n v="46.58"/>
    <x v="1"/>
    <x v="3"/>
    <s v="03/07/2024"/>
    <x v="1"/>
    <n v="7"/>
    <x v="6"/>
    <s v="High"/>
    <n v="5.9961638968628911E-2"/>
  </r>
  <r>
    <s v="ORD100797"/>
    <s v="2024-06-04"/>
    <x v="123"/>
    <x v="2"/>
    <x v="10"/>
    <x v="1"/>
    <x v="5"/>
    <x v="24"/>
    <n v="740.64"/>
    <n v="1"/>
    <n v="0.3"/>
    <n v="0.59"/>
    <x v="9"/>
    <x v="3"/>
    <s v="04/06/2024"/>
    <x v="1"/>
    <n v="6"/>
    <x v="9"/>
    <s v="Low"/>
    <n v="7.9660833873406779E-4"/>
  </r>
  <r>
    <s v="ORD100798"/>
    <s v="2024-08-31"/>
    <x v="73"/>
    <x v="2"/>
    <x v="3"/>
    <x v="2"/>
    <x v="6"/>
    <x v="23"/>
    <n v="5440.4"/>
    <n v="5"/>
    <n v="0.15"/>
    <n v="1530.52"/>
    <x v="2"/>
    <x v="0"/>
    <s v="31/08/2024"/>
    <x v="1"/>
    <n v="8"/>
    <x v="11"/>
    <s v="Low"/>
    <n v="0.28132490258069259"/>
  </r>
  <r>
    <s v="ORD100799"/>
    <s v="2025-07-05"/>
    <x v="125"/>
    <x v="1"/>
    <x v="11"/>
    <x v="1"/>
    <x v="3"/>
    <x v="14"/>
    <n v="2208.3000000000002"/>
    <n v="5"/>
    <n v="0"/>
    <n v="564.17999999999995"/>
    <x v="5"/>
    <x v="0"/>
    <s v="05/07/2025"/>
    <x v="0"/>
    <n v="7"/>
    <x v="6"/>
    <s v="No Discount"/>
    <n v="0.25548159217497618"/>
  </r>
  <r>
    <s v="ORD100800"/>
    <s v="2024-01-10"/>
    <x v="66"/>
    <x v="2"/>
    <x v="6"/>
    <x v="2"/>
    <x v="6"/>
    <x v="8"/>
    <n v="1682.62"/>
    <n v="2"/>
    <n v="0.15"/>
    <n v="409.59"/>
    <x v="9"/>
    <x v="3"/>
    <s v="10/01/2024"/>
    <x v="1"/>
    <n v="1"/>
    <x v="0"/>
    <s v="Low"/>
    <n v="0.24342394598899336"/>
  </r>
  <r>
    <s v="ORD100801"/>
    <s v="2024-08-30"/>
    <x v="154"/>
    <x v="2"/>
    <x v="10"/>
    <x v="0"/>
    <x v="0"/>
    <x v="22"/>
    <n v="8234.1"/>
    <n v="7"/>
    <n v="0.05"/>
    <n v="1807.83"/>
    <x v="2"/>
    <x v="3"/>
    <s v="30/08/2024"/>
    <x v="1"/>
    <n v="8"/>
    <x v="11"/>
    <s v="High"/>
    <n v="0.21955404962290959"/>
  </r>
  <r>
    <s v="ORD100802"/>
    <s v="2024-09-04"/>
    <x v="2"/>
    <x v="1"/>
    <x v="5"/>
    <x v="0"/>
    <x v="2"/>
    <x v="2"/>
    <n v="5416.8"/>
    <n v="8"/>
    <n v="0.05"/>
    <n v="929.21"/>
    <x v="1"/>
    <x v="3"/>
    <s v="04/09/2024"/>
    <x v="1"/>
    <n v="9"/>
    <x v="5"/>
    <s v="High"/>
    <n v="0.17154223896027174"/>
  </r>
  <r>
    <s v="ORD100803"/>
    <s v="2024-04-27"/>
    <x v="130"/>
    <x v="3"/>
    <x v="13"/>
    <x v="0"/>
    <x v="0"/>
    <x v="22"/>
    <n v="223.46"/>
    <n v="2"/>
    <n v="0.15"/>
    <n v="-15.47"/>
    <x v="3"/>
    <x v="3"/>
    <s v="27/04/2024"/>
    <x v="1"/>
    <n v="4"/>
    <x v="8"/>
    <s v="Low"/>
    <n v="-6.9229392284972699E-2"/>
  </r>
  <r>
    <s v="ORD100804"/>
    <s v="2025-03-21"/>
    <x v="46"/>
    <x v="3"/>
    <x v="12"/>
    <x v="2"/>
    <x v="6"/>
    <x v="8"/>
    <n v="5165.8500000000004"/>
    <n v="5"/>
    <n v="0.05"/>
    <n v="1288.3499999999999"/>
    <x v="6"/>
    <x v="0"/>
    <s v="21/03/2025"/>
    <x v="0"/>
    <n v="3"/>
    <x v="3"/>
    <s v="High"/>
    <n v="0.24939748540898396"/>
  </r>
  <r>
    <s v="ORD100805"/>
    <s v="2025-08-30"/>
    <x v="130"/>
    <x v="0"/>
    <x v="7"/>
    <x v="0"/>
    <x v="1"/>
    <x v="1"/>
    <n v="122.64"/>
    <n v="6"/>
    <n v="0.3"/>
    <n v="14.81"/>
    <x v="4"/>
    <x v="3"/>
    <s v="30/08/2025"/>
    <x v="0"/>
    <n v="8"/>
    <x v="11"/>
    <s v="Low"/>
    <n v="0.12075994781474234"/>
  </r>
  <r>
    <s v="ORD100806"/>
    <s v="2024-08-12"/>
    <x v="176"/>
    <x v="2"/>
    <x v="6"/>
    <x v="1"/>
    <x v="3"/>
    <x v="4"/>
    <n v="109"/>
    <n v="5"/>
    <n v="0.25"/>
    <n v="-5.19"/>
    <x v="2"/>
    <x v="2"/>
    <s v="12/08/2024"/>
    <x v="1"/>
    <n v="8"/>
    <x v="11"/>
    <s v="Low"/>
    <n v="-4.7614678899082573E-2"/>
  </r>
  <r>
    <s v="ORD100807"/>
    <s v="2024-09-03"/>
    <x v="167"/>
    <x v="1"/>
    <x v="5"/>
    <x v="2"/>
    <x v="6"/>
    <x v="8"/>
    <n v="1819.24"/>
    <n v="4"/>
    <n v="0.3"/>
    <n v="-377.99"/>
    <x v="0"/>
    <x v="3"/>
    <s v="03/09/2024"/>
    <x v="1"/>
    <n v="9"/>
    <x v="5"/>
    <s v="Low"/>
    <n v="-0.20777357577889669"/>
  </r>
  <r>
    <s v="ORD100808"/>
    <s v="2024-11-05"/>
    <x v="110"/>
    <x v="2"/>
    <x v="6"/>
    <x v="0"/>
    <x v="2"/>
    <x v="2"/>
    <n v="6440"/>
    <n v="8"/>
    <n v="0.1"/>
    <n v="2028.94"/>
    <x v="2"/>
    <x v="2"/>
    <s v="05/11/2024"/>
    <x v="1"/>
    <n v="11"/>
    <x v="10"/>
    <s v="Low"/>
    <n v="0.31505279503105593"/>
  </r>
  <r>
    <s v="ORD100809"/>
    <s v="2024-05-30"/>
    <x v="82"/>
    <x v="1"/>
    <x v="2"/>
    <x v="2"/>
    <x v="4"/>
    <x v="6"/>
    <n v="7017.36"/>
    <n v="6"/>
    <n v="0.2"/>
    <n v="-495.04"/>
    <x v="5"/>
    <x v="0"/>
    <s v="30/05/2024"/>
    <x v="1"/>
    <n v="5"/>
    <x v="7"/>
    <s v="Low"/>
    <n v="-7.0545048280264949E-2"/>
  </r>
  <r>
    <s v="ORD100810"/>
    <s v="2025-10-23"/>
    <x v="93"/>
    <x v="3"/>
    <x v="15"/>
    <x v="0"/>
    <x v="0"/>
    <x v="22"/>
    <n v="5200.1099999999997"/>
    <n v="9"/>
    <n v="0"/>
    <n v="2004.09"/>
    <x v="7"/>
    <x v="0"/>
    <s v="23/10/2025"/>
    <x v="0"/>
    <n v="10"/>
    <x v="2"/>
    <s v="No Discount"/>
    <n v="0.38539377051639295"/>
  </r>
  <r>
    <s v="ORD100811"/>
    <s v="2025-09-03"/>
    <x v="97"/>
    <x v="1"/>
    <x v="1"/>
    <x v="2"/>
    <x v="8"/>
    <x v="20"/>
    <n v="4239.76"/>
    <n v="4"/>
    <n v="0.15"/>
    <n v="592.13"/>
    <x v="1"/>
    <x v="3"/>
    <s v="03/09/2025"/>
    <x v="0"/>
    <n v="9"/>
    <x v="5"/>
    <s v="Low"/>
    <n v="0.13966120723814554"/>
  </r>
  <r>
    <s v="ORD100812"/>
    <s v="2025-06-12"/>
    <x v="100"/>
    <x v="2"/>
    <x v="3"/>
    <x v="1"/>
    <x v="7"/>
    <x v="17"/>
    <n v="4090.86"/>
    <n v="9"/>
    <n v="0.25"/>
    <n v="460.42"/>
    <x v="5"/>
    <x v="1"/>
    <s v="12/06/2025"/>
    <x v="0"/>
    <n v="6"/>
    <x v="9"/>
    <s v="Low"/>
    <n v="0.11254846169265142"/>
  </r>
  <r>
    <s v="ORD100813"/>
    <s v="2025-11-18"/>
    <x v="73"/>
    <x v="2"/>
    <x v="8"/>
    <x v="1"/>
    <x v="5"/>
    <x v="7"/>
    <n v="4836.16"/>
    <n v="7"/>
    <n v="0.2"/>
    <n v="-172.17"/>
    <x v="9"/>
    <x v="1"/>
    <s v="18/11/2025"/>
    <x v="0"/>
    <n v="11"/>
    <x v="10"/>
    <s v="Low"/>
    <n v="-3.5600559121286311E-2"/>
  </r>
  <r>
    <s v="ORD100814"/>
    <s v="2024-10-26"/>
    <x v="187"/>
    <x v="1"/>
    <x v="1"/>
    <x v="0"/>
    <x v="1"/>
    <x v="19"/>
    <n v="5532.35"/>
    <n v="5"/>
    <n v="0.15"/>
    <n v="647.04"/>
    <x v="7"/>
    <x v="1"/>
    <s v="26/10/2024"/>
    <x v="1"/>
    <n v="10"/>
    <x v="2"/>
    <s v="Low"/>
    <n v="0.11695572405939608"/>
  </r>
  <r>
    <s v="ORD100815"/>
    <s v="2025-05-30"/>
    <x v="144"/>
    <x v="3"/>
    <x v="12"/>
    <x v="1"/>
    <x v="5"/>
    <x v="15"/>
    <n v="3966.93"/>
    <n v="9"/>
    <n v="0.2"/>
    <n v="880.97"/>
    <x v="5"/>
    <x v="0"/>
    <s v="30/05/2025"/>
    <x v="0"/>
    <n v="5"/>
    <x v="7"/>
    <s v="Low"/>
    <n v="0.22207853428217791"/>
  </r>
  <r>
    <s v="ORD100816"/>
    <s v="2025-06-05"/>
    <x v="1"/>
    <x v="1"/>
    <x v="11"/>
    <x v="1"/>
    <x v="5"/>
    <x v="24"/>
    <n v="2156.62"/>
    <n v="2"/>
    <n v="0.05"/>
    <n v="110.68"/>
    <x v="6"/>
    <x v="0"/>
    <s v="05/06/2025"/>
    <x v="0"/>
    <n v="6"/>
    <x v="9"/>
    <s v="High"/>
    <n v="5.1321048678023951E-2"/>
  </r>
  <r>
    <s v="ORD100817"/>
    <s v="2024-03-02"/>
    <x v="139"/>
    <x v="0"/>
    <x v="4"/>
    <x v="2"/>
    <x v="8"/>
    <x v="18"/>
    <n v="1337.04"/>
    <n v="3"/>
    <n v="0.1"/>
    <n v="67.849999999999994"/>
    <x v="6"/>
    <x v="3"/>
    <s v="02/03/2024"/>
    <x v="1"/>
    <n v="3"/>
    <x v="3"/>
    <s v="Low"/>
    <n v="5.0746424938670494E-2"/>
  </r>
  <r>
    <s v="ORD100818"/>
    <s v="2025-06-21"/>
    <x v="90"/>
    <x v="1"/>
    <x v="1"/>
    <x v="1"/>
    <x v="7"/>
    <x v="9"/>
    <n v="6318.96"/>
    <n v="8"/>
    <n v="0.15"/>
    <n v="-325.38"/>
    <x v="0"/>
    <x v="0"/>
    <s v="21/06/2025"/>
    <x v="0"/>
    <n v="6"/>
    <x v="9"/>
    <s v="Low"/>
    <n v="-5.1492650689353943E-2"/>
  </r>
  <r>
    <s v="ORD100819"/>
    <s v="2025-07-30"/>
    <x v="31"/>
    <x v="1"/>
    <x v="5"/>
    <x v="1"/>
    <x v="3"/>
    <x v="4"/>
    <n v="10628.46"/>
    <n v="9"/>
    <n v="0.1"/>
    <n v="3283.02"/>
    <x v="9"/>
    <x v="2"/>
    <s v="30/07/2025"/>
    <x v="0"/>
    <n v="7"/>
    <x v="6"/>
    <s v="Low"/>
    <n v="0.30888952868054265"/>
  </r>
  <r>
    <s v="ORD100820"/>
    <s v="2024-11-18"/>
    <x v="187"/>
    <x v="1"/>
    <x v="5"/>
    <x v="1"/>
    <x v="7"/>
    <x v="9"/>
    <n v="7855.47"/>
    <n v="9"/>
    <n v="0.2"/>
    <n v="1062.1099999999999"/>
    <x v="4"/>
    <x v="3"/>
    <s v="18/11/2024"/>
    <x v="1"/>
    <n v="11"/>
    <x v="10"/>
    <s v="Low"/>
    <n v="0.13520642304025091"/>
  </r>
  <r>
    <s v="ORD100821"/>
    <s v="2025-11-02"/>
    <x v="140"/>
    <x v="0"/>
    <x v="9"/>
    <x v="2"/>
    <x v="4"/>
    <x v="6"/>
    <n v="209.82"/>
    <n v="2"/>
    <n v="0"/>
    <n v="52.92"/>
    <x v="5"/>
    <x v="2"/>
    <s v="02/11/2025"/>
    <x v="0"/>
    <n v="11"/>
    <x v="10"/>
    <s v="No Discount"/>
    <n v="0.25221618530168716"/>
  </r>
  <r>
    <s v="ORD100822"/>
    <s v="2024-10-17"/>
    <x v="159"/>
    <x v="2"/>
    <x v="10"/>
    <x v="1"/>
    <x v="7"/>
    <x v="17"/>
    <n v="515.67999999999995"/>
    <n v="1"/>
    <n v="0.3"/>
    <n v="-47.01"/>
    <x v="2"/>
    <x v="1"/>
    <s v="17/10/2024"/>
    <x v="1"/>
    <n v="10"/>
    <x v="2"/>
    <s v="Low"/>
    <n v="-9.1161185231151104E-2"/>
  </r>
  <r>
    <s v="ORD100823"/>
    <s v="2025-12-26"/>
    <x v="175"/>
    <x v="2"/>
    <x v="6"/>
    <x v="1"/>
    <x v="3"/>
    <x v="14"/>
    <n v="2795.13"/>
    <n v="3"/>
    <n v="0.25"/>
    <n v="227.14"/>
    <x v="3"/>
    <x v="0"/>
    <s v="26/12/2025"/>
    <x v="0"/>
    <n v="12"/>
    <x v="4"/>
    <s v="Low"/>
    <n v="8.1262767742466352E-2"/>
  </r>
  <r>
    <s v="ORD100824"/>
    <s v="2024-01-01"/>
    <x v="106"/>
    <x v="1"/>
    <x v="11"/>
    <x v="0"/>
    <x v="2"/>
    <x v="21"/>
    <n v="277.37"/>
    <n v="1"/>
    <n v="0.2"/>
    <n v="12.76"/>
    <x v="8"/>
    <x v="1"/>
    <s v="01/01/2024"/>
    <x v="1"/>
    <n v="1"/>
    <x v="0"/>
    <s v="Low"/>
    <n v="4.6003533186718099E-2"/>
  </r>
  <r>
    <s v="ORD100825"/>
    <s v="2025-08-19"/>
    <x v="182"/>
    <x v="0"/>
    <x v="4"/>
    <x v="2"/>
    <x v="6"/>
    <x v="23"/>
    <n v="8172.2"/>
    <n v="10"/>
    <n v="0.3"/>
    <n v="-959.77"/>
    <x v="2"/>
    <x v="3"/>
    <s v="19/08/2025"/>
    <x v="0"/>
    <n v="8"/>
    <x v="11"/>
    <s v="Low"/>
    <n v="-0.11744328332639925"/>
  </r>
  <r>
    <s v="ORD100826"/>
    <s v="2025-11-26"/>
    <x v="72"/>
    <x v="1"/>
    <x v="2"/>
    <x v="1"/>
    <x v="5"/>
    <x v="24"/>
    <n v="3933.28"/>
    <n v="4"/>
    <n v="0.25"/>
    <n v="-82.07"/>
    <x v="5"/>
    <x v="0"/>
    <s v="26/11/2025"/>
    <x v="0"/>
    <n v="11"/>
    <x v="10"/>
    <s v="Low"/>
    <n v="-2.0865537159825892E-2"/>
  </r>
  <r>
    <s v="ORD100827"/>
    <s v="2024-05-11"/>
    <x v="9"/>
    <x v="3"/>
    <x v="14"/>
    <x v="0"/>
    <x v="1"/>
    <x v="3"/>
    <n v="113.68"/>
    <n v="1"/>
    <n v="0.15"/>
    <n v="-6.41"/>
    <x v="8"/>
    <x v="3"/>
    <s v="11/05/2024"/>
    <x v="1"/>
    <n v="5"/>
    <x v="7"/>
    <s v="Low"/>
    <n v="-5.6386347642505275E-2"/>
  </r>
  <r>
    <s v="ORD100828"/>
    <s v="2024-08-04"/>
    <x v="150"/>
    <x v="0"/>
    <x v="0"/>
    <x v="2"/>
    <x v="6"/>
    <x v="13"/>
    <n v="9765.7000000000007"/>
    <n v="10"/>
    <n v="0"/>
    <n v="736.3"/>
    <x v="6"/>
    <x v="1"/>
    <s v="04/08/2024"/>
    <x v="1"/>
    <n v="8"/>
    <x v="11"/>
    <s v="No Discount"/>
    <n v="7.5396540954565452E-2"/>
  </r>
  <r>
    <s v="ORD100829"/>
    <s v="2024-05-30"/>
    <x v="87"/>
    <x v="0"/>
    <x v="4"/>
    <x v="0"/>
    <x v="2"/>
    <x v="2"/>
    <n v="3597.15"/>
    <n v="3"/>
    <n v="0"/>
    <n v="253.61"/>
    <x v="5"/>
    <x v="0"/>
    <s v="30/05/2024"/>
    <x v="1"/>
    <n v="5"/>
    <x v="7"/>
    <s v="No Discount"/>
    <n v="7.0503037126614126E-2"/>
  </r>
  <r>
    <s v="ORD100830"/>
    <s v="2025-01-17"/>
    <x v="41"/>
    <x v="3"/>
    <x v="12"/>
    <x v="0"/>
    <x v="1"/>
    <x v="3"/>
    <n v="1885.24"/>
    <n v="4"/>
    <n v="0.05"/>
    <n v="628.12"/>
    <x v="6"/>
    <x v="1"/>
    <s v="17/01/2025"/>
    <x v="0"/>
    <n v="1"/>
    <x v="0"/>
    <s v="High"/>
    <n v="0.33317773864335576"/>
  </r>
  <r>
    <s v="ORD100831"/>
    <s v="2024-11-01"/>
    <x v="116"/>
    <x v="1"/>
    <x v="1"/>
    <x v="2"/>
    <x v="6"/>
    <x v="23"/>
    <n v="4543.4399999999996"/>
    <n v="4"/>
    <n v="0.05"/>
    <n v="1589.22"/>
    <x v="8"/>
    <x v="3"/>
    <s v="01/11/2024"/>
    <x v="1"/>
    <n v="11"/>
    <x v="10"/>
    <s v="High"/>
    <n v="0.3497834240135228"/>
  </r>
  <r>
    <s v="ORD100832"/>
    <s v="2025-03-14"/>
    <x v="39"/>
    <x v="2"/>
    <x v="8"/>
    <x v="0"/>
    <x v="2"/>
    <x v="2"/>
    <n v="9047.84"/>
    <n v="8"/>
    <n v="0.1"/>
    <n v="823.72"/>
    <x v="9"/>
    <x v="0"/>
    <s v="14/03/2025"/>
    <x v="0"/>
    <n v="3"/>
    <x v="3"/>
    <s v="Low"/>
    <n v="9.1040513536932571E-2"/>
  </r>
  <r>
    <s v="ORD100833"/>
    <s v="2024-04-08"/>
    <x v="148"/>
    <x v="2"/>
    <x v="6"/>
    <x v="0"/>
    <x v="0"/>
    <x v="25"/>
    <n v="9136.7000000000007"/>
    <n v="10"/>
    <n v="0.3"/>
    <n v="1296.01"/>
    <x v="5"/>
    <x v="3"/>
    <s v="08/04/2024"/>
    <x v="1"/>
    <n v="4"/>
    <x v="8"/>
    <s v="Low"/>
    <n v="0.14184661858220143"/>
  </r>
  <r>
    <s v="ORD100834"/>
    <s v="2024-12-01"/>
    <x v="114"/>
    <x v="3"/>
    <x v="12"/>
    <x v="1"/>
    <x v="5"/>
    <x v="24"/>
    <n v="751.04"/>
    <n v="2"/>
    <n v="0.1"/>
    <n v="75.92"/>
    <x v="5"/>
    <x v="0"/>
    <s v="01/12/2024"/>
    <x v="1"/>
    <n v="12"/>
    <x v="4"/>
    <s v="Low"/>
    <n v="0.10108649339582447"/>
  </r>
  <r>
    <s v="ORD100835"/>
    <s v="2025-07-08"/>
    <x v="50"/>
    <x v="1"/>
    <x v="1"/>
    <x v="0"/>
    <x v="0"/>
    <x v="0"/>
    <n v="9198.1"/>
    <n v="10"/>
    <n v="0.25"/>
    <n v="-1608.91"/>
    <x v="5"/>
    <x v="2"/>
    <s v="08/07/2025"/>
    <x v="0"/>
    <n v="7"/>
    <x v="6"/>
    <s v="Low"/>
    <n v="-0.17491764603559432"/>
  </r>
  <r>
    <s v="ORD100836"/>
    <s v="2024-03-17"/>
    <x v="168"/>
    <x v="3"/>
    <x v="15"/>
    <x v="1"/>
    <x v="3"/>
    <x v="5"/>
    <n v="687.59"/>
    <n v="1"/>
    <n v="0.15"/>
    <n v="62.21"/>
    <x v="7"/>
    <x v="1"/>
    <s v="17/03/2024"/>
    <x v="1"/>
    <n v="3"/>
    <x v="3"/>
    <s v="Low"/>
    <n v="9.0475428671155766E-2"/>
  </r>
  <r>
    <s v="ORD100837"/>
    <s v="2024-06-15"/>
    <x v="178"/>
    <x v="0"/>
    <x v="4"/>
    <x v="0"/>
    <x v="0"/>
    <x v="0"/>
    <n v="10420.6"/>
    <n v="10"/>
    <n v="0"/>
    <n v="3804"/>
    <x v="0"/>
    <x v="2"/>
    <s v="15/06/2024"/>
    <x v="1"/>
    <n v="6"/>
    <x v="9"/>
    <s v="No Discount"/>
    <n v="0.36504615857052375"/>
  </r>
  <r>
    <s v="ORD100838"/>
    <s v="2024-09-11"/>
    <x v="160"/>
    <x v="3"/>
    <x v="15"/>
    <x v="1"/>
    <x v="7"/>
    <x v="17"/>
    <n v="4477.92"/>
    <n v="4"/>
    <n v="0.3"/>
    <n v="-157.31"/>
    <x v="2"/>
    <x v="3"/>
    <s v="11/09/2024"/>
    <x v="1"/>
    <n v="9"/>
    <x v="5"/>
    <s v="Low"/>
    <n v="-3.5130149712366457E-2"/>
  </r>
  <r>
    <s v="ORD100839"/>
    <s v="2025-01-05"/>
    <x v="4"/>
    <x v="3"/>
    <x v="12"/>
    <x v="2"/>
    <x v="6"/>
    <x v="13"/>
    <n v="1707.72"/>
    <n v="7"/>
    <n v="0.3"/>
    <n v="-98.61"/>
    <x v="1"/>
    <x v="2"/>
    <s v="05/01/2025"/>
    <x v="0"/>
    <n v="1"/>
    <x v="0"/>
    <s v="Low"/>
    <n v="-5.7743658210947929E-2"/>
  </r>
  <r>
    <s v="ORD100840"/>
    <s v="2024-06-17"/>
    <x v="175"/>
    <x v="0"/>
    <x v="4"/>
    <x v="0"/>
    <x v="2"/>
    <x v="2"/>
    <n v="654.24"/>
    <n v="8"/>
    <n v="0.2"/>
    <n v="71.89"/>
    <x v="7"/>
    <x v="1"/>
    <s v="17/06/2024"/>
    <x v="1"/>
    <n v="6"/>
    <x v="9"/>
    <s v="Low"/>
    <n v="0.10988322328197603"/>
  </r>
  <r>
    <s v="ORD100841"/>
    <s v="2025-11-27"/>
    <x v="117"/>
    <x v="3"/>
    <x v="12"/>
    <x v="1"/>
    <x v="3"/>
    <x v="4"/>
    <n v="1773.24"/>
    <n v="7"/>
    <n v="0.2"/>
    <n v="323.05"/>
    <x v="3"/>
    <x v="0"/>
    <s v="27/11/2025"/>
    <x v="0"/>
    <n v="11"/>
    <x v="10"/>
    <s v="Low"/>
    <n v="0.18218064108637297"/>
  </r>
  <r>
    <s v="ORD100842"/>
    <s v="2024-03-18"/>
    <x v="71"/>
    <x v="1"/>
    <x v="1"/>
    <x v="2"/>
    <x v="6"/>
    <x v="23"/>
    <n v="3331.71"/>
    <n v="9"/>
    <n v="0.25"/>
    <n v="22.04"/>
    <x v="1"/>
    <x v="3"/>
    <s v="18/03/2024"/>
    <x v="1"/>
    <n v="3"/>
    <x v="3"/>
    <s v="Low"/>
    <n v="6.6152216129254943E-3"/>
  </r>
  <r>
    <s v="ORD100843"/>
    <s v="2024-04-07"/>
    <x v="87"/>
    <x v="0"/>
    <x v="0"/>
    <x v="2"/>
    <x v="8"/>
    <x v="12"/>
    <n v="7307"/>
    <n v="10"/>
    <n v="0.05"/>
    <n v="1901.19"/>
    <x v="2"/>
    <x v="0"/>
    <s v="07/04/2024"/>
    <x v="1"/>
    <n v="4"/>
    <x v="8"/>
    <s v="High"/>
    <n v="0.26018749144655812"/>
  </r>
  <r>
    <s v="ORD100844"/>
    <s v="2024-07-06"/>
    <x v="134"/>
    <x v="3"/>
    <x v="15"/>
    <x v="1"/>
    <x v="7"/>
    <x v="16"/>
    <n v="7940.61"/>
    <n v="9"/>
    <n v="0.15"/>
    <n v="-12.86"/>
    <x v="8"/>
    <x v="3"/>
    <s v="06/07/2024"/>
    <x v="1"/>
    <n v="7"/>
    <x v="6"/>
    <s v="Low"/>
    <n v="-1.619522933376655E-3"/>
  </r>
  <r>
    <s v="ORD100845"/>
    <s v="2025-07-30"/>
    <x v="154"/>
    <x v="0"/>
    <x v="4"/>
    <x v="1"/>
    <x v="3"/>
    <x v="14"/>
    <n v="3759.35"/>
    <n v="7"/>
    <n v="0.05"/>
    <n v="994.65"/>
    <x v="8"/>
    <x v="1"/>
    <s v="30/07/2025"/>
    <x v="0"/>
    <n v="7"/>
    <x v="6"/>
    <s v="High"/>
    <n v="0.2645803130860388"/>
  </r>
  <r>
    <s v="ORD100846"/>
    <s v="2024-09-23"/>
    <x v="56"/>
    <x v="2"/>
    <x v="10"/>
    <x v="2"/>
    <x v="6"/>
    <x v="8"/>
    <n v="944.52"/>
    <n v="2"/>
    <n v="0.05"/>
    <n v="199.34"/>
    <x v="9"/>
    <x v="0"/>
    <s v="23/09/2024"/>
    <x v="1"/>
    <n v="9"/>
    <x v="5"/>
    <s v="High"/>
    <n v="0.21104899843306654"/>
  </r>
  <r>
    <s v="ORD100847"/>
    <s v="2024-05-09"/>
    <x v="118"/>
    <x v="0"/>
    <x v="4"/>
    <x v="0"/>
    <x v="1"/>
    <x v="19"/>
    <n v="1241.8399999999999"/>
    <n v="8"/>
    <n v="0"/>
    <n v="353.57"/>
    <x v="5"/>
    <x v="2"/>
    <s v="09/05/2024"/>
    <x v="1"/>
    <n v="5"/>
    <x v="7"/>
    <s v="No Discount"/>
    <n v="0.28471461701990597"/>
  </r>
  <r>
    <s v="ORD100848"/>
    <s v="2024-08-05"/>
    <x v="105"/>
    <x v="1"/>
    <x v="5"/>
    <x v="0"/>
    <x v="1"/>
    <x v="3"/>
    <n v="1029.92"/>
    <n v="4"/>
    <n v="0.25"/>
    <n v="78.48"/>
    <x v="1"/>
    <x v="0"/>
    <s v="05/08/2024"/>
    <x v="1"/>
    <n v="8"/>
    <x v="11"/>
    <s v="Low"/>
    <n v="7.6200093211123199E-2"/>
  </r>
  <r>
    <s v="ORD100849"/>
    <s v="2024-01-30"/>
    <x v="97"/>
    <x v="0"/>
    <x v="4"/>
    <x v="0"/>
    <x v="2"/>
    <x v="21"/>
    <n v="8183.9"/>
    <n v="10"/>
    <n v="0.2"/>
    <n v="813.93"/>
    <x v="3"/>
    <x v="3"/>
    <s v="30/01/2024"/>
    <x v="1"/>
    <n v="1"/>
    <x v="0"/>
    <s v="Low"/>
    <n v="9.9455027554100128E-2"/>
  </r>
  <r>
    <s v="ORD100850"/>
    <s v="2024-01-22"/>
    <x v="64"/>
    <x v="3"/>
    <x v="15"/>
    <x v="1"/>
    <x v="3"/>
    <x v="5"/>
    <n v="197.6"/>
    <n v="5"/>
    <n v="0.15"/>
    <n v="13.35"/>
    <x v="5"/>
    <x v="3"/>
    <s v="22/01/2024"/>
    <x v="1"/>
    <n v="1"/>
    <x v="0"/>
    <s v="Low"/>
    <n v="6.7560728744939277E-2"/>
  </r>
  <r>
    <s v="ORD100851"/>
    <s v="2025-01-20"/>
    <x v="106"/>
    <x v="3"/>
    <x v="13"/>
    <x v="1"/>
    <x v="3"/>
    <x v="4"/>
    <n v="7506.2"/>
    <n v="10"/>
    <n v="0.05"/>
    <n v="2725.17"/>
    <x v="9"/>
    <x v="2"/>
    <s v="20/01/2025"/>
    <x v="0"/>
    <n v="1"/>
    <x v="0"/>
    <s v="High"/>
    <n v="0.36305587381098292"/>
  </r>
  <r>
    <s v="ORD100852"/>
    <s v="2024-05-24"/>
    <x v="51"/>
    <x v="3"/>
    <x v="12"/>
    <x v="2"/>
    <x v="6"/>
    <x v="13"/>
    <n v="3743.2"/>
    <n v="8"/>
    <n v="0"/>
    <n v="309.26"/>
    <x v="1"/>
    <x v="3"/>
    <s v="24/05/2024"/>
    <x v="1"/>
    <n v="5"/>
    <x v="7"/>
    <s v="No Discount"/>
    <n v="8.2619149390895485E-2"/>
  </r>
  <r>
    <s v="ORD100853"/>
    <s v="2025-02-18"/>
    <x v="34"/>
    <x v="1"/>
    <x v="11"/>
    <x v="2"/>
    <x v="4"/>
    <x v="10"/>
    <n v="98.85"/>
    <n v="1"/>
    <n v="0.1"/>
    <n v="5.58"/>
    <x v="8"/>
    <x v="0"/>
    <s v="18/02/2025"/>
    <x v="0"/>
    <n v="2"/>
    <x v="1"/>
    <s v="Low"/>
    <n v="5.6449165402124434E-2"/>
  </r>
  <r>
    <s v="ORD100854"/>
    <s v="2025-02-21"/>
    <x v="93"/>
    <x v="1"/>
    <x v="5"/>
    <x v="1"/>
    <x v="7"/>
    <x v="17"/>
    <n v="957.84"/>
    <n v="4"/>
    <n v="0"/>
    <n v="410.47"/>
    <x v="1"/>
    <x v="1"/>
    <s v="21/02/2025"/>
    <x v="0"/>
    <n v="2"/>
    <x v="1"/>
    <s v="No Discount"/>
    <n v="0.42853712519836301"/>
  </r>
  <r>
    <s v="ORD100855"/>
    <s v="2024-04-07"/>
    <x v="196"/>
    <x v="1"/>
    <x v="2"/>
    <x v="2"/>
    <x v="8"/>
    <x v="12"/>
    <n v="2248.88"/>
    <n v="4"/>
    <n v="0.3"/>
    <n v="275.36"/>
    <x v="2"/>
    <x v="1"/>
    <s v="07/04/2024"/>
    <x v="1"/>
    <n v="4"/>
    <x v="8"/>
    <s v="Low"/>
    <n v="0.12244317171214116"/>
  </r>
  <r>
    <s v="ORD100856"/>
    <s v="2024-11-09"/>
    <x v="183"/>
    <x v="3"/>
    <x v="13"/>
    <x v="1"/>
    <x v="7"/>
    <x v="17"/>
    <n v="5842.53"/>
    <n v="9"/>
    <n v="0.2"/>
    <n v="1263.68"/>
    <x v="0"/>
    <x v="1"/>
    <s v="09/11/2024"/>
    <x v="1"/>
    <n v="11"/>
    <x v="10"/>
    <s v="Low"/>
    <n v="0.21628986072814349"/>
  </r>
  <r>
    <s v="ORD100857"/>
    <s v="2025-02-21"/>
    <x v="25"/>
    <x v="3"/>
    <x v="14"/>
    <x v="1"/>
    <x v="7"/>
    <x v="17"/>
    <n v="1157.72"/>
    <n v="2"/>
    <n v="0.1"/>
    <n v="9.83"/>
    <x v="4"/>
    <x v="0"/>
    <s v="21/02/2025"/>
    <x v="0"/>
    <n v="2"/>
    <x v="1"/>
    <s v="Low"/>
    <n v="8.4908267974985307E-3"/>
  </r>
  <r>
    <s v="ORD100858"/>
    <s v="2025-02-14"/>
    <x v="62"/>
    <x v="3"/>
    <x v="14"/>
    <x v="1"/>
    <x v="5"/>
    <x v="7"/>
    <n v="1275.8800000000001"/>
    <n v="4"/>
    <n v="0.25"/>
    <n v="4.3899999999999997"/>
    <x v="6"/>
    <x v="2"/>
    <s v="14/02/2025"/>
    <x v="0"/>
    <n v="2"/>
    <x v="1"/>
    <s v="Low"/>
    <n v="3.4407624541492924E-3"/>
  </r>
  <r>
    <s v="ORD100859"/>
    <s v="2025-05-01"/>
    <x v="43"/>
    <x v="2"/>
    <x v="8"/>
    <x v="0"/>
    <x v="2"/>
    <x v="2"/>
    <n v="647.45000000000005"/>
    <n v="5"/>
    <n v="0.1"/>
    <n v="108.02"/>
    <x v="5"/>
    <x v="0"/>
    <s v="01/05/2025"/>
    <x v="0"/>
    <n v="5"/>
    <x v="7"/>
    <s v="Low"/>
    <n v="0.16683913815738666"/>
  </r>
  <r>
    <s v="ORD100860"/>
    <s v="2025-06-08"/>
    <x v="6"/>
    <x v="0"/>
    <x v="9"/>
    <x v="1"/>
    <x v="5"/>
    <x v="15"/>
    <n v="2813.64"/>
    <n v="3"/>
    <n v="0.15"/>
    <n v="755.31"/>
    <x v="8"/>
    <x v="0"/>
    <s v="08/06/2025"/>
    <x v="0"/>
    <n v="6"/>
    <x v="9"/>
    <s v="Low"/>
    <n v="0.2684458566127863"/>
  </r>
  <r>
    <s v="ORD100861"/>
    <s v="2025-03-09"/>
    <x v="172"/>
    <x v="2"/>
    <x v="10"/>
    <x v="0"/>
    <x v="1"/>
    <x v="19"/>
    <n v="4077.64"/>
    <n v="4"/>
    <n v="0.3"/>
    <n v="300.8"/>
    <x v="4"/>
    <x v="2"/>
    <s v="09/03/2025"/>
    <x v="0"/>
    <n v="3"/>
    <x v="3"/>
    <s v="Low"/>
    <n v="7.3768160014125825E-2"/>
  </r>
  <r>
    <s v="ORD100862"/>
    <s v="2025-06-21"/>
    <x v="46"/>
    <x v="1"/>
    <x v="11"/>
    <x v="1"/>
    <x v="7"/>
    <x v="17"/>
    <n v="257.16000000000003"/>
    <n v="2"/>
    <n v="0.25"/>
    <n v="34.380000000000003"/>
    <x v="3"/>
    <x v="2"/>
    <s v="21/06/2025"/>
    <x v="0"/>
    <n v="6"/>
    <x v="9"/>
    <s v="Low"/>
    <n v="0.13369108726084927"/>
  </r>
  <r>
    <s v="ORD100863"/>
    <s v="2024-04-02"/>
    <x v="131"/>
    <x v="0"/>
    <x v="0"/>
    <x v="0"/>
    <x v="2"/>
    <x v="11"/>
    <n v="2612.6799999999998"/>
    <n v="7"/>
    <n v="0.05"/>
    <n v="644.63"/>
    <x v="5"/>
    <x v="2"/>
    <s v="02/04/2024"/>
    <x v="1"/>
    <n v="4"/>
    <x v="8"/>
    <s v="High"/>
    <n v="0.24673132568856501"/>
  </r>
  <r>
    <s v="ORD100864"/>
    <s v="2025-10-29"/>
    <x v="62"/>
    <x v="2"/>
    <x v="8"/>
    <x v="1"/>
    <x v="3"/>
    <x v="5"/>
    <n v="7800.03"/>
    <n v="9"/>
    <n v="0.2"/>
    <n v="779.98"/>
    <x v="6"/>
    <x v="1"/>
    <s v="29/10/2025"/>
    <x v="0"/>
    <n v="10"/>
    <x v="2"/>
    <s v="Low"/>
    <n v="9.9997051293392467E-2"/>
  </r>
  <r>
    <s v="ORD100865"/>
    <s v="2025-03-15"/>
    <x v="19"/>
    <x v="3"/>
    <x v="12"/>
    <x v="2"/>
    <x v="4"/>
    <x v="6"/>
    <n v="4922.75"/>
    <n v="7"/>
    <n v="0.05"/>
    <n v="795.79"/>
    <x v="1"/>
    <x v="3"/>
    <s v="15/03/2025"/>
    <x v="0"/>
    <n v="3"/>
    <x v="3"/>
    <s v="High"/>
    <n v="0.16165557869077243"/>
  </r>
  <r>
    <s v="ORD100866"/>
    <s v="2024-12-31"/>
    <x v="60"/>
    <x v="3"/>
    <x v="13"/>
    <x v="0"/>
    <x v="0"/>
    <x v="22"/>
    <n v="4187.3599999999997"/>
    <n v="8"/>
    <n v="0.2"/>
    <n v="-152.51"/>
    <x v="1"/>
    <x v="0"/>
    <s v="31/12/2024"/>
    <x v="1"/>
    <n v="12"/>
    <x v="4"/>
    <s v="Low"/>
    <n v="-3.6421516182033549E-2"/>
  </r>
  <r>
    <s v="ORD100867"/>
    <s v="2024-06-19"/>
    <x v="30"/>
    <x v="3"/>
    <x v="13"/>
    <x v="1"/>
    <x v="7"/>
    <x v="17"/>
    <n v="11826.8"/>
    <n v="10"/>
    <n v="0.3"/>
    <n v="-2132.44"/>
    <x v="8"/>
    <x v="2"/>
    <s v="19/06/2024"/>
    <x v="1"/>
    <n v="6"/>
    <x v="9"/>
    <s v="Low"/>
    <n v="-0.18030574627118073"/>
  </r>
  <r>
    <s v="ORD100868"/>
    <s v="2025-06-08"/>
    <x v="146"/>
    <x v="2"/>
    <x v="10"/>
    <x v="1"/>
    <x v="7"/>
    <x v="16"/>
    <n v="4250.24"/>
    <n v="4"/>
    <n v="0.3"/>
    <n v="-891.01"/>
    <x v="0"/>
    <x v="2"/>
    <s v="08/06/2025"/>
    <x v="0"/>
    <n v="6"/>
    <x v="9"/>
    <s v="Low"/>
    <n v="-0.20963757340761935"/>
  </r>
  <r>
    <s v="ORD100869"/>
    <s v="2025-09-01"/>
    <x v="78"/>
    <x v="0"/>
    <x v="9"/>
    <x v="2"/>
    <x v="6"/>
    <x v="8"/>
    <n v="5868.35"/>
    <n v="5"/>
    <n v="0.2"/>
    <n v="-695.64"/>
    <x v="1"/>
    <x v="0"/>
    <s v="01/09/2025"/>
    <x v="0"/>
    <n v="9"/>
    <x v="5"/>
    <s v="Low"/>
    <n v="-0.11854098681912291"/>
  </r>
  <r>
    <s v="ORD100870"/>
    <s v="2025-12-06"/>
    <x v="169"/>
    <x v="2"/>
    <x v="10"/>
    <x v="1"/>
    <x v="3"/>
    <x v="5"/>
    <n v="4112.46"/>
    <n v="6"/>
    <n v="0"/>
    <n v="967.66"/>
    <x v="3"/>
    <x v="0"/>
    <s v="06/12/2025"/>
    <x v="0"/>
    <n v="12"/>
    <x v="4"/>
    <s v="No Discount"/>
    <n v="0.23529955306556172"/>
  </r>
  <r>
    <s v="ORD100871"/>
    <s v="2025-05-23"/>
    <x v="187"/>
    <x v="3"/>
    <x v="12"/>
    <x v="1"/>
    <x v="5"/>
    <x v="15"/>
    <n v="4872.42"/>
    <n v="7"/>
    <n v="0.3"/>
    <n v="114.29"/>
    <x v="7"/>
    <x v="0"/>
    <s v="23/05/2025"/>
    <x v="0"/>
    <n v="5"/>
    <x v="7"/>
    <s v="Low"/>
    <n v="2.3456516474359763E-2"/>
  </r>
  <r>
    <s v="ORD100872"/>
    <s v="2025-10-13"/>
    <x v="104"/>
    <x v="0"/>
    <x v="4"/>
    <x v="0"/>
    <x v="2"/>
    <x v="2"/>
    <n v="464.24"/>
    <n v="7"/>
    <n v="0.05"/>
    <n v="25.4"/>
    <x v="1"/>
    <x v="0"/>
    <s v="13/10/2025"/>
    <x v="0"/>
    <n v="10"/>
    <x v="2"/>
    <s v="High"/>
    <n v="5.4713079441668096E-2"/>
  </r>
  <r>
    <s v="ORD100873"/>
    <s v="2025-01-14"/>
    <x v="7"/>
    <x v="3"/>
    <x v="15"/>
    <x v="2"/>
    <x v="8"/>
    <x v="20"/>
    <n v="840.92"/>
    <n v="1"/>
    <n v="0.25"/>
    <n v="125.42"/>
    <x v="9"/>
    <x v="1"/>
    <s v="14/01/2025"/>
    <x v="0"/>
    <n v="1"/>
    <x v="0"/>
    <s v="Low"/>
    <n v="0.14914617323883367"/>
  </r>
  <r>
    <s v="ORD100874"/>
    <s v="2024-12-27"/>
    <x v="165"/>
    <x v="0"/>
    <x v="9"/>
    <x v="1"/>
    <x v="3"/>
    <x v="4"/>
    <n v="5299.5"/>
    <n v="5"/>
    <n v="0.05"/>
    <n v="68.33"/>
    <x v="4"/>
    <x v="0"/>
    <s v="27/12/2024"/>
    <x v="1"/>
    <n v="12"/>
    <x v="4"/>
    <s v="High"/>
    <n v="1.28936692140768E-2"/>
  </r>
  <r>
    <s v="ORD100875"/>
    <s v="2025-03-21"/>
    <x v="11"/>
    <x v="3"/>
    <x v="14"/>
    <x v="1"/>
    <x v="5"/>
    <x v="24"/>
    <n v="672.42"/>
    <n v="7"/>
    <n v="0"/>
    <n v="113.86"/>
    <x v="1"/>
    <x v="0"/>
    <s v="21/03/2025"/>
    <x v="0"/>
    <n v="3"/>
    <x v="3"/>
    <s v="No Discount"/>
    <n v="0.16932869337616371"/>
  </r>
  <r>
    <s v="ORD100876"/>
    <s v="2025-10-15"/>
    <x v="137"/>
    <x v="3"/>
    <x v="14"/>
    <x v="2"/>
    <x v="8"/>
    <x v="12"/>
    <n v="2904.18"/>
    <n v="6"/>
    <n v="0.25"/>
    <n v="-265.52999999999997"/>
    <x v="4"/>
    <x v="2"/>
    <s v="15/10/2025"/>
    <x v="0"/>
    <n v="10"/>
    <x v="2"/>
    <s v="Low"/>
    <n v="-9.1430283246906177E-2"/>
  </r>
  <r>
    <s v="ORD100877"/>
    <s v="2025-11-29"/>
    <x v="197"/>
    <x v="1"/>
    <x v="1"/>
    <x v="1"/>
    <x v="7"/>
    <x v="16"/>
    <n v="2887.41"/>
    <n v="3"/>
    <n v="0.2"/>
    <n v="326.52999999999997"/>
    <x v="9"/>
    <x v="1"/>
    <s v="29/11/2025"/>
    <x v="0"/>
    <n v="11"/>
    <x v="10"/>
    <s v="Low"/>
    <n v="0.11308750748941092"/>
  </r>
  <r>
    <s v="ORD100878"/>
    <s v="2025-09-16"/>
    <x v="46"/>
    <x v="1"/>
    <x v="1"/>
    <x v="0"/>
    <x v="1"/>
    <x v="1"/>
    <n v="561.34"/>
    <n v="2"/>
    <n v="0.3"/>
    <n v="-112.57"/>
    <x v="3"/>
    <x v="0"/>
    <s v="16/09/2025"/>
    <x v="0"/>
    <n v="9"/>
    <x v="5"/>
    <s v="Low"/>
    <n v="-0.20053799836106456"/>
  </r>
  <r>
    <s v="ORD100879"/>
    <s v="2025-04-05"/>
    <x v="156"/>
    <x v="1"/>
    <x v="11"/>
    <x v="0"/>
    <x v="0"/>
    <x v="0"/>
    <n v="277.62"/>
    <n v="3"/>
    <n v="0.1"/>
    <n v="34.159999999999997"/>
    <x v="4"/>
    <x v="1"/>
    <s v="05/04/2025"/>
    <x v="0"/>
    <n v="4"/>
    <x v="8"/>
    <s v="Low"/>
    <n v="0.12304589006555722"/>
  </r>
  <r>
    <s v="ORD100880"/>
    <s v="2025-08-28"/>
    <x v="166"/>
    <x v="2"/>
    <x v="6"/>
    <x v="1"/>
    <x v="3"/>
    <x v="14"/>
    <n v="1220.8800000000001"/>
    <n v="8"/>
    <n v="0.15"/>
    <n v="-13.28"/>
    <x v="8"/>
    <x v="1"/>
    <s v="28/08/2025"/>
    <x v="0"/>
    <n v="8"/>
    <x v="11"/>
    <s v="Low"/>
    <n v="-1.0877399908262891E-2"/>
  </r>
  <r>
    <s v="ORD100881"/>
    <s v="2024-05-19"/>
    <x v="93"/>
    <x v="0"/>
    <x v="4"/>
    <x v="2"/>
    <x v="4"/>
    <x v="10"/>
    <n v="2188.98"/>
    <n v="3"/>
    <n v="0.3"/>
    <n v="-543.54"/>
    <x v="6"/>
    <x v="3"/>
    <s v="19/05/2024"/>
    <x v="1"/>
    <n v="5"/>
    <x v="7"/>
    <s v="Low"/>
    <n v="-0.24830743085820792"/>
  </r>
  <r>
    <s v="ORD100882"/>
    <s v="2025-11-07"/>
    <x v="98"/>
    <x v="2"/>
    <x v="8"/>
    <x v="2"/>
    <x v="4"/>
    <x v="26"/>
    <n v="7802.96"/>
    <n v="8"/>
    <n v="0"/>
    <n v="2932.53"/>
    <x v="2"/>
    <x v="1"/>
    <s v="07/11/2025"/>
    <x v="0"/>
    <n v="11"/>
    <x v="10"/>
    <s v="No Discount"/>
    <n v="0.37582276469442366"/>
  </r>
  <r>
    <s v="ORD100883"/>
    <s v="2025-10-10"/>
    <x v="45"/>
    <x v="1"/>
    <x v="1"/>
    <x v="0"/>
    <x v="0"/>
    <x v="25"/>
    <n v="5300.05"/>
    <n v="7"/>
    <n v="0.25"/>
    <n v="355.71"/>
    <x v="4"/>
    <x v="2"/>
    <s v="10/10/2025"/>
    <x v="0"/>
    <n v="10"/>
    <x v="2"/>
    <s v="Low"/>
    <n v="6.7114461184328442E-2"/>
  </r>
  <r>
    <s v="ORD100884"/>
    <s v="2024-05-15"/>
    <x v="148"/>
    <x v="1"/>
    <x v="5"/>
    <x v="0"/>
    <x v="1"/>
    <x v="1"/>
    <n v="205.65"/>
    <n v="3"/>
    <n v="0.1"/>
    <n v="-7.67"/>
    <x v="3"/>
    <x v="2"/>
    <s v="15/05/2024"/>
    <x v="1"/>
    <n v="5"/>
    <x v="7"/>
    <s v="Low"/>
    <n v="-3.7296377340141018E-2"/>
  </r>
  <r>
    <s v="ORD100885"/>
    <s v="2024-07-28"/>
    <x v="10"/>
    <x v="0"/>
    <x v="0"/>
    <x v="0"/>
    <x v="2"/>
    <x v="21"/>
    <n v="5595.39"/>
    <n v="9"/>
    <n v="0.3"/>
    <n v="-755.91"/>
    <x v="7"/>
    <x v="0"/>
    <s v="28/07/2024"/>
    <x v="1"/>
    <n v="7"/>
    <x v="6"/>
    <s v="Low"/>
    <n v="-0.13509514082128321"/>
  </r>
  <r>
    <s v="ORD100886"/>
    <s v="2024-08-19"/>
    <x v="18"/>
    <x v="3"/>
    <x v="14"/>
    <x v="1"/>
    <x v="3"/>
    <x v="14"/>
    <n v="1745.04"/>
    <n v="3"/>
    <n v="0.25"/>
    <n v="17.13"/>
    <x v="4"/>
    <x v="3"/>
    <s v="19/08/2024"/>
    <x v="1"/>
    <n v="8"/>
    <x v="11"/>
    <s v="Low"/>
    <n v="9.8163938935497182E-3"/>
  </r>
  <r>
    <s v="ORD100887"/>
    <s v="2024-06-02"/>
    <x v="54"/>
    <x v="2"/>
    <x v="8"/>
    <x v="1"/>
    <x v="3"/>
    <x v="5"/>
    <n v="1794.85"/>
    <n v="5"/>
    <n v="0.1"/>
    <n v="491.3"/>
    <x v="7"/>
    <x v="1"/>
    <s v="02/06/2024"/>
    <x v="1"/>
    <n v="6"/>
    <x v="9"/>
    <s v="Low"/>
    <n v="0.27372760954954456"/>
  </r>
  <r>
    <s v="ORD100888"/>
    <s v="2025-07-13"/>
    <x v="19"/>
    <x v="3"/>
    <x v="13"/>
    <x v="2"/>
    <x v="8"/>
    <x v="20"/>
    <n v="2128.94"/>
    <n v="2"/>
    <n v="0.1"/>
    <n v="596.98"/>
    <x v="8"/>
    <x v="1"/>
    <s v="13/07/2025"/>
    <x v="0"/>
    <n v="7"/>
    <x v="6"/>
    <s v="Low"/>
    <n v="0.28041184814978348"/>
  </r>
  <r>
    <s v="ORD100889"/>
    <s v="2024-09-03"/>
    <x v="44"/>
    <x v="1"/>
    <x v="11"/>
    <x v="1"/>
    <x v="3"/>
    <x v="5"/>
    <n v="3720"/>
    <n v="4"/>
    <n v="0.25"/>
    <n v="-679.23"/>
    <x v="8"/>
    <x v="2"/>
    <s v="03/09/2024"/>
    <x v="1"/>
    <n v="9"/>
    <x v="5"/>
    <s v="Low"/>
    <n v="-0.18258870967741936"/>
  </r>
  <r>
    <s v="ORD100890"/>
    <s v="2024-11-25"/>
    <x v="21"/>
    <x v="0"/>
    <x v="0"/>
    <x v="1"/>
    <x v="7"/>
    <x v="16"/>
    <n v="344.3"/>
    <n v="1"/>
    <n v="0.05"/>
    <n v="32.299999999999997"/>
    <x v="4"/>
    <x v="0"/>
    <s v="25/11/2024"/>
    <x v="1"/>
    <n v="11"/>
    <x v="10"/>
    <s v="High"/>
    <n v="9.3813534708103385E-2"/>
  </r>
  <r>
    <s v="ORD100891"/>
    <s v="2025-04-16"/>
    <x v="48"/>
    <x v="1"/>
    <x v="2"/>
    <x v="2"/>
    <x v="6"/>
    <x v="23"/>
    <n v="399.65"/>
    <n v="1"/>
    <n v="0.3"/>
    <n v="-51.74"/>
    <x v="1"/>
    <x v="0"/>
    <s v="16/04/2025"/>
    <x v="0"/>
    <n v="4"/>
    <x v="8"/>
    <s v="Low"/>
    <n v="-0.12946328037032404"/>
  </r>
  <r>
    <s v="ORD100892"/>
    <s v="2024-04-08"/>
    <x v="132"/>
    <x v="2"/>
    <x v="10"/>
    <x v="0"/>
    <x v="1"/>
    <x v="1"/>
    <n v="4089.6"/>
    <n v="5"/>
    <n v="0.05"/>
    <n v="921.94"/>
    <x v="0"/>
    <x v="3"/>
    <s v="08/04/2024"/>
    <x v="1"/>
    <n v="4"/>
    <x v="8"/>
    <s v="High"/>
    <n v="0.22543525039123632"/>
  </r>
  <r>
    <s v="ORD100893"/>
    <s v="2024-06-17"/>
    <x v="60"/>
    <x v="3"/>
    <x v="13"/>
    <x v="0"/>
    <x v="2"/>
    <x v="21"/>
    <n v="1123.58"/>
    <n v="2"/>
    <n v="0.05"/>
    <n v="180.07"/>
    <x v="7"/>
    <x v="0"/>
    <s v="17/06/2024"/>
    <x v="1"/>
    <n v="6"/>
    <x v="9"/>
    <s v="High"/>
    <n v="0.16026451165026079"/>
  </r>
  <r>
    <s v="ORD100894"/>
    <s v="2024-01-14"/>
    <x v="97"/>
    <x v="2"/>
    <x v="3"/>
    <x v="0"/>
    <x v="0"/>
    <x v="25"/>
    <n v="841.24"/>
    <n v="1"/>
    <n v="0.25"/>
    <n v="107.46"/>
    <x v="9"/>
    <x v="1"/>
    <s v="14/01/2024"/>
    <x v="1"/>
    <n v="1"/>
    <x v="0"/>
    <s v="Low"/>
    <n v="0.12774000285293138"/>
  </r>
  <r>
    <s v="ORD100895"/>
    <s v="2024-07-15"/>
    <x v="23"/>
    <x v="2"/>
    <x v="3"/>
    <x v="0"/>
    <x v="2"/>
    <x v="2"/>
    <n v="8588.52"/>
    <n v="9"/>
    <n v="0"/>
    <n v="1035.8399999999999"/>
    <x v="5"/>
    <x v="2"/>
    <s v="15/07/2024"/>
    <x v="1"/>
    <n v="7"/>
    <x v="6"/>
    <s v="No Discount"/>
    <n v="0.12060750862779616"/>
  </r>
  <r>
    <s v="ORD100896"/>
    <s v="2025-08-21"/>
    <x v="3"/>
    <x v="0"/>
    <x v="9"/>
    <x v="0"/>
    <x v="2"/>
    <x v="11"/>
    <n v="1822.56"/>
    <n v="6"/>
    <n v="0.3"/>
    <n v="-191.41"/>
    <x v="1"/>
    <x v="0"/>
    <s v="21/08/2025"/>
    <x v="0"/>
    <n v="8"/>
    <x v="11"/>
    <s v="Low"/>
    <n v="-0.10502260556579757"/>
  </r>
  <r>
    <s v="ORD100897"/>
    <s v="2024-07-18"/>
    <x v="72"/>
    <x v="0"/>
    <x v="4"/>
    <x v="0"/>
    <x v="2"/>
    <x v="11"/>
    <n v="3777.34"/>
    <n v="7"/>
    <n v="0.15"/>
    <n v="44.88"/>
    <x v="4"/>
    <x v="0"/>
    <s v="18/07/2024"/>
    <x v="1"/>
    <n v="7"/>
    <x v="6"/>
    <s v="Low"/>
    <n v="1.1881376841904621E-2"/>
  </r>
  <r>
    <s v="ORD100898"/>
    <s v="2025-03-05"/>
    <x v="112"/>
    <x v="3"/>
    <x v="14"/>
    <x v="2"/>
    <x v="6"/>
    <x v="8"/>
    <n v="6902.46"/>
    <n v="9"/>
    <n v="0.1"/>
    <n v="1300.07"/>
    <x v="2"/>
    <x v="0"/>
    <s v="05/03/2025"/>
    <x v="0"/>
    <n v="3"/>
    <x v="3"/>
    <s v="Low"/>
    <n v="0.18834879159024462"/>
  </r>
  <r>
    <s v="ORD100899"/>
    <s v="2024-03-10"/>
    <x v="183"/>
    <x v="3"/>
    <x v="14"/>
    <x v="0"/>
    <x v="2"/>
    <x v="21"/>
    <n v="10217.5"/>
    <n v="10"/>
    <n v="0.3"/>
    <n v="-75.92"/>
    <x v="3"/>
    <x v="3"/>
    <s v="10/03/2024"/>
    <x v="1"/>
    <n v="3"/>
    <x v="3"/>
    <s v="Low"/>
    <n v="-7.4303890384144851E-3"/>
  </r>
  <r>
    <s v="ORD100900"/>
    <s v="2025-05-09"/>
    <x v="27"/>
    <x v="3"/>
    <x v="13"/>
    <x v="1"/>
    <x v="5"/>
    <x v="24"/>
    <n v="1391.95"/>
    <n v="7"/>
    <n v="0.15"/>
    <n v="-54.01"/>
    <x v="9"/>
    <x v="2"/>
    <s v="09/05/2025"/>
    <x v="0"/>
    <n v="5"/>
    <x v="7"/>
    <s v="Low"/>
    <n v="-3.8801681094866911E-2"/>
  </r>
  <r>
    <s v="ORD100901"/>
    <s v="2024-08-18"/>
    <x v="95"/>
    <x v="0"/>
    <x v="4"/>
    <x v="1"/>
    <x v="3"/>
    <x v="4"/>
    <n v="758.08"/>
    <n v="8"/>
    <n v="0"/>
    <n v="282.02999999999997"/>
    <x v="9"/>
    <x v="2"/>
    <s v="18/08/2024"/>
    <x v="1"/>
    <n v="8"/>
    <x v="11"/>
    <s v="No Discount"/>
    <n v="0.37203197551709577"/>
  </r>
  <r>
    <s v="ORD100902"/>
    <s v="2025-06-07"/>
    <x v="50"/>
    <x v="2"/>
    <x v="10"/>
    <x v="1"/>
    <x v="3"/>
    <x v="5"/>
    <n v="2687.2"/>
    <n v="10"/>
    <n v="0.25"/>
    <n v="-455.95"/>
    <x v="1"/>
    <x v="3"/>
    <s v="07/06/2025"/>
    <x v="0"/>
    <n v="6"/>
    <x v="9"/>
    <s v="Low"/>
    <n v="-0.16967475439118787"/>
  </r>
  <r>
    <s v="ORD100903"/>
    <s v="2024-01-19"/>
    <x v="147"/>
    <x v="2"/>
    <x v="10"/>
    <x v="0"/>
    <x v="2"/>
    <x v="11"/>
    <n v="3398.48"/>
    <n v="8"/>
    <n v="0.05"/>
    <n v="814.32"/>
    <x v="4"/>
    <x v="1"/>
    <s v="19/01/2024"/>
    <x v="1"/>
    <n v="1"/>
    <x v="0"/>
    <s v="High"/>
    <n v="0.23961300346037054"/>
  </r>
  <r>
    <s v="ORD100904"/>
    <s v="2025-10-27"/>
    <x v="27"/>
    <x v="1"/>
    <x v="1"/>
    <x v="2"/>
    <x v="6"/>
    <x v="13"/>
    <n v="7301"/>
    <n v="7"/>
    <n v="0.1"/>
    <n v="1530.11"/>
    <x v="2"/>
    <x v="0"/>
    <s v="27/10/2025"/>
    <x v="0"/>
    <n v="10"/>
    <x v="2"/>
    <s v="Low"/>
    <n v="0.20957540063005067"/>
  </r>
  <r>
    <s v="ORD100905"/>
    <s v="2025-12-15"/>
    <x v="25"/>
    <x v="2"/>
    <x v="6"/>
    <x v="1"/>
    <x v="5"/>
    <x v="24"/>
    <n v="3380.31"/>
    <n v="9"/>
    <n v="0.05"/>
    <n v="126.61"/>
    <x v="0"/>
    <x v="3"/>
    <s v="15/12/2025"/>
    <x v="0"/>
    <n v="12"/>
    <x v="4"/>
    <s v="High"/>
    <n v="3.7455144646496921E-2"/>
  </r>
  <r>
    <s v="ORD100906"/>
    <s v="2025-01-02"/>
    <x v="30"/>
    <x v="0"/>
    <x v="9"/>
    <x v="1"/>
    <x v="3"/>
    <x v="4"/>
    <n v="148.59"/>
    <n v="1"/>
    <n v="0.3"/>
    <n v="-1.57"/>
    <x v="6"/>
    <x v="2"/>
    <s v="02/01/2025"/>
    <x v="0"/>
    <n v="1"/>
    <x v="0"/>
    <s v="Low"/>
    <n v="-1.05659869439397E-2"/>
  </r>
  <r>
    <s v="ORD100907"/>
    <s v="2024-03-01"/>
    <x v="58"/>
    <x v="3"/>
    <x v="13"/>
    <x v="1"/>
    <x v="7"/>
    <x v="9"/>
    <n v="6047.02"/>
    <n v="7"/>
    <n v="0.3"/>
    <n v="119.04"/>
    <x v="2"/>
    <x v="1"/>
    <s v="01/03/2024"/>
    <x v="1"/>
    <n v="3"/>
    <x v="3"/>
    <s v="Low"/>
    <n v="1.9685729499819747E-2"/>
  </r>
  <r>
    <s v="ORD100908"/>
    <s v="2024-06-10"/>
    <x v="188"/>
    <x v="3"/>
    <x v="15"/>
    <x v="2"/>
    <x v="4"/>
    <x v="10"/>
    <n v="288.44"/>
    <n v="1"/>
    <n v="0"/>
    <n v="110.8"/>
    <x v="3"/>
    <x v="3"/>
    <s v="10/06/2024"/>
    <x v="1"/>
    <n v="6"/>
    <x v="9"/>
    <s v="No Discount"/>
    <n v="0.38413534877270833"/>
  </r>
  <r>
    <s v="ORD100909"/>
    <s v="2025-03-27"/>
    <x v="75"/>
    <x v="3"/>
    <x v="14"/>
    <x v="2"/>
    <x v="8"/>
    <x v="12"/>
    <n v="651.67999999999995"/>
    <n v="2"/>
    <n v="0.1"/>
    <n v="81.260000000000005"/>
    <x v="7"/>
    <x v="0"/>
    <s v="27/03/2025"/>
    <x v="0"/>
    <n v="3"/>
    <x v="3"/>
    <s v="Low"/>
    <n v="0.12469310090842133"/>
  </r>
  <r>
    <s v="ORD100910"/>
    <s v="2024-08-16"/>
    <x v="78"/>
    <x v="1"/>
    <x v="1"/>
    <x v="1"/>
    <x v="5"/>
    <x v="7"/>
    <n v="2612.94"/>
    <n v="6"/>
    <n v="0.15"/>
    <n v="589.05999999999995"/>
    <x v="4"/>
    <x v="2"/>
    <s v="16/08/2024"/>
    <x v="1"/>
    <n v="8"/>
    <x v="11"/>
    <s v="Low"/>
    <n v="0.22543954319655252"/>
  </r>
  <r>
    <s v="ORD100911"/>
    <s v="2025-12-17"/>
    <x v="55"/>
    <x v="2"/>
    <x v="6"/>
    <x v="0"/>
    <x v="0"/>
    <x v="0"/>
    <n v="1774.28"/>
    <n v="2"/>
    <n v="0.05"/>
    <n v="260.43"/>
    <x v="2"/>
    <x v="0"/>
    <s v="17/12/2025"/>
    <x v="0"/>
    <n v="12"/>
    <x v="4"/>
    <s v="High"/>
    <n v="0.14678066596027686"/>
  </r>
  <r>
    <s v="ORD100912"/>
    <s v="2024-11-26"/>
    <x v="125"/>
    <x v="1"/>
    <x v="11"/>
    <x v="0"/>
    <x v="0"/>
    <x v="25"/>
    <n v="4639.95"/>
    <n v="9"/>
    <n v="0.25"/>
    <n v="-505.14"/>
    <x v="6"/>
    <x v="3"/>
    <s v="26/11/2024"/>
    <x v="1"/>
    <n v="11"/>
    <x v="10"/>
    <s v="Low"/>
    <n v="-0.10886755245207384"/>
  </r>
  <r>
    <s v="ORD100913"/>
    <s v="2025-02-23"/>
    <x v="129"/>
    <x v="3"/>
    <x v="14"/>
    <x v="2"/>
    <x v="4"/>
    <x v="26"/>
    <n v="1648.02"/>
    <n v="2"/>
    <n v="0.15"/>
    <n v="68.25"/>
    <x v="0"/>
    <x v="0"/>
    <s v="23/02/2025"/>
    <x v="0"/>
    <n v="2"/>
    <x v="1"/>
    <s v="Low"/>
    <n v="4.1413332362471328E-2"/>
  </r>
  <r>
    <s v="ORD100914"/>
    <s v="2024-07-10"/>
    <x v="139"/>
    <x v="0"/>
    <x v="4"/>
    <x v="1"/>
    <x v="3"/>
    <x v="5"/>
    <n v="571.32000000000005"/>
    <n v="9"/>
    <n v="0.05"/>
    <n v="15.96"/>
    <x v="2"/>
    <x v="2"/>
    <s v="10/07/2024"/>
    <x v="1"/>
    <n v="7"/>
    <x v="6"/>
    <s v="High"/>
    <n v="2.7935307708464606E-2"/>
  </r>
  <r>
    <s v="ORD100915"/>
    <s v="2024-10-29"/>
    <x v="71"/>
    <x v="3"/>
    <x v="15"/>
    <x v="1"/>
    <x v="5"/>
    <x v="15"/>
    <n v="5467.49"/>
    <n v="7"/>
    <n v="0.2"/>
    <n v="1046.26"/>
    <x v="0"/>
    <x v="1"/>
    <s v="29/10/2024"/>
    <x v="1"/>
    <n v="10"/>
    <x v="2"/>
    <s v="Low"/>
    <n v="0.19136020367664139"/>
  </r>
  <r>
    <s v="ORD100916"/>
    <s v="2025-11-11"/>
    <x v="171"/>
    <x v="0"/>
    <x v="7"/>
    <x v="1"/>
    <x v="5"/>
    <x v="7"/>
    <n v="701.82"/>
    <n v="1"/>
    <n v="0.05"/>
    <n v="279.10000000000002"/>
    <x v="7"/>
    <x v="1"/>
    <s v="11/11/2025"/>
    <x v="0"/>
    <n v="11"/>
    <x v="10"/>
    <s v="High"/>
    <n v="0.39768031689037076"/>
  </r>
  <r>
    <s v="ORD100917"/>
    <s v="2024-04-29"/>
    <x v="157"/>
    <x v="1"/>
    <x v="2"/>
    <x v="1"/>
    <x v="7"/>
    <x v="16"/>
    <n v="1064.96"/>
    <n v="1"/>
    <n v="0"/>
    <n v="476.95"/>
    <x v="4"/>
    <x v="2"/>
    <s v="29/04/2024"/>
    <x v="1"/>
    <n v="4"/>
    <x v="8"/>
    <s v="No Discount"/>
    <n v="0.44785719651442307"/>
  </r>
  <r>
    <s v="ORD100918"/>
    <s v="2025-04-18"/>
    <x v="135"/>
    <x v="1"/>
    <x v="1"/>
    <x v="0"/>
    <x v="1"/>
    <x v="19"/>
    <n v="2673.86"/>
    <n v="7"/>
    <n v="0.1"/>
    <n v="-7.05"/>
    <x v="2"/>
    <x v="0"/>
    <s v="18/04/2025"/>
    <x v="0"/>
    <n v="4"/>
    <x v="8"/>
    <s v="Low"/>
    <n v="-2.6366376698854837E-3"/>
  </r>
  <r>
    <s v="ORD100919"/>
    <s v="2025-05-12"/>
    <x v="81"/>
    <x v="3"/>
    <x v="15"/>
    <x v="2"/>
    <x v="6"/>
    <x v="8"/>
    <n v="2818.3"/>
    <n v="5"/>
    <n v="0.05"/>
    <n v="1123.68"/>
    <x v="9"/>
    <x v="2"/>
    <s v="12/05/2025"/>
    <x v="0"/>
    <n v="5"/>
    <x v="7"/>
    <s v="High"/>
    <n v="0.39870844125891497"/>
  </r>
  <r>
    <s v="ORD100920"/>
    <s v="2024-05-10"/>
    <x v="181"/>
    <x v="0"/>
    <x v="4"/>
    <x v="1"/>
    <x v="7"/>
    <x v="9"/>
    <n v="349.05"/>
    <n v="3"/>
    <n v="0.2"/>
    <n v="73.260000000000005"/>
    <x v="4"/>
    <x v="3"/>
    <s v="10/05/2024"/>
    <x v="1"/>
    <n v="5"/>
    <x v="7"/>
    <s v="Low"/>
    <n v="0.20988397077782553"/>
  </r>
  <r>
    <s v="ORD100921"/>
    <s v="2024-07-18"/>
    <x v="187"/>
    <x v="2"/>
    <x v="10"/>
    <x v="0"/>
    <x v="2"/>
    <x v="2"/>
    <n v="1951.96"/>
    <n v="4"/>
    <n v="0.05"/>
    <n v="502.24"/>
    <x v="9"/>
    <x v="0"/>
    <s v="18/07/2024"/>
    <x v="1"/>
    <n v="7"/>
    <x v="6"/>
    <s v="High"/>
    <n v="0.2573003545154614"/>
  </r>
  <r>
    <s v="ORD100922"/>
    <s v="2024-08-31"/>
    <x v="193"/>
    <x v="1"/>
    <x v="1"/>
    <x v="1"/>
    <x v="7"/>
    <x v="9"/>
    <n v="2087.5"/>
    <n v="10"/>
    <n v="0.25"/>
    <n v="73.41"/>
    <x v="0"/>
    <x v="1"/>
    <s v="31/08/2024"/>
    <x v="1"/>
    <n v="8"/>
    <x v="11"/>
    <s v="Low"/>
    <n v="3.5166467065868262E-2"/>
  </r>
  <r>
    <s v="ORD100923"/>
    <s v="2025-08-26"/>
    <x v="6"/>
    <x v="3"/>
    <x v="12"/>
    <x v="0"/>
    <x v="0"/>
    <x v="22"/>
    <n v="8507.7999999999993"/>
    <n v="10"/>
    <n v="0.2"/>
    <n v="1162.6500000000001"/>
    <x v="1"/>
    <x v="0"/>
    <s v="26/08/2025"/>
    <x v="0"/>
    <n v="8"/>
    <x v="11"/>
    <s v="Low"/>
    <n v="0.136656950092856"/>
  </r>
  <r>
    <s v="ORD100924"/>
    <s v="2025-12-22"/>
    <x v="147"/>
    <x v="2"/>
    <x v="10"/>
    <x v="1"/>
    <x v="3"/>
    <x v="5"/>
    <n v="4218.3"/>
    <n v="10"/>
    <n v="0.3"/>
    <n v="-617.20000000000005"/>
    <x v="5"/>
    <x v="0"/>
    <s v="22/12/2025"/>
    <x v="0"/>
    <n v="12"/>
    <x v="4"/>
    <s v="Low"/>
    <n v="-0.14631486617831829"/>
  </r>
  <r>
    <s v="ORD100925"/>
    <s v="2024-03-30"/>
    <x v="154"/>
    <x v="1"/>
    <x v="2"/>
    <x v="1"/>
    <x v="3"/>
    <x v="5"/>
    <n v="1554.24"/>
    <n v="3"/>
    <n v="0.3"/>
    <n v="-364.1"/>
    <x v="8"/>
    <x v="0"/>
    <s v="30/03/2024"/>
    <x v="1"/>
    <n v="3"/>
    <x v="3"/>
    <s v="Low"/>
    <n v="-0.23426240477661109"/>
  </r>
  <r>
    <s v="ORD100926"/>
    <s v="2024-12-27"/>
    <x v="55"/>
    <x v="3"/>
    <x v="12"/>
    <x v="0"/>
    <x v="2"/>
    <x v="2"/>
    <n v="719.61"/>
    <n v="3"/>
    <n v="0.3"/>
    <n v="12.75"/>
    <x v="3"/>
    <x v="0"/>
    <s v="27/12/2024"/>
    <x v="1"/>
    <n v="12"/>
    <x v="4"/>
    <s v="Low"/>
    <n v="1.771793054571226E-2"/>
  </r>
  <r>
    <s v="ORD100927"/>
    <s v="2024-03-18"/>
    <x v="26"/>
    <x v="3"/>
    <x v="13"/>
    <x v="1"/>
    <x v="3"/>
    <x v="14"/>
    <n v="491.46"/>
    <n v="1"/>
    <n v="0.3"/>
    <n v="-36.65"/>
    <x v="9"/>
    <x v="1"/>
    <s v="18/03/2024"/>
    <x v="1"/>
    <n v="3"/>
    <x v="3"/>
    <s v="Low"/>
    <n v="-7.4573719122614249E-2"/>
  </r>
  <r>
    <s v="ORD100928"/>
    <s v="2025-10-27"/>
    <x v="161"/>
    <x v="2"/>
    <x v="3"/>
    <x v="0"/>
    <x v="1"/>
    <x v="19"/>
    <n v="497.46"/>
    <n v="6"/>
    <n v="0.05"/>
    <n v="132.93"/>
    <x v="3"/>
    <x v="1"/>
    <s v="27/10/2025"/>
    <x v="0"/>
    <n v="10"/>
    <x v="2"/>
    <s v="High"/>
    <n v="0.26721746472078162"/>
  </r>
  <r>
    <s v="ORD100929"/>
    <s v="2024-11-16"/>
    <x v="47"/>
    <x v="1"/>
    <x v="2"/>
    <x v="2"/>
    <x v="4"/>
    <x v="10"/>
    <n v="793.62"/>
    <n v="2"/>
    <n v="0.15"/>
    <n v="14.12"/>
    <x v="6"/>
    <x v="1"/>
    <s v="16/11/2024"/>
    <x v="1"/>
    <n v="11"/>
    <x v="10"/>
    <s v="Low"/>
    <n v="1.7791890325344624E-2"/>
  </r>
  <r>
    <s v="ORD100930"/>
    <s v="2024-03-21"/>
    <x v="54"/>
    <x v="0"/>
    <x v="7"/>
    <x v="0"/>
    <x v="1"/>
    <x v="1"/>
    <n v="2120.12"/>
    <n v="2"/>
    <n v="0.15"/>
    <n v="540.85"/>
    <x v="5"/>
    <x v="2"/>
    <s v="21/03/2024"/>
    <x v="1"/>
    <n v="3"/>
    <x v="3"/>
    <s v="Low"/>
    <n v="0.25510348470841276"/>
  </r>
  <r>
    <s v="ORD100931"/>
    <s v="2024-03-24"/>
    <x v="57"/>
    <x v="2"/>
    <x v="3"/>
    <x v="1"/>
    <x v="7"/>
    <x v="17"/>
    <n v="3359.31"/>
    <n v="3"/>
    <n v="0.15"/>
    <n v="782.62"/>
    <x v="4"/>
    <x v="3"/>
    <s v="24/03/2024"/>
    <x v="1"/>
    <n v="3"/>
    <x v="3"/>
    <s v="Low"/>
    <n v="0.23297046119590034"/>
  </r>
  <r>
    <s v="ORD100932"/>
    <s v="2025-09-18"/>
    <x v="186"/>
    <x v="1"/>
    <x v="2"/>
    <x v="1"/>
    <x v="3"/>
    <x v="4"/>
    <n v="309.42"/>
    <n v="6"/>
    <n v="0.25"/>
    <n v="-12.68"/>
    <x v="5"/>
    <x v="2"/>
    <s v="18/09/2025"/>
    <x v="0"/>
    <n v="9"/>
    <x v="5"/>
    <s v="Low"/>
    <n v="-4.0979897873440627E-2"/>
  </r>
  <r>
    <s v="ORD100933"/>
    <s v="2025-07-28"/>
    <x v="12"/>
    <x v="0"/>
    <x v="0"/>
    <x v="0"/>
    <x v="1"/>
    <x v="1"/>
    <n v="3733"/>
    <n v="5"/>
    <n v="0.2"/>
    <n v="397.78"/>
    <x v="5"/>
    <x v="3"/>
    <s v="28/07/2025"/>
    <x v="0"/>
    <n v="7"/>
    <x v="6"/>
    <s v="Low"/>
    <n v="0.10655772836860433"/>
  </r>
  <r>
    <s v="ORD100934"/>
    <s v="2024-07-22"/>
    <x v="30"/>
    <x v="2"/>
    <x v="3"/>
    <x v="2"/>
    <x v="8"/>
    <x v="18"/>
    <n v="3694.4"/>
    <n v="8"/>
    <n v="0"/>
    <n v="1105.31"/>
    <x v="6"/>
    <x v="2"/>
    <s v="22/07/2024"/>
    <x v="1"/>
    <n v="7"/>
    <x v="6"/>
    <s v="No Discount"/>
    <n v="0.29918525335643131"/>
  </r>
  <r>
    <s v="ORD100935"/>
    <s v="2024-08-24"/>
    <x v="53"/>
    <x v="1"/>
    <x v="5"/>
    <x v="0"/>
    <x v="1"/>
    <x v="19"/>
    <n v="2061.9"/>
    <n v="5"/>
    <n v="0.1"/>
    <n v="576.29"/>
    <x v="4"/>
    <x v="1"/>
    <s v="24/08/2024"/>
    <x v="1"/>
    <n v="8"/>
    <x v="11"/>
    <s v="Low"/>
    <n v="0.27949464086522136"/>
  </r>
  <r>
    <s v="ORD100936"/>
    <s v="2025-05-14"/>
    <x v="111"/>
    <x v="1"/>
    <x v="11"/>
    <x v="0"/>
    <x v="0"/>
    <x v="22"/>
    <n v="2628.09"/>
    <n v="3"/>
    <n v="0.15"/>
    <n v="-148.6"/>
    <x v="9"/>
    <x v="3"/>
    <s v="14/05/2025"/>
    <x v="0"/>
    <n v="5"/>
    <x v="7"/>
    <s v="Low"/>
    <n v="-5.65429646625496E-2"/>
  </r>
  <r>
    <s v="ORD100937"/>
    <s v="2024-08-24"/>
    <x v="157"/>
    <x v="3"/>
    <x v="12"/>
    <x v="1"/>
    <x v="3"/>
    <x v="4"/>
    <n v="953.74"/>
    <n v="1"/>
    <n v="0.3"/>
    <n v="65.680000000000007"/>
    <x v="6"/>
    <x v="1"/>
    <s v="24/08/2024"/>
    <x v="1"/>
    <n v="8"/>
    <x v="11"/>
    <s v="Low"/>
    <n v="6.8865728605280271E-2"/>
  </r>
  <r>
    <s v="ORD100938"/>
    <s v="2024-04-20"/>
    <x v="5"/>
    <x v="1"/>
    <x v="5"/>
    <x v="0"/>
    <x v="2"/>
    <x v="21"/>
    <n v="189.62"/>
    <n v="1"/>
    <n v="0.15"/>
    <n v="-1.1299999999999999"/>
    <x v="4"/>
    <x v="1"/>
    <s v="20/04/2024"/>
    <x v="1"/>
    <n v="4"/>
    <x v="8"/>
    <s v="Low"/>
    <n v="-5.959286995042716E-3"/>
  </r>
  <r>
    <s v="ORD100939"/>
    <s v="2025-04-25"/>
    <x v="18"/>
    <x v="3"/>
    <x v="15"/>
    <x v="0"/>
    <x v="0"/>
    <x v="25"/>
    <n v="945.48"/>
    <n v="1"/>
    <n v="0"/>
    <n v="352.03"/>
    <x v="3"/>
    <x v="1"/>
    <s v="25/04/2025"/>
    <x v="0"/>
    <n v="4"/>
    <x v="8"/>
    <s v="No Discount"/>
    <n v="0.37232939882387778"/>
  </r>
  <r>
    <s v="ORD100940"/>
    <s v="2025-07-06"/>
    <x v="175"/>
    <x v="3"/>
    <x v="13"/>
    <x v="1"/>
    <x v="5"/>
    <x v="15"/>
    <n v="312.27999999999997"/>
    <n v="1"/>
    <n v="0.05"/>
    <n v="29.35"/>
    <x v="3"/>
    <x v="1"/>
    <s v="06/07/2025"/>
    <x v="0"/>
    <n v="7"/>
    <x v="6"/>
    <s v="High"/>
    <n v="9.398616626104779E-2"/>
  </r>
  <r>
    <s v="ORD100941"/>
    <s v="2024-06-24"/>
    <x v="10"/>
    <x v="3"/>
    <x v="15"/>
    <x v="2"/>
    <x v="8"/>
    <x v="12"/>
    <n v="3043.89"/>
    <n v="3"/>
    <n v="0.3"/>
    <n v="-219.03"/>
    <x v="1"/>
    <x v="1"/>
    <s v="24/06/2024"/>
    <x v="1"/>
    <n v="6"/>
    <x v="9"/>
    <s v="Low"/>
    <n v="-7.1957265209978027E-2"/>
  </r>
  <r>
    <s v="ORD100942"/>
    <s v="2024-05-03"/>
    <x v="67"/>
    <x v="2"/>
    <x v="8"/>
    <x v="2"/>
    <x v="6"/>
    <x v="23"/>
    <n v="289.92"/>
    <n v="3"/>
    <n v="0.2"/>
    <n v="29.27"/>
    <x v="6"/>
    <x v="2"/>
    <s v="03/05/2024"/>
    <x v="1"/>
    <n v="5"/>
    <x v="7"/>
    <s v="Low"/>
    <n v="0.10095888520971302"/>
  </r>
  <r>
    <s v="ORD100943"/>
    <s v="2025-12-22"/>
    <x v="95"/>
    <x v="2"/>
    <x v="8"/>
    <x v="0"/>
    <x v="1"/>
    <x v="19"/>
    <n v="937.66"/>
    <n v="2"/>
    <n v="0.2"/>
    <n v="194.24"/>
    <x v="3"/>
    <x v="2"/>
    <s v="22/12/2025"/>
    <x v="0"/>
    <n v="12"/>
    <x v="4"/>
    <s v="Low"/>
    <n v="0.20715397905424143"/>
  </r>
  <r>
    <s v="ORD100944"/>
    <s v="2024-09-04"/>
    <x v="121"/>
    <x v="0"/>
    <x v="7"/>
    <x v="1"/>
    <x v="3"/>
    <x v="14"/>
    <n v="2311.5500000000002"/>
    <n v="5"/>
    <n v="0.2"/>
    <n v="-189.01"/>
    <x v="5"/>
    <x v="1"/>
    <s v="04/09/2024"/>
    <x v="1"/>
    <n v="9"/>
    <x v="5"/>
    <s v="Low"/>
    <n v="-8.1767645086630175E-2"/>
  </r>
  <r>
    <s v="ORD100945"/>
    <s v="2025-05-27"/>
    <x v="103"/>
    <x v="2"/>
    <x v="6"/>
    <x v="0"/>
    <x v="1"/>
    <x v="1"/>
    <n v="1437.6"/>
    <n v="6"/>
    <n v="0.2"/>
    <n v="24.03"/>
    <x v="0"/>
    <x v="1"/>
    <s v="27/05/2025"/>
    <x v="0"/>
    <n v="5"/>
    <x v="7"/>
    <s v="Low"/>
    <n v="1.6715358931552588E-2"/>
  </r>
  <r>
    <s v="ORD100946"/>
    <s v="2024-05-03"/>
    <x v="154"/>
    <x v="2"/>
    <x v="8"/>
    <x v="2"/>
    <x v="6"/>
    <x v="23"/>
    <n v="4037.1"/>
    <n v="5"/>
    <n v="0.15"/>
    <n v="247.63"/>
    <x v="8"/>
    <x v="0"/>
    <s v="03/05/2024"/>
    <x v="1"/>
    <n v="5"/>
    <x v="7"/>
    <s v="Low"/>
    <n v="6.1338584627579205E-2"/>
  </r>
  <r>
    <s v="ORD100947"/>
    <s v="2024-04-12"/>
    <x v="131"/>
    <x v="1"/>
    <x v="11"/>
    <x v="1"/>
    <x v="5"/>
    <x v="15"/>
    <n v="6641.37"/>
    <n v="9"/>
    <n v="0.3"/>
    <n v="-791.36"/>
    <x v="3"/>
    <x v="0"/>
    <s v="12/04/2024"/>
    <x v="1"/>
    <n v="4"/>
    <x v="8"/>
    <s v="Low"/>
    <n v="-0.11915613796551013"/>
  </r>
  <r>
    <s v="ORD100948"/>
    <s v="2025-04-19"/>
    <x v="198"/>
    <x v="0"/>
    <x v="4"/>
    <x v="2"/>
    <x v="8"/>
    <x v="20"/>
    <n v="3878"/>
    <n v="10"/>
    <n v="0.05"/>
    <n v="601.28"/>
    <x v="4"/>
    <x v="2"/>
    <s v="19/04/2025"/>
    <x v="0"/>
    <n v="4"/>
    <x v="8"/>
    <s v="High"/>
    <n v="0.15504899432697267"/>
  </r>
  <r>
    <s v="ORD100949"/>
    <s v="2025-07-17"/>
    <x v="134"/>
    <x v="0"/>
    <x v="4"/>
    <x v="0"/>
    <x v="0"/>
    <x v="25"/>
    <n v="10009.9"/>
    <n v="10"/>
    <n v="0.05"/>
    <n v="1722.02"/>
    <x v="3"/>
    <x v="2"/>
    <s v="17/07/2025"/>
    <x v="0"/>
    <n v="7"/>
    <x v="6"/>
    <s v="High"/>
    <n v="0.17203168862825802"/>
  </r>
  <r>
    <s v="ORD100950"/>
    <s v="2025-03-22"/>
    <x v="88"/>
    <x v="1"/>
    <x v="2"/>
    <x v="0"/>
    <x v="2"/>
    <x v="11"/>
    <n v="680.58"/>
    <n v="6"/>
    <n v="0"/>
    <n v="170.33"/>
    <x v="7"/>
    <x v="1"/>
    <s v="22/03/2025"/>
    <x v="0"/>
    <n v="3"/>
    <x v="3"/>
    <s v="No Discount"/>
    <n v="0.25027182697111289"/>
  </r>
  <r>
    <s v="ORD100951"/>
    <s v="2024-10-31"/>
    <x v="34"/>
    <x v="0"/>
    <x v="0"/>
    <x v="2"/>
    <x v="6"/>
    <x v="13"/>
    <n v="2151.58"/>
    <n v="2"/>
    <n v="0.1"/>
    <n v="717.01"/>
    <x v="1"/>
    <x v="3"/>
    <s v="31/10/2024"/>
    <x v="1"/>
    <n v="10"/>
    <x v="2"/>
    <s v="Low"/>
    <n v="0.3332481246339899"/>
  </r>
  <r>
    <s v="ORD100952"/>
    <s v="2025-09-17"/>
    <x v="62"/>
    <x v="0"/>
    <x v="0"/>
    <x v="0"/>
    <x v="1"/>
    <x v="3"/>
    <n v="3975.75"/>
    <n v="9"/>
    <n v="0.2"/>
    <n v="155.88999999999999"/>
    <x v="8"/>
    <x v="3"/>
    <s v="17/09/2025"/>
    <x v="0"/>
    <n v="9"/>
    <x v="5"/>
    <s v="Low"/>
    <n v="3.9210211909702565E-2"/>
  </r>
  <r>
    <s v="ORD100953"/>
    <s v="2025-03-03"/>
    <x v="147"/>
    <x v="2"/>
    <x v="6"/>
    <x v="0"/>
    <x v="1"/>
    <x v="3"/>
    <n v="892.93"/>
    <n v="1"/>
    <n v="0.2"/>
    <n v="-127.16"/>
    <x v="4"/>
    <x v="3"/>
    <s v="03/03/2025"/>
    <x v="0"/>
    <n v="3"/>
    <x v="3"/>
    <s v="Low"/>
    <n v="-0.14240757954150943"/>
  </r>
  <r>
    <s v="ORD100954"/>
    <s v="2025-05-08"/>
    <x v="99"/>
    <x v="3"/>
    <x v="15"/>
    <x v="2"/>
    <x v="6"/>
    <x v="8"/>
    <n v="8385.4"/>
    <n v="10"/>
    <n v="0"/>
    <n v="729.15"/>
    <x v="7"/>
    <x v="2"/>
    <s v="08/05/2025"/>
    <x v="0"/>
    <n v="5"/>
    <x v="7"/>
    <s v="No Discount"/>
    <n v="8.6954706990721969E-2"/>
  </r>
  <r>
    <s v="ORD100955"/>
    <s v="2024-06-30"/>
    <x v="20"/>
    <x v="3"/>
    <x v="14"/>
    <x v="0"/>
    <x v="1"/>
    <x v="3"/>
    <n v="38.56"/>
    <n v="1"/>
    <n v="0"/>
    <n v="8.7799999999999994"/>
    <x v="3"/>
    <x v="2"/>
    <s v="30/06/2024"/>
    <x v="1"/>
    <n v="6"/>
    <x v="9"/>
    <s v="No Discount"/>
    <n v="0.22769709543568462"/>
  </r>
  <r>
    <s v="ORD100956"/>
    <s v="2025-08-29"/>
    <x v="10"/>
    <x v="2"/>
    <x v="3"/>
    <x v="2"/>
    <x v="6"/>
    <x v="23"/>
    <n v="1980.54"/>
    <n v="6"/>
    <n v="0.05"/>
    <n v="73.11"/>
    <x v="7"/>
    <x v="2"/>
    <s v="29/08/2025"/>
    <x v="0"/>
    <n v="8"/>
    <x v="11"/>
    <s v="High"/>
    <n v="3.6914174921990971E-2"/>
  </r>
  <r>
    <s v="ORD100957"/>
    <s v="2025-03-06"/>
    <x v="124"/>
    <x v="0"/>
    <x v="9"/>
    <x v="1"/>
    <x v="7"/>
    <x v="9"/>
    <n v="7100.6"/>
    <n v="10"/>
    <n v="0.15"/>
    <n v="43.14"/>
    <x v="8"/>
    <x v="2"/>
    <s v="06/03/2025"/>
    <x v="0"/>
    <n v="3"/>
    <x v="3"/>
    <s v="Low"/>
    <n v="6.0755429118666028E-3"/>
  </r>
  <r>
    <s v="ORD100958"/>
    <s v="2024-09-16"/>
    <x v="62"/>
    <x v="2"/>
    <x v="10"/>
    <x v="2"/>
    <x v="4"/>
    <x v="6"/>
    <n v="2096.9499999999998"/>
    <n v="5"/>
    <n v="0.2"/>
    <n v="342.93"/>
    <x v="7"/>
    <x v="0"/>
    <s v="16/09/2024"/>
    <x v="1"/>
    <n v="9"/>
    <x v="5"/>
    <s v="Low"/>
    <n v="0.16353751877727177"/>
  </r>
  <r>
    <s v="ORD100959"/>
    <s v="2024-05-11"/>
    <x v="72"/>
    <x v="1"/>
    <x v="1"/>
    <x v="0"/>
    <x v="1"/>
    <x v="3"/>
    <n v="4721.04"/>
    <n v="8"/>
    <n v="0.05"/>
    <n v="1382.34"/>
    <x v="1"/>
    <x v="0"/>
    <s v="11/05/2024"/>
    <x v="1"/>
    <n v="5"/>
    <x v="7"/>
    <s v="High"/>
    <n v="0.29280412790402111"/>
  </r>
  <r>
    <s v="ORD100960"/>
    <s v="2024-05-16"/>
    <x v="60"/>
    <x v="1"/>
    <x v="2"/>
    <x v="2"/>
    <x v="8"/>
    <x v="12"/>
    <n v="8636.94"/>
    <n v="9"/>
    <n v="0.2"/>
    <n v="597.38"/>
    <x v="1"/>
    <x v="1"/>
    <s v="16/05/2024"/>
    <x v="1"/>
    <n v="5"/>
    <x v="7"/>
    <s v="Low"/>
    <n v="6.9165699889081084E-2"/>
  </r>
  <r>
    <s v="ORD100961"/>
    <s v="2025-01-31"/>
    <x v="174"/>
    <x v="3"/>
    <x v="14"/>
    <x v="1"/>
    <x v="3"/>
    <x v="14"/>
    <n v="2921.52"/>
    <n v="4"/>
    <n v="0.25"/>
    <n v="209.28"/>
    <x v="3"/>
    <x v="3"/>
    <s v="31/01/2025"/>
    <x v="0"/>
    <n v="1"/>
    <x v="0"/>
    <s v="Low"/>
    <n v="7.1633943974369507E-2"/>
  </r>
  <r>
    <s v="ORD100962"/>
    <s v="2024-07-16"/>
    <x v="42"/>
    <x v="3"/>
    <x v="14"/>
    <x v="0"/>
    <x v="1"/>
    <x v="19"/>
    <n v="1065.1400000000001"/>
    <n v="1"/>
    <n v="0.15"/>
    <n v="216.92"/>
    <x v="7"/>
    <x v="2"/>
    <s v="16/07/2024"/>
    <x v="1"/>
    <n v="7"/>
    <x v="6"/>
    <s v="Low"/>
    <n v="0.20365397975852936"/>
  </r>
  <r>
    <s v="ORD100963"/>
    <s v="2024-05-14"/>
    <x v="30"/>
    <x v="1"/>
    <x v="11"/>
    <x v="1"/>
    <x v="5"/>
    <x v="15"/>
    <n v="3447"/>
    <n v="3"/>
    <n v="0.2"/>
    <n v="686.58"/>
    <x v="5"/>
    <x v="1"/>
    <s v="14/05/2024"/>
    <x v="1"/>
    <n v="5"/>
    <x v="7"/>
    <s v="Low"/>
    <n v="0.19918189730200175"/>
  </r>
  <r>
    <s v="ORD100964"/>
    <s v="2024-07-22"/>
    <x v="61"/>
    <x v="1"/>
    <x v="11"/>
    <x v="2"/>
    <x v="6"/>
    <x v="13"/>
    <n v="5534.05"/>
    <n v="5"/>
    <n v="0.15"/>
    <n v="977.7"/>
    <x v="5"/>
    <x v="2"/>
    <s v="22/07/2024"/>
    <x v="1"/>
    <n v="7"/>
    <x v="6"/>
    <s v="Low"/>
    <n v="0.17666988914086429"/>
  </r>
  <r>
    <s v="ORD100965"/>
    <s v="2024-04-24"/>
    <x v="39"/>
    <x v="3"/>
    <x v="13"/>
    <x v="1"/>
    <x v="3"/>
    <x v="14"/>
    <n v="2598.7199999999998"/>
    <n v="4"/>
    <n v="0.1"/>
    <n v="679.71"/>
    <x v="7"/>
    <x v="1"/>
    <s v="24/04/2024"/>
    <x v="1"/>
    <n v="4"/>
    <x v="8"/>
    <s v="Low"/>
    <n v="0.26155568895456227"/>
  </r>
  <r>
    <s v="ORD100966"/>
    <s v="2024-05-19"/>
    <x v="110"/>
    <x v="2"/>
    <x v="8"/>
    <x v="1"/>
    <x v="5"/>
    <x v="24"/>
    <n v="1545.63"/>
    <n v="3"/>
    <n v="0.05"/>
    <n v="274.3"/>
    <x v="9"/>
    <x v="3"/>
    <s v="19/05/2024"/>
    <x v="1"/>
    <n v="5"/>
    <x v="7"/>
    <s v="High"/>
    <n v="0.17746808744654283"/>
  </r>
  <r>
    <s v="ORD100967"/>
    <s v="2024-01-11"/>
    <x v="40"/>
    <x v="2"/>
    <x v="8"/>
    <x v="0"/>
    <x v="0"/>
    <x v="22"/>
    <n v="569.14"/>
    <n v="2"/>
    <n v="0.15"/>
    <n v="105.8"/>
    <x v="1"/>
    <x v="1"/>
    <s v="11/01/2024"/>
    <x v="1"/>
    <n v="1"/>
    <x v="0"/>
    <s v="Low"/>
    <n v="0.18589450750254771"/>
  </r>
  <r>
    <s v="ORD100968"/>
    <s v="2024-11-09"/>
    <x v="120"/>
    <x v="3"/>
    <x v="12"/>
    <x v="1"/>
    <x v="7"/>
    <x v="17"/>
    <n v="5968.15"/>
    <n v="5"/>
    <n v="0.15"/>
    <n v="-307.77"/>
    <x v="6"/>
    <x v="1"/>
    <s v="09/11/2024"/>
    <x v="1"/>
    <n v="11"/>
    <x v="10"/>
    <s v="Low"/>
    <n v="-5.1568744083174856E-2"/>
  </r>
  <r>
    <s v="ORD100969"/>
    <s v="2025-01-22"/>
    <x v="80"/>
    <x v="3"/>
    <x v="15"/>
    <x v="1"/>
    <x v="7"/>
    <x v="17"/>
    <n v="7458.1"/>
    <n v="10"/>
    <n v="0.15"/>
    <n v="1437.34"/>
    <x v="7"/>
    <x v="3"/>
    <s v="22/01/2025"/>
    <x v="0"/>
    <n v="1"/>
    <x v="0"/>
    <s v="Low"/>
    <n v="0.19272200694546868"/>
  </r>
  <r>
    <s v="ORD100970"/>
    <s v="2024-10-22"/>
    <x v="88"/>
    <x v="1"/>
    <x v="1"/>
    <x v="1"/>
    <x v="5"/>
    <x v="15"/>
    <n v="617.82000000000005"/>
    <n v="3"/>
    <n v="0.05"/>
    <n v="128.08000000000001"/>
    <x v="4"/>
    <x v="1"/>
    <s v="22/10/2024"/>
    <x v="1"/>
    <n v="10"/>
    <x v="2"/>
    <s v="High"/>
    <n v="0.2073095723673562"/>
  </r>
  <r>
    <s v="ORD100971"/>
    <s v="2025-06-20"/>
    <x v="155"/>
    <x v="0"/>
    <x v="9"/>
    <x v="0"/>
    <x v="2"/>
    <x v="21"/>
    <n v="942.36"/>
    <n v="4"/>
    <n v="0.3"/>
    <n v="-23.18"/>
    <x v="0"/>
    <x v="2"/>
    <s v="20/06/2025"/>
    <x v="0"/>
    <n v="6"/>
    <x v="9"/>
    <s v="Low"/>
    <n v="-2.4597818243558726E-2"/>
  </r>
  <r>
    <s v="ORD100972"/>
    <s v="2024-09-25"/>
    <x v="117"/>
    <x v="3"/>
    <x v="15"/>
    <x v="2"/>
    <x v="6"/>
    <x v="13"/>
    <n v="2154.36"/>
    <n v="3"/>
    <n v="0.25"/>
    <n v="-332.03"/>
    <x v="3"/>
    <x v="3"/>
    <s v="25/09/2024"/>
    <x v="1"/>
    <n v="9"/>
    <x v="5"/>
    <s v="Low"/>
    <n v="-0.15412001708163908"/>
  </r>
  <r>
    <s v="ORD100973"/>
    <s v="2025-06-24"/>
    <x v="161"/>
    <x v="3"/>
    <x v="14"/>
    <x v="1"/>
    <x v="3"/>
    <x v="5"/>
    <n v="3565.6"/>
    <n v="5"/>
    <n v="0.3"/>
    <n v="224.18"/>
    <x v="7"/>
    <x v="2"/>
    <s v="24/06/2025"/>
    <x v="0"/>
    <n v="6"/>
    <x v="9"/>
    <s v="Low"/>
    <n v="6.2873008750280457E-2"/>
  </r>
  <r>
    <s v="ORD100974"/>
    <s v="2024-06-05"/>
    <x v="81"/>
    <x v="2"/>
    <x v="8"/>
    <x v="2"/>
    <x v="8"/>
    <x v="18"/>
    <n v="2005.83"/>
    <n v="3"/>
    <n v="0.1"/>
    <n v="88.28"/>
    <x v="2"/>
    <x v="3"/>
    <s v="05/06/2024"/>
    <x v="1"/>
    <n v="6"/>
    <x v="9"/>
    <s v="Low"/>
    <n v="4.4011705877367475E-2"/>
  </r>
  <r>
    <s v="ORD100975"/>
    <s v="2024-02-25"/>
    <x v="58"/>
    <x v="1"/>
    <x v="5"/>
    <x v="0"/>
    <x v="0"/>
    <x v="25"/>
    <n v="873.64"/>
    <n v="1"/>
    <n v="0.3"/>
    <n v="-37.43"/>
    <x v="1"/>
    <x v="1"/>
    <s v="25/02/2024"/>
    <x v="1"/>
    <n v="2"/>
    <x v="1"/>
    <s v="Low"/>
    <n v="-4.2843734261251772E-2"/>
  </r>
  <r>
    <s v="ORD100976"/>
    <s v="2024-09-08"/>
    <x v="12"/>
    <x v="2"/>
    <x v="10"/>
    <x v="0"/>
    <x v="0"/>
    <x v="0"/>
    <n v="876.9"/>
    <n v="5"/>
    <n v="0.2"/>
    <n v="-63.97"/>
    <x v="7"/>
    <x v="1"/>
    <s v="08/09/2024"/>
    <x v="1"/>
    <n v="9"/>
    <x v="5"/>
    <s v="Low"/>
    <n v="-7.2950165355228649E-2"/>
  </r>
  <r>
    <s v="ORD100977"/>
    <s v="2024-01-01"/>
    <x v="92"/>
    <x v="1"/>
    <x v="11"/>
    <x v="1"/>
    <x v="7"/>
    <x v="16"/>
    <n v="2997.96"/>
    <n v="4"/>
    <n v="0.15"/>
    <n v="-230.14"/>
    <x v="6"/>
    <x v="2"/>
    <s v="01/01/2024"/>
    <x v="1"/>
    <n v="1"/>
    <x v="0"/>
    <s v="Low"/>
    <n v="-7.6765533896382868E-2"/>
  </r>
  <r>
    <s v="ORD100978"/>
    <s v="2024-01-22"/>
    <x v="1"/>
    <x v="2"/>
    <x v="8"/>
    <x v="2"/>
    <x v="6"/>
    <x v="13"/>
    <n v="278.8"/>
    <n v="2"/>
    <n v="0.15"/>
    <n v="65.040000000000006"/>
    <x v="5"/>
    <x v="3"/>
    <s v="22/01/2024"/>
    <x v="1"/>
    <n v="1"/>
    <x v="0"/>
    <s v="Low"/>
    <n v="0.23328550932568151"/>
  </r>
  <r>
    <s v="ORD100979"/>
    <s v="2024-04-24"/>
    <x v="156"/>
    <x v="1"/>
    <x v="5"/>
    <x v="0"/>
    <x v="2"/>
    <x v="11"/>
    <n v="4141.5600000000004"/>
    <n v="4"/>
    <n v="0.2"/>
    <n v="45.75"/>
    <x v="8"/>
    <x v="1"/>
    <s v="24/04/2024"/>
    <x v="1"/>
    <n v="4"/>
    <x v="8"/>
    <s v="Low"/>
    <n v="1.1046562164981311E-2"/>
  </r>
  <r>
    <s v="ORD100980"/>
    <s v="2024-10-25"/>
    <x v="31"/>
    <x v="1"/>
    <x v="5"/>
    <x v="0"/>
    <x v="2"/>
    <x v="21"/>
    <n v="371.82"/>
    <n v="1"/>
    <n v="0"/>
    <n v="114.27"/>
    <x v="6"/>
    <x v="1"/>
    <s v="25/10/2024"/>
    <x v="1"/>
    <n v="10"/>
    <x v="2"/>
    <s v="No Discount"/>
    <n v="0.30732612554461836"/>
  </r>
  <r>
    <s v="ORD100981"/>
    <s v="2025-07-31"/>
    <x v="143"/>
    <x v="2"/>
    <x v="3"/>
    <x v="0"/>
    <x v="0"/>
    <x v="0"/>
    <n v="1609.85"/>
    <n v="5"/>
    <n v="0.3"/>
    <n v="91.25"/>
    <x v="9"/>
    <x v="0"/>
    <s v="31/07/2025"/>
    <x v="0"/>
    <n v="7"/>
    <x v="6"/>
    <s v="Low"/>
    <n v="5.6682299593129801E-2"/>
  </r>
  <r>
    <s v="ORD100982"/>
    <s v="2025-11-06"/>
    <x v="150"/>
    <x v="0"/>
    <x v="4"/>
    <x v="0"/>
    <x v="2"/>
    <x v="2"/>
    <n v="2520.1999999999998"/>
    <n v="4"/>
    <n v="0.1"/>
    <n v="3.39"/>
    <x v="6"/>
    <x v="2"/>
    <s v="06/11/2025"/>
    <x v="0"/>
    <n v="11"/>
    <x v="10"/>
    <s v="Low"/>
    <n v="1.3451313387826363E-3"/>
  </r>
  <r>
    <s v="ORD100983"/>
    <s v="2024-12-10"/>
    <x v="23"/>
    <x v="3"/>
    <x v="14"/>
    <x v="2"/>
    <x v="8"/>
    <x v="12"/>
    <n v="2402.4699999999998"/>
    <n v="7"/>
    <n v="0.1"/>
    <n v="300.33999999999997"/>
    <x v="7"/>
    <x v="2"/>
    <s v="10/12/2024"/>
    <x v="1"/>
    <n v="12"/>
    <x v="4"/>
    <s v="Low"/>
    <n v="0.12501300744650298"/>
  </r>
  <r>
    <s v="ORD100984"/>
    <s v="2024-07-22"/>
    <x v="58"/>
    <x v="1"/>
    <x v="1"/>
    <x v="1"/>
    <x v="3"/>
    <x v="4"/>
    <n v="4246.7"/>
    <n v="10"/>
    <n v="0.1"/>
    <n v="1344.22"/>
    <x v="3"/>
    <x v="2"/>
    <s v="22/07/2024"/>
    <x v="1"/>
    <n v="7"/>
    <x v="6"/>
    <s v="Low"/>
    <n v="0.31653283726187392"/>
  </r>
  <r>
    <s v="ORD100985"/>
    <s v="2024-10-18"/>
    <x v="70"/>
    <x v="3"/>
    <x v="14"/>
    <x v="0"/>
    <x v="0"/>
    <x v="22"/>
    <n v="2540.31"/>
    <n v="3"/>
    <n v="0.15"/>
    <n v="526.41999999999996"/>
    <x v="6"/>
    <x v="0"/>
    <s v="18/10/2024"/>
    <x v="1"/>
    <n v="10"/>
    <x v="2"/>
    <s v="Low"/>
    <n v="0.20722667705909908"/>
  </r>
  <r>
    <s v="ORD100986"/>
    <s v="2025-01-10"/>
    <x v="156"/>
    <x v="2"/>
    <x v="10"/>
    <x v="1"/>
    <x v="3"/>
    <x v="4"/>
    <n v="2358.15"/>
    <n v="3"/>
    <n v="0.25"/>
    <n v="-342.56"/>
    <x v="5"/>
    <x v="1"/>
    <s v="10/01/2025"/>
    <x v="0"/>
    <n v="1"/>
    <x v="0"/>
    <s v="Low"/>
    <n v="-0.14526641647053834"/>
  </r>
  <r>
    <s v="ORD100987"/>
    <s v="2024-03-14"/>
    <x v="96"/>
    <x v="3"/>
    <x v="15"/>
    <x v="2"/>
    <x v="6"/>
    <x v="23"/>
    <n v="1295.1600000000001"/>
    <n v="2"/>
    <n v="0.3"/>
    <n v="62.67"/>
    <x v="6"/>
    <x v="0"/>
    <s v="14/03/2024"/>
    <x v="1"/>
    <n v="3"/>
    <x v="3"/>
    <s v="Low"/>
    <n v="4.8387843972945425E-2"/>
  </r>
  <r>
    <s v="ORD100988"/>
    <s v="2024-06-04"/>
    <x v="152"/>
    <x v="1"/>
    <x v="1"/>
    <x v="1"/>
    <x v="7"/>
    <x v="17"/>
    <n v="299.45999999999998"/>
    <n v="1"/>
    <n v="0"/>
    <n v="120.22"/>
    <x v="5"/>
    <x v="0"/>
    <s v="04/06/2024"/>
    <x v="1"/>
    <n v="6"/>
    <x v="9"/>
    <s v="No Discount"/>
    <n v="0.40145595405062451"/>
  </r>
  <r>
    <s v="ORD100989"/>
    <s v="2024-12-11"/>
    <x v="44"/>
    <x v="3"/>
    <x v="15"/>
    <x v="0"/>
    <x v="1"/>
    <x v="19"/>
    <n v="8178.66"/>
    <n v="7"/>
    <n v="0.05"/>
    <n v="316.08"/>
    <x v="4"/>
    <x v="1"/>
    <s v="11/12/2024"/>
    <x v="1"/>
    <n v="12"/>
    <x v="4"/>
    <s v="High"/>
    <n v="3.8646917710236151E-2"/>
  </r>
  <r>
    <s v="ORD100990"/>
    <s v="2025-10-29"/>
    <x v="17"/>
    <x v="2"/>
    <x v="6"/>
    <x v="2"/>
    <x v="6"/>
    <x v="13"/>
    <n v="1793.54"/>
    <n v="7"/>
    <n v="0.25"/>
    <n v="56.25"/>
    <x v="5"/>
    <x v="3"/>
    <s v="29/10/2025"/>
    <x v="0"/>
    <n v="10"/>
    <x v="2"/>
    <s v="Low"/>
    <n v="3.13625567313804E-2"/>
  </r>
  <r>
    <s v="ORD100991"/>
    <s v="2025-02-23"/>
    <x v="102"/>
    <x v="1"/>
    <x v="11"/>
    <x v="2"/>
    <x v="6"/>
    <x v="23"/>
    <n v="7369.3"/>
    <n v="10"/>
    <n v="0.1"/>
    <n v="128.79"/>
    <x v="4"/>
    <x v="0"/>
    <s v="23/02/2025"/>
    <x v="0"/>
    <n v="2"/>
    <x v="1"/>
    <s v="Low"/>
    <n v="1.7476558153420269E-2"/>
  </r>
  <r>
    <s v="ORD100992"/>
    <s v="2024-03-19"/>
    <x v="76"/>
    <x v="2"/>
    <x v="3"/>
    <x v="0"/>
    <x v="0"/>
    <x v="22"/>
    <n v="7309.68"/>
    <n v="8"/>
    <n v="0"/>
    <n v="2359.42"/>
    <x v="3"/>
    <x v="0"/>
    <s v="19/03/2024"/>
    <x v="1"/>
    <n v="3"/>
    <x v="3"/>
    <s v="No Discount"/>
    <n v="0.32278020378457062"/>
  </r>
  <r>
    <s v="ORD100993"/>
    <s v="2025-12-07"/>
    <x v="196"/>
    <x v="3"/>
    <x v="14"/>
    <x v="0"/>
    <x v="2"/>
    <x v="2"/>
    <n v="1539.21"/>
    <n v="3"/>
    <n v="0.15"/>
    <n v="431.45"/>
    <x v="0"/>
    <x v="2"/>
    <s v="07/12/2025"/>
    <x v="0"/>
    <n v="12"/>
    <x v="4"/>
    <s v="Low"/>
    <n v="0.28030613106723579"/>
  </r>
  <r>
    <s v="ORD100994"/>
    <s v="2025-07-28"/>
    <x v="95"/>
    <x v="2"/>
    <x v="3"/>
    <x v="1"/>
    <x v="3"/>
    <x v="4"/>
    <n v="2703.12"/>
    <n v="7"/>
    <n v="0"/>
    <n v="940.01"/>
    <x v="3"/>
    <x v="3"/>
    <s v="28/07/2025"/>
    <x v="0"/>
    <n v="7"/>
    <x v="6"/>
    <s v="No Discount"/>
    <n v="0.34775000739885764"/>
  </r>
  <r>
    <s v="ORD100995"/>
    <s v="2024-01-19"/>
    <x v="73"/>
    <x v="2"/>
    <x v="10"/>
    <x v="1"/>
    <x v="3"/>
    <x v="14"/>
    <n v="5973.3"/>
    <n v="9"/>
    <n v="0.1"/>
    <n v="867.98"/>
    <x v="4"/>
    <x v="3"/>
    <s v="19/01/2024"/>
    <x v="1"/>
    <n v="1"/>
    <x v="0"/>
    <s v="Low"/>
    <n v="0.14530996266720239"/>
  </r>
  <r>
    <s v="ORD100996"/>
    <s v="2025-07-17"/>
    <x v="92"/>
    <x v="0"/>
    <x v="7"/>
    <x v="2"/>
    <x v="8"/>
    <x v="12"/>
    <n v="5162.08"/>
    <n v="7"/>
    <n v="0.15"/>
    <n v="-74.239999999999995"/>
    <x v="0"/>
    <x v="3"/>
    <s v="17/07/2025"/>
    <x v="0"/>
    <n v="7"/>
    <x v="6"/>
    <s v="Low"/>
    <n v="-1.4381799584663546E-2"/>
  </r>
  <r>
    <s v="ORD100997"/>
    <s v="2025-02-10"/>
    <x v="11"/>
    <x v="1"/>
    <x v="2"/>
    <x v="0"/>
    <x v="2"/>
    <x v="11"/>
    <n v="1363.59"/>
    <n v="3"/>
    <n v="0.1"/>
    <n v="470.13"/>
    <x v="2"/>
    <x v="2"/>
    <s v="10/02/2025"/>
    <x v="0"/>
    <n v="2"/>
    <x v="1"/>
    <s v="Low"/>
    <n v="0.34477372230655845"/>
  </r>
  <r>
    <s v="ORD100998"/>
    <s v="2024-05-06"/>
    <x v="179"/>
    <x v="2"/>
    <x v="6"/>
    <x v="2"/>
    <x v="8"/>
    <x v="12"/>
    <n v="4257.6099999999997"/>
    <n v="7"/>
    <n v="0.2"/>
    <n v="885.3"/>
    <x v="7"/>
    <x v="0"/>
    <s v="06/05/2024"/>
    <x v="1"/>
    <n v="5"/>
    <x v="7"/>
    <s v="Low"/>
    <n v="0.2079335589685293"/>
  </r>
  <r>
    <s v="ORD100999"/>
    <s v="2024-01-21"/>
    <x v="85"/>
    <x v="1"/>
    <x v="1"/>
    <x v="1"/>
    <x v="3"/>
    <x v="14"/>
    <n v="2930.27"/>
    <n v="7"/>
    <n v="0"/>
    <n v="1168.75"/>
    <x v="5"/>
    <x v="3"/>
    <s v="21/01/2024"/>
    <x v="1"/>
    <n v="1"/>
    <x v="0"/>
    <s v="No Discount"/>
    <n v="0.3988540305159593"/>
  </r>
  <r>
    <s v="ORD101000"/>
    <s v="2025-08-31"/>
    <x v="39"/>
    <x v="2"/>
    <x v="8"/>
    <x v="1"/>
    <x v="3"/>
    <x v="14"/>
    <n v="3425.5"/>
    <n v="10"/>
    <n v="0.2"/>
    <n v="657.03"/>
    <x v="8"/>
    <x v="0"/>
    <s v="31/08/2025"/>
    <x v="0"/>
    <n v="8"/>
    <x v="11"/>
    <s v="Low"/>
    <n v="0.19180557582834623"/>
  </r>
  <r>
    <s v="ORD101001"/>
    <s v="2024-11-15"/>
    <x v="49"/>
    <x v="1"/>
    <x v="2"/>
    <x v="1"/>
    <x v="7"/>
    <x v="17"/>
    <n v="5809.85"/>
    <n v="5"/>
    <n v="0.15"/>
    <n v="1528.75"/>
    <x v="4"/>
    <x v="0"/>
    <s v="15/11/2024"/>
    <x v="1"/>
    <n v="11"/>
    <x v="10"/>
    <s v="Low"/>
    <n v="0.263130717660524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16F7546-677C-420E-88DF-C3A8AB7DA3E0}" name="PivotTable8"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86:B97" firstHeaderRow="1" firstDataRow="1" firstDataCol="1"/>
  <pivotFields count="21">
    <pivotField showAll="0"/>
    <pivotField showAll="0"/>
    <pivotField axis="axisRow" showAll="0" measureFilter="1" sortType="descending">
      <items count="200">
        <item x="163"/>
        <item x="54"/>
        <item x="11"/>
        <item x="98"/>
        <item x="185"/>
        <item x="40"/>
        <item x="46"/>
        <item x="69"/>
        <item x="16"/>
        <item x="124"/>
        <item x="79"/>
        <item x="14"/>
        <item x="76"/>
        <item x="192"/>
        <item x="41"/>
        <item x="139"/>
        <item x="116"/>
        <item x="153"/>
        <item x="20"/>
        <item x="178"/>
        <item x="92"/>
        <item x="156"/>
        <item x="118"/>
        <item x="82"/>
        <item x="30"/>
        <item x="61"/>
        <item x="86"/>
        <item x="62"/>
        <item x="81"/>
        <item x="56"/>
        <item x="123"/>
        <item x="90"/>
        <item x="140"/>
        <item x="197"/>
        <item x="190"/>
        <item x="167"/>
        <item x="75"/>
        <item x="31"/>
        <item x="45"/>
        <item x="114"/>
        <item x="127"/>
        <item x="175"/>
        <item x="42"/>
        <item x="70"/>
        <item x="68"/>
        <item x="72"/>
        <item x="148"/>
        <item x="191"/>
        <item x="38"/>
        <item x="71"/>
        <item x="49"/>
        <item x="171"/>
        <item x="195"/>
        <item x="159"/>
        <item x="138"/>
        <item x="121"/>
        <item x="24"/>
        <item x="119"/>
        <item x="43"/>
        <item x="180"/>
        <item x="18"/>
        <item x="34"/>
        <item x="186"/>
        <item x="89"/>
        <item x="146"/>
        <item x="120"/>
        <item x="29"/>
        <item x="12"/>
        <item x="22"/>
        <item x="32"/>
        <item x="111"/>
        <item x="104"/>
        <item x="25"/>
        <item x="181"/>
        <item x="5"/>
        <item x="6"/>
        <item x="182"/>
        <item x="44"/>
        <item x="136"/>
        <item x="122"/>
        <item x="155"/>
        <item x="130"/>
        <item x="112"/>
        <item x="149"/>
        <item x="55"/>
        <item x="189"/>
        <item x="93"/>
        <item x="88"/>
        <item x="141"/>
        <item x="117"/>
        <item x="147"/>
        <item x="157"/>
        <item x="58"/>
        <item x="193"/>
        <item x="67"/>
        <item x="48"/>
        <item x="169"/>
        <item x="99"/>
        <item x="102"/>
        <item x="158"/>
        <item x="17"/>
        <item x="4"/>
        <item x="143"/>
        <item x="106"/>
        <item x="36"/>
        <item x="151"/>
        <item x="9"/>
        <item x="166"/>
        <item x="184"/>
        <item x="37"/>
        <item x="134"/>
        <item x="198"/>
        <item x="66"/>
        <item x="65"/>
        <item x="135"/>
        <item x="23"/>
        <item x="60"/>
        <item x="172"/>
        <item x="10"/>
        <item x="50"/>
        <item x="59"/>
        <item x="91"/>
        <item x="63"/>
        <item x="35"/>
        <item x="179"/>
        <item x="142"/>
        <item x="194"/>
        <item x="161"/>
        <item x="165"/>
        <item x="162"/>
        <item x="174"/>
        <item x="26"/>
        <item x="8"/>
        <item x="101"/>
        <item x="170"/>
        <item x="64"/>
        <item x="53"/>
        <item x="51"/>
        <item x="15"/>
        <item x="126"/>
        <item x="94"/>
        <item x="57"/>
        <item x="78"/>
        <item x="2"/>
        <item x="177"/>
        <item x="97"/>
        <item x="125"/>
        <item x="74"/>
        <item x="73"/>
        <item x="28"/>
        <item x="107"/>
        <item x="150"/>
        <item x="188"/>
        <item x="110"/>
        <item x="27"/>
        <item x="129"/>
        <item x="168"/>
        <item x="19"/>
        <item x="144"/>
        <item x="176"/>
        <item x="1"/>
        <item x="132"/>
        <item x="137"/>
        <item x="85"/>
        <item x="160"/>
        <item x="80"/>
        <item x="145"/>
        <item x="128"/>
        <item x="133"/>
        <item x="33"/>
        <item x="95"/>
        <item x="131"/>
        <item x="3"/>
        <item x="21"/>
        <item x="100"/>
        <item x="84"/>
        <item x="96"/>
        <item x="13"/>
        <item x="164"/>
        <item x="109"/>
        <item x="196"/>
        <item x="183"/>
        <item x="173"/>
        <item x="103"/>
        <item x="83"/>
        <item x="0"/>
        <item x="152"/>
        <item x="87"/>
        <item x="113"/>
        <item x="105"/>
        <item x="115"/>
        <item x="52"/>
        <item x="39"/>
        <item x="7"/>
        <item x="77"/>
        <item x="108"/>
        <item x="187"/>
        <item x="47"/>
        <item x="154"/>
        <item t="default"/>
      </items>
      <autoSortScope>
        <pivotArea dataOnly="0" outline="0" fieldPosition="0">
          <references count="1">
            <reference field="4294967294" count="1" selected="0">
              <x v="0"/>
            </reference>
          </references>
        </pivotArea>
      </autoSortScope>
    </pivotField>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2"/>
  </rowFields>
  <rowItems count="11">
    <i>
      <x v="155"/>
    </i>
    <i>
      <x v="70"/>
    </i>
    <i>
      <x v="77"/>
    </i>
    <i>
      <x v="196"/>
    </i>
    <i>
      <x v="189"/>
    </i>
    <i>
      <x v="141"/>
    </i>
    <i>
      <x v="110"/>
    </i>
    <i>
      <x v="181"/>
    </i>
    <i>
      <x v="69"/>
    </i>
    <i>
      <x v="55"/>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2" count="1" selected="0">
            <x v="155"/>
          </reference>
        </references>
      </pivotArea>
    </chartFormat>
    <chartFormat chart="2" format="4">
      <pivotArea type="data" outline="0" fieldPosition="0">
        <references count="2">
          <reference field="4294967294" count="1" selected="0">
            <x v="0"/>
          </reference>
          <reference field="2" count="1" selected="0">
            <x v="70"/>
          </reference>
        </references>
      </pivotArea>
    </chartFormat>
    <chartFormat chart="2" format="5">
      <pivotArea type="data" outline="0" fieldPosition="0">
        <references count="2">
          <reference field="4294967294" count="1" selected="0">
            <x v="0"/>
          </reference>
          <reference field="2" count="1" selected="0">
            <x v="77"/>
          </reference>
        </references>
      </pivotArea>
    </chartFormat>
    <chartFormat chart="2" format="6">
      <pivotArea type="data" outline="0" fieldPosition="0">
        <references count="2">
          <reference field="4294967294" count="1" selected="0">
            <x v="0"/>
          </reference>
          <reference field="2" count="1" selected="0">
            <x v="196"/>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5EB451-679C-4B47-BB6A-65438FDAE369}" name="PivotTable3"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6" firstHeaderRow="1" firstDataRow="1" firstDataCol="0"/>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showAll="0"/>
    <pivotField showAll="0"/>
    <pivotField numFmtId="9" showAll="0"/>
    <pivotField dataField="1"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Items count="1">
    <i/>
  </rowItems>
  <colItems count="1">
    <i/>
  </colItems>
  <dataFields count="1">
    <dataField name="Sum of Profi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B74E2B0-B259-4BBE-837C-7335DEA08554}" name="PivotTable7"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0:B81" firstHeaderRow="1"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axis="axisRow" showAll="0" measureFilter="1" sortType="descending">
      <items count="28">
        <item x="11"/>
        <item x="24"/>
        <item x="7"/>
        <item x="9"/>
        <item x="17"/>
        <item x="23"/>
        <item x="10"/>
        <item x="0"/>
        <item x="15"/>
        <item x="25"/>
        <item x="4"/>
        <item x="13"/>
        <item x="1"/>
        <item x="12"/>
        <item x="6"/>
        <item x="19"/>
        <item x="26"/>
        <item x="18"/>
        <item x="2"/>
        <item x="14"/>
        <item x="3"/>
        <item x="22"/>
        <item x="8"/>
        <item x="21"/>
        <item x="16"/>
        <item x="5"/>
        <item x="20"/>
        <item t="default"/>
      </items>
      <autoSortScope>
        <pivotArea dataOnly="0" outline="0" fieldPosition="0">
          <references count="1">
            <reference field="4294967294" count="1" selected="0">
              <x v="0"/>
            </reference>
          </references>
        </pivotArea>
      </autoSortScope>
    </pivotField>
    <pivotField dataField="1" showAll="0"/>
    <pivotField showAll="0"/>
    <pivotField numFmtId="9" showAll="0"/>
    <pivotField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7"/>
  </rowFields>
  <rowItems count="11">
    <i>
      <x v="23"/>
    </i>
    <i>
      <x v="11"/>
    </i>
    <i>
      <x v="19"/>
    </i>
    <i>
      <x v="5"/>
    </i>
    <i>
      <x v="20"/>
    </i>
    <i>
      <x v="4"/>
    </i>
    <i>
      <x v="26"/>
    </i>
    <i>
      <x v="15"/>
    </i>
    <i>
      <x v="8"/>
    </i>
    <i>
      <x v="6"/>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6"/>
          </reference>
        </references>
      </pivotArea>
    </chartFormat>
    <chartFormat chart="3" format="4">
      <pivotArea type="data" outline="0" fieldPosition="0">
        <references count="2">
          <reference field="4294967294" count="1" selected="0">
            <x v="0"/>
          </reference>
          <reference field="7" count="1" selected="0">
            <x v="8"/>
          </reference>
        </references>
      </pivotArea>
    </chartFormat>
    <chartFormat chart="3" format="5">
      <pivotArea type="data" outline="0" fieldPosition="0">
        <references count="2">
          <reference field="4294967294" count="1" selected="0">
            <x v="0"/>
          </reference>
          <reference field="7" count="1" selected="0">
            <x v="15"/>
          </reference>
        </references>
      </pivotArea>
    </chartFormat>
    <chartFormat chart="3" format="6">
      <pivotArea type="data" outline="0" fieldPosition="0">
        <references count="2">
          <reference field="4294967294" count="1" selected="0">
            <x v="0"/>
          </reference>
          <reference field="7" count="1" selected="0">
            <x v="26"/>
          </reference>
        </references>
      </pivotArea>
    </chartFormat>
  </chartFormats>
  <pivotTableStyleInfo name="PivotStyleLight16" showRowHeaders="1" showColHeaders="1" showRowStripes="0" showColStripes="0" showLastColumn="1"/>
  <filters count="1">
    <filter fld="7"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5C116D-DE49-4AA2-8BC0-7FC338FBB69D}" name="PivotTable2"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6:C29" firstHeaderRow="0"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dataField="1"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axis="axisRow" showAll="0" sortType="descending">
      <items count="13">
        <item x="0"/>
        <item x="1"/>
        <item x="3"/>
        <item x="8"/>
        <item x="7"/>
        <item x="9"/>
        <item x="6"/>
        <item x="11"/>
        <item x="5"/>
        <item x="2"/>
        <item x="10"/>
        <item x="4"/>
        <item t="default"/>
      </items>
      <autoSortScope>
        <pivotArea dataOnly="0" outline="0" fieldPosition="0">
          <references count="1">
            <reference field="4294967294" count="1" selected="0">
              <x v="0"/>
            </reference>
          </references>
        </pivotArea>
      </autoSortScope>
    </pivotField>
    <pivotField showAll="0"/>
    <pivotField numFmtId="9" showAll="0"/>
    <pivotField dragToRow="0" dragToCol="0" dragToPage="0" showAll="0" defaultSubtotal="0"/>
  </pivotFields>
  <rowFields count="1">
    <field x="17"/>
  </rowFields>
  <rowItems count="13">
    <i>
      <x v="2"/>
    </i>
    <i>
      <x/>
    </i>
    <i>
      <x v="6"/>
    </i>
    <i>
      <x v="8"/>
    </i>
    <i>
      <x v="7"/>
    </i>
    <i>
      <x v="3"/>
    </i>
    <i>
      <x v="11"/>
    </i>
    <i>
      <x v="9"/>
    </i>
    <i>
      <x v="4"/>
    </i>
    <i>
      <x v="10"/>
    </i>
    <i>
      <x v="5"/>
    </i>
    <i>
      <x v="1"/>
    </i>
    <i t="grand">
      <x/>
    </i>
  </rowItems>
  <colFields count="1">
    <field x="-2"/>
  </colFields>
  <colItems count="2">
    <i>
      <x/>
    </i>
    <i i="1">
      <x v="1"/>
    </i>
  </colItems>
  <dataFields count="2">
    <dataField name="Sum of Sales" fld="8" baseField="0" baseItem="0"/>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106035-A3FE-4A2A-81B9-8CB9295E8C20}" name="PivotTable1"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D7" firstHeaderRow="0" firstDataRow="1" firstDataCol="0"/>
  <pivotFields count="21">
    <pivotField dataField="1"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dataField="1" showAll="0"/>
    <pivotField numFmtId="9" showAll="0"/>
    <pivotField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dataField="1" numFmtId="9" showAll="0"/>
    <pivotField dragToRow="0" dragToCol="0" dragToPage="0" showAll="0" defaultSubtotal="0"/>
  </pivotFields>
  <rowItems count="1">
    <i/>
  </rowItems>
  <colFields count="1">
    <field x="-2"/>
  </colFields>
  <colItems count="4">
    <i>
      <x/>
    </i>
    <i i="1">
      <x v="1"/>
    </i>
    <i i="2">
      <x v="2"/>
    </i>
    <i i="3">
      <x v="3"/>
    </i>
  </colItems>
  <dataFields count="4">
    <dataField name="Sum of Sales" fld="8" baseField="0" baseItem="0"/>
    <dataField name="Count of Order ID" fld="0" subtotal="count" baseField="0" baseItem="0"/>
    <dataField name="Sum of Quantity" fld="9" baseField="0" baseItem="0"/>
    <dataField name="Average of Profit margin%" fld="19" subtotal="average" baseField="0" baseItem="1"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9CA8FB2-F475-4EE2-A051-DECA58D32A50}" name="PivotTable6"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59:B64" firstHeaderRow="1"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h="1" x="2"/>
        <item h="1" x="5"/>
        <item h="1" x="6"/>
        <item h="1" x="9"/>
        <item h="1" x="1"/>
        <item t="default"/>
      </items>
    </pivotField>
    <pivotField axis="axisRow" showAll="0" sortType="descending">
      <items count="5">
        <item x="1"/>
        <item x="3"/>
        <item x="0"/>
        <item x="2"/>
        <item t="default"/>
      </items>
      <autoSortScope>
        <pivotArea dataOnly="0" outline="0" fieldPosition="0">
          <references count="1">
            <reference field="4294967294" count="1" selected="0">
              <x v="0"/>
            </reference>
          </references>
        </pivotArea>
      </autoSortScope>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13"/>
  </rowFields>
  <rowItems count="5">
    <i>
      <x/>
    </i>
    <i>
      <x v="1"/>
    </i>
    <i>
      <x v="2"/>
    </i>
    <i>
      <x v="3"/>
    </i>
    <i t="grand">
      <x/>
    </i>
  </rowItems>
  <colItems count="1">
    <i/>
  </colItems>
  <dataFields count="1">
    <dataField name="Sum of Sales" fld="8" baseField="0" baseItem="0"/>
  </dataFields>
  <chartFormats count="6">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3" count="1" selected="0">
            <x v="0"/>
          </reference>
        </references>
      </pivotArea>
    </chartFormat>
    <chartFormat chart="2" format="4">
      <pivotArea type="data" outline="0" fieldPosition="0">
        <references count="2">
          <reference field="4294967294" count="1" selected="0">
            <x v="0"/>
          </reference>
          <reference field="13" count="1" selected="0">
            <x v="1"/>
          </reference>
        </references>
      </pivotArea>
    </chartFormat>
    <chartFormat chart="2" format="5">
      <pivotArea type="data" outline="0" fieldPosition="0">
        <references count="2">
          <reference field="4294967294" count="1" selected="0">
            <x v="0"/>
          </reference>
          <reference field="13" count="1" selected="0">
            <x v="2"/>
          </reference>
        </references>
      </pivotArea>
    </chartFormat>
    <chartFormat chart="2" format="6">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8536748-6469-406A-8E98-DE34717C72FD}" name="PivotTable5"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0:B54" firstHeaderRow="1"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items count="10">
        <item x="8"/>
        <item x="0"/>
        <item x="3"/>
        <item x="4"/>
        <item x="2"/>
        <item x="6"/>
        <item x="5"/>
        <item x="7"/>
        <item x="1"/>
        <item t="default"/>
      </items>
    </pivotField>
    <pivotField showAll="0"/>
    <pivotField showAll="0"/>
    <pivotField showAll="0"/>
    <pivotField numFmtId="9" showAll="0"/>
    <pivotField dataField="1"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5"/>
  </rowFields>
  <rowItems count="4">
    <i>
      <x v="2"/>
    </i>
    <i>
      <x/>
    </i>
    <i>
      <x v="1"/>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B14330D-22BB-41A2-8ACC-29AD7CA587F3}" name="PivotTable4"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1:B45" firstHeaderRow="1" firstDataRow="1" firstDataCol="1"/>
  <pivotFields count="21">
    <pivotField showAll="0"/>
    <pivotField showAll="0"/>
    <pivotField showAll="0"/>
    <pivotField axis="axisRow" showAll="0" sortType="descending">
      <items count="5">
        <item x="3"/>
        <item x="2"/>
        <item x="0"/>
        <item x="1"/>
        <item t="default"/>
      </items>
      <autoSortScope>
        <pivotArea dataOnly="0" outline="0" fieldPosition="0">
          <references count="1">
            <reference field="4294967294" count="1" selected="0">
              <x v="0"/>
            </reference>
          </references>
        </pivotArea>
      </autoSortScope>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showAll="0">
      <items count="11">
        <item x="0"/>
        <item x="7"/>
        <item x="4"/>
        <item x="8"/>
        <item x="3"/>
        <item h="1" x="2"/>
        <item h="1" x="5"/>
        <item h="1" x="6"/>
        <item h="1" x="9"/>
        <item h="1" x="1"/>
        <item t="default"/>
      </items>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3"/>
  </rowFields>
  <rowItems count="4">
    <i>
      <x v="3"/>
    </i>
    <i>
      <x v="1"/>
    </i>
    <i>
      <x/>
    </i>
    <i t="grand">
      <x/>
    </i>
  </rowItems>
  <colItems count="1">
    <i/>
  </colItems>
  <dataFields count="1">
    <dataField name="Sum of Sales" fld="8" baseField="0" baseItem="0"/>
  </dataFields>
  <chartFormats count="9">
    <chartFormat chart="2" format="0"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1"/>
          </reference>
        </references>
      </pivotArea>
    </chartFormat>
    <chartFormat chart="4" format="8">
      <pivotArea type="data" outline="0" fieldPosition="0">
        <references count="2">
          <reference field="4294967294" count="1" selected="0">
            <x v="0"/>
          </reference>
          <reference field="3" count="1" selected="0">
            <x v="2"/>
          </reference>
        </references>
      </pivotArea>
    </chartFormat>
    <chartFormat chart="4" format="9">
      <pivotArea type="data" outline="0" fieldPosition="0">
        <references count="2">
          <reference field="4294967294" count="1" selected="0">
            <x v="0"/>
          </reference>
          <reference field="3" count="1" selected="0">
            <x v="3"/>
          </reference>
        </references>
      </pivotArea>
    </chartFormat>
    <chartFormat chart="4" format="10">
      <pivotArea type="data" outline="0" fieldPosition="0">
        <references count="2">
          <reference field="4294967294" count="1" selected="0">
            <x v="0"/>
          </reference>
          <reference field="3" count="1" selected="0">
            <x v="0"/>
          </reference>
        </references>
      </pivotArea>
    </chartFormat>
    <chartFormat chart="2" format="1">
      <pivotArea type="data" outline="0" fieldPosition="0">
        <references count="2">
          <reference field="4294967294" count="1" selected="0">
            <x v="0"/>
          </reference>
          <reference field="3" count="1" selected="0">
            <x v="3"/>
          </reference>
        </references>
      </pivotArea>
    </chartFormat>
    <chartFormat chart="2" format="2">
      <pivotArea type="data" outline="0" fieldPosition="0">
        <references count="2">
          <reference field="4294967294" count="1" selected="0">
            <x v="0"/>
          </reference>
          <reference field="3" count="1" selected="0">
            <x v="1"/>
          </reference>
        </references>
      </pivotArea>
    </chartFormat>
    <chartFormat chart="2" format="3">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2CA02E0-866F-46A6-8414-97529EE9B54E}" name="PivotTable9" cacheId="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5:B111" firstHeaderRow="1" firstDataRow="1" firstDataCol="1"/>
  <pivotFields count="21">
    <pivotField showAll="0"/>
    <pivotField showAll="0"/>
    <pivotField showAll="0"/>
    <pivotField showAll="0">
      <items count="5">
        <item x="3"/>
        <item x="2"/>
        <item x="0"/>
        <item x="1"/>
        <item t="default"/>
      </items>
    </pivotField>
    <pivotField showAll="0">
      <items count="17">
        <item x="15"/>
        <item x="14"/>
        <item x="10"/>
        <item x="11"/>
        <item x="1"/>
        <item x="8"/>
        <item h="1" x="0"/>
        <item h="1" x="9"/>
        <item h="1" x="5"/>
        <item h="1" x="12"/>
        <item h="1" x="3"/>
        <item h="1" x="2"/>
        <item h="1" x="4"/>
        <item h="1" x="7"/>
        <item h="1" x="6"/>
        <item h="1" x="13"/>
        <item t="default"/>
      </items>
    </pivotField>
    <pivotField showAll="0">
      <items count="4">
        <item x="1"/>
        <item x="0"/>
        <item x="2"/>
        <item t="default"/>
      </items>
    </pivotField>
    <pivotField showAll="0">
      <items count="10">
        <item x="8"/>
        <item x="0"/>
        <item x="3"/>
        <item x="4"/>
        <item x="2"/>
        <item x="6"/>
        <item x="5"/>
        <item x="7"/>
        <item x="1"/>
        <item t="default"/>
      </items>
    </pivotField>
    <pivotField showAll="0"/>
    <pivotField dataField="1" showAll="0"/>
    <pivotField showAll="0"/>
    <pivotField numFmtId="9" showAll="0"/>
    <pivotField showAll="0"/>
    <pivotField axis="axisRow" showAll="0" sortType="descending">
      <items count="11">
        <item x="0"/>
        <item x="7"/>
        <item x="4"/>
        <item x="8"/>
        <item x="3"/>
        <item h="1" x="2"/>
        <item h="1" x="5"/>
        <item h="1" x="6"/>
        <item h="1" x="9"/>
        <item h="1" x="1"/>
        <item t="default"/>
      </items>
      <autoSortScope>
        <pivotArea dataOnly="0" outline="0" fieldPosition="0">
          <references count="1">
            <reference field="4294967294" count="1" selected="0">
              <x v="0"/>
            </reference>
          </references>
        </pivotArea>
      </autoSortScope>
    </pivotField>
    <pivotField showAll="0">
      <items count="5">
        <item x="1"/>
        <item x="3"/>
        <item x="0"/>
        <item x="2"/>
        <item t="default"/>
      </items>
    </pivotField>
    <pivotField showAll="0"/>
    <pivotField showAll="0">
      <items count="3">
        <item x="1"/>
        <item h="1" x="0"/>
        <item t="default"/>
      </items>
    </pivotField>
    <pivotField showAll="0"/>
    <pivotField showAll="0"/>
    <pivotField showAll="0"/>
    <pivotField numFmtId="9" showAll="0"/>
    <pivotField dragToRow="0" dragToCol="0" dragToPage="0" showAll="0" defaultSubtotal="0"/>
  </pivotFields>
  <rowFields count="1">
    <field x="12"/>
  </rowFields>
  <rowItems count="6">
    <i>
      <x v="4"/>
    </i>
    <i>
      <x v="3"/>
    </i>
    <i>
      <x/>
    </i>
    <i>
      <x v="1"/>
    </i>
    <i>
      <x v="2"/>
    </i>
    <i t="grand">
      <x/>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A76970-3723-4556-BFBF-910CBD63B279}" sourceName="Regi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4">
        <i x="3" s="1"/>
        <i x="2" s="1"/>
        <i x="1" s="1"/>
        <i x="0"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1EBBA643-D592-4FDB-8902-D36AB2B51AFB}" sourceName="State">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16">
        <i x="15" s="1"/>
        <i x="14" s="1"/>
        <i x="10" s="1"/>
        <i x="11" s="1"/>
        <i x="1" s="1"/>
        <i x="8" s="1"/>
        <i x="0"/>
        <i x="9"/>
        <i x="5"/>
        <i x="12"/>
        <i x="3"/>
        <i x="2"/>
        <i x="4"/>
        <i x="7"/>
        <i x="6"/>
        <i x="1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C64854-EE8E-486B-98D8-AC5AEE1CF0C0}" sourceName="Categor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226B2929-7BA4-45AB-9AAD-FDCDDE29A0F8}" sourceName="Sub Category">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9">
        <i x="8" s="1"/>
        <i x="0" s="1"/>
        <i x="3" s="1"/>
        <i x="4" s="1"/>
        <i x="2" s="1"/>
        <i x="6" s="1"/>
        <i x="5" s="1"/>
        <i x="7"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59BE90AD-0B95-42FA-99AF-E6D58CB46207}" sourceName="Sales Person">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10">
        <i x="0" s="1"/>
        <i x="7" s="1"/>
        <i x="4" s="1"/>
        <i x="8" s="1"/>
        <i x="3" s="1"/>
        <i x="2"/>
        <i x="5"/>
        <i x="6"/>
        <i x="9"/>
        <i x="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C8B71C9-7C5A-4C81-B3C2-F1BDD847273B}" sourceName="Segment">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4">
        <i x="1" s="1"/>
        <i x="3" s="1"/>
        <i x="0"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7A52C32-D6A4-4CEF-B51D-1D914D9C6F27}" sourceName="year">
  <pivotTables>
    <pivotTable tabId="2" name="PivotTable9"/>
    <pivotTable tabId="2" name="PivotTable1"/>
    <pivotTable tabId="2" name="PivotTable2"/>
    <pivotTable tabId="2" name="PivotTable3"/>
    <pivotTable tabId="2" name="PivotTable4"/>
    <pivotTable tabId="2" name="PivotTable5"/>
    <pivotTable tabId="2" name="PivotTable6"/>
    <pivotTable tabId="2" name="PivotTable7"/>
    <pivotTable tabId="2" name="PivotTable8"/>
  </pivotTables>
  <data>
    <tabular pivotCacheId="1982573088">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BD10B577-B4C1-45F6-B296-853350E0A908}" cache="Slicer_Region" caption="Region" columnCount="2" style="SlicerStyleDark1" rowHeight="234950"/>
  <slicer name="State" xr10:uid="{CF4270BF-A60A-4E4C-A296-BD0CD80C8077}" cache="Slicer_State" caption="State" columnCount="4" style="SlicerStyleDark1" rowHeight="234950"/>
  <slicer name="Category" xr10:uid="{3A364075-8140-4E27-A658-EC1C820F996D}" cache="Slicer_Category" caption="Category" columnCount="3" style="SlicerStyleDark1" rowHeight="234950"/>
  <slicer name="Sub Category" xr10:uid="{5A5E586C-3EC6-44A4-82FB-8DF920FF2F1D}" cache="Slicer_Sub_Category" caption="Sub Category" columnCount="3" style="SlicerStyleDark1" rowHeight="234950"/>
  <slicer name="Sales Person" xr10:uid="{C0979AA4-C2D2-4FB6-930A-624EAA3F2C96}" cache="Slicer_Sales_Person" caption="Sales Person" columnCount="2" style="SlicerStyleDark1" rowHeight="234950"/>
  <slicer name="Segment" xr10:uid="{0C2277D8-7B89-421F-86A3-A01C97C7324D}" cache="Slicer_Segment" caption="Segment" columnCount="2" style="SlicerStyleDark1" rowHeight="216000"/>
  <slicer name="year" xr10:uid="{0A8E0CEB-2B71-4343-8328-431A6E4D65E5}" cache="Slicer_year" caption="year" columnCount="2" style="SlicerStyleDark1"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5C655CC-426B-4A81-8834-1A9DD25F5D5E}" cache="Slicer_Region" caption="Region" columnCount="2" style="SlicerStyleDark1" rowHeight="234950"/>
  <slicer name="State 1" xr10:uid="{E42F8208-FB9B-45A3-9558-24F9ABC616A9}" cache="Slicer_State" caption="State" style="SlicerStyleDark1" rowHeight="234950"/>
  <slicer name="Category 1" xr10:uid="{8980D085-C223-4AFD-8343-3E33D2808208}" cache="Slicer_Category" caption="Category" style="SlicerStyleDark1" rowHeight="234950"/>
  <slicer name="Sub Category 1" xr10:uid="{753F35E2-8D95-4D0E-A9DE-14A18048ED8C}" cache="Slicer_Sub_Category" caption="Sub Category" columnCount="2" style="SlicerStyleDark1" rowHeight="234950"/>
  <slicer name="Sales Person 1" xr10:uid="{DCC8014C-6229-4E3A-A6D6-A556940AA170}" cache="Slicer_Sales_Person" caption="Sales Person" columnCount="2" style="SlicerStyleDark1" rowHeight="234950"/>
  <slicer name="year 1" xr10:uid="{3072FD8D-CB11-40B7-AD2D-CA4A2C0F3A53}" cache="Slicer_year" caption="year" columnCount="2" style="SlicerStyleDark1"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6106473-3227-48B9-9FA0-149E6F2F4A13}" name="Table1" displayName="Table1" ref="A1:V1001" totalsRowShown="0">
  <autoFilter ref="A1:V1001" xr:uid="{C6106473-3227-48B9-9FA0-149E6F2F4A13}"/>
  <tableColumns count="22">
    <tableColumn id="1" xr3:uid="{7007506D-9312-48EA-8D38-FC71B386CE8C}" name="Order ID"/>
    <tableColumn id="2" xr3:uid="{8EE1E8FE-EEA3-459E-9C52-62BC7DC86982}" name="Order Date"/>
    <tableColumn id="3" xr3:uid="{F279B88A-E118-4C9C-8B36-D9E836D37355}" name="Customer Name"/>
    <tableColumn id="4" xr3:uid="{9807D7FB-9290-4204-8725-BAA974D2CB96}" name="Region"/>
    <tableColumn id="5" xr3:uid="{2D1597C9-0415-4D7C-8FEC-B8C6B2B42EBE}" name="State"/>
    <tableColumn id="6" xr3:uid="{C6B1F295-C4F9-4294-963C-B0F6E6CAC197}" name="Category"/>
    <tableColumn id="7" xr3:uid="{832AF987-4D65-409F-B366-2C85A963BC26}" name="Sub Category"/>
    <tableColumn id="8" xr3:uid="{26A7AF95-DFE7-49A4-908D-F7CCEF84FBFC}" name="Product Name"/>
    <tableColumn id="9" xr3:uid="{340E8BBA-A8F5-4DE3-9FFC-B57F96232860}" name="Sales"/>
    <tableColumn id="10" xr3:uid="{91FB4B4B-5E54-4E88-8420-A459C819CD6E}" name="Quantity"/>
    <tableColumn id="11" xr3:uid="{F8B4271D-9128-43E7-96E2-414089D63234}" name="Discount" dataDxfId="2" dataCellStyle="Percent"/>
    <tableColumn id="12" xr3:uid="{F5628B18-FBE2-4188-88F7-38AB01AD4047}" name="Profit"/>
    <tableColumn id="13" xr3:uid="{09FA767D-DD16-4B31-B431-B028BD94CAE5}" name="Sales Person"/>
    <tableColumn id="14" xr3:uid="{8815FC4B-EC9A-4D43-A4E5-5245BAF81CF5}" name="Segment"/>
    <tableColumn id="15" xr3:uid="{76BFA9D8-7B6F-424F-BF11-592CB82D1B46}" name="order_date_new">
      <calculatedColumnFormula>TEXT(B2,"dd/mm/yyyy")</calculatedColumnFormula>
    </tableColumn>
    <tableColumn id="16" xr3:uid="{D3ABB166-10F6-40DE-9AA2-FB92BF6B92E3}" name="year">
      <calculatedColumnFormula>YEAR(O2)</calculatedColumnFormula>
    </tableColumn>
    <tableColumn id="17" xr3:uid="{04193D39-B5B3-4F3E-AE20-24C804E1E387}" name="month">
      <calculatedColumnFormula>MONTH(O2)</calculatedColumnFormula>
    </tableColumn>
    <tableColumn id="18" xr3:uid="{4F466916-8564-40BF-8D95-9278CC3BEFE7}" name="month_name">
      <calculatedColumnFormula>TEXT(O2,"mmmm")</calculatedColumnFormula>
    </tableColumn>
    <tableColumn id="19" xr3:uid="{E4E20E15-C43F-4290-8FFA-1FF5A79863BC}" name="Discount Bucket">
      <calculatedColumnFormula>IF(K2=0,"No Discount",IF(K2&gt;=0.1,"Low",IF(K2&gt;=0.2,"Medium","High")))</calculatedColumnFormula>
    </tableColumn>
    <tableColumn id="20" xr3:uid="{DC866848-6570-484A-AAB4-F233F391FF78}" name="Profit margin%" dataDxfId="1" dataCellStyle="Percent">
      <calculatedColumnFormula>SUM(L2)/SUM(I2)</calculatedColumnFormula>
    </tableColumn>
    <tableColumn id="21" xr3:uid="{369E9786-17A0-4C14-847C-8E73A8DD6C9E}" name="Running total " dataDxfId="0">
      <calculatedColumnFormula>SUM($I$2:I2)</calculatedColumnFormula>
    </tableColumn>
    <tableColumn id="22" xr3:uid="{E66C294D-F667-41C7-8D6A-460A9D9BC0E9}" name="Column1" dataCellStyle="Percent">
      <calculatedColumnFormula>Table1[[#This Row],[Running total ]]/SUM(I:I)</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1001"/>
  <sheetViews>
    <sheetView topLeftCell="N1" workbookViewId="0">
      <selection activeCell="V1" activeCellId="2" sqref="H1:H1048576 I1:I1048576 V1:V1048576"/>
    </sheetView>
  </sheetViews>
  <sheetFormatPr defaultRowHeight="14.4" x14ac:dyDescent="0.3"/>
  <cols>
    <col min="1" max="1" width="9.88671875" customWidth="1"/>
    <col min="2" max="2" width="12" customWidth="1"/>
    <col min="3" max="3" width="16.44140625" customWidth="1"/>
    <col min="6" max="6" width="10.44140625" customWidth="1"/>
    <col min="7" max="7" width="14.109375" customWidth="1"/>
    <col min="8" max="8" width="15" customWidth="1"/>
    <col min="10" max="10" width="10.21875" customWidth="1"/>
    <col min="11" max="11" width="10.21875" style="1" customWidth="1"/>
    <col min="13" max="14" width="15.109375" customWidth="1"/>
    <col min="15" max="15" width="16.77734375" customWidth="1"/>
    <col min="18" max="18" width="14.5546875" customWidth="1"/>
    <col min="19" max="19" width="19.109375" customWidth="1"/>
    <col min="20" max="20" width="20.33203125" style="1" customWidth="1"/>
    <col min="21" max="21" width="14.77734375" customWidth="1"/>
    <col min="22" max="22" width="8.88671875" style="1" customWidth="1"/>
  </cols>
  <sheetData>
    <row r="1" spans="1:22" x14ac:dyDescent="0.3">
      <c r="A1" t="s">
        <v>0</v>
      </c>
      <c r="B1" t="s">
        <v>1</v>
      </c>
      <c r="C1" t="s">
        <v>2</v>
      </c>
      <c r="D1" t="s">
        <v>3</v>
      </c>
      <c r="E1" t="s">
        <v>4</v>
      </c>
      <c r="F1" t="s">
        <v>5</v>
      </c>
      <c r="G1" t="s">
        <v>6</v>
      </c>
      <c r="H1" t="s">
        <v>7</v>
      </c>
      <c r="I1" t="s">
        <v>8</v>
      </c>
      <c r="J1" t="s">
        <v>9</v>
      </c>
      <c r="K1" s="1" t="s">
        <v>10</v>
      </c>
      <c r="L1" t="s">
        <v>11</v>
      </c>
      <c r="M1" t="s">
        <v>12</v>
      </c>
      <c r="N1" t="s">
        <v>13</v>
      </c>
      <c r="O1" t="s">
        <v>1833</v>
      </c>
      <c r="P1" t="s">
        <v>1834</v>
      </c>
      <c r="Q1" t="s">
        <v>1835</v>
      </c>
      <c r="R1" t="s">
        <v>1836</v>
      </c>
      <c r="S1" t="s">
        <v>1837</v>
      </c>
      <c r="T1" s="1" t="s">
        <v>1838</v>
      </c>
      <c r="U1" t="s">
        <v>1862</v>
      </c>
      <c r="V1" s="1" t="s">
        <v>1863</v>
      </c>
    </row>
    <row r="2" spans="1:22" x14ac:dyDescent="0.3">
      <c r="A2" t="s">
        <v>14</v>
      </c>
      <c r="B2" t="s">
        <v>15</v>
      </c>
      <c r="C2" t="s">
        <v>16</v>
      </c>
      <c r="D2" t="s">
        <v>17</v>
      </c>
      <c r="E2" t="s">
        <v>18</v>
      </c>
      <c r="F2" t="s">
        <v>19</v>
      </c>
      <c r="G2" t="s">
        <v>20</v>
      </c>
      <c r="H2" t="s">
        <v>21</v>
      </c>
      <c r="I2">
        <v>5565.9</v>
      </c>
      <c r="J2">
        <v>10</v>
      </c>
      <c r="K2" s="1">
        <v>0</v>
      </c>
      <c r="L2">
        <v>421.59</v>
      </c>
      <c r="M2" t="s">
        <v>22</v>
      </c>
      <c r="N2" t="s">
        <v>23</v>
      </c>
      <c r="O2" t="str">
        <f>TEXT(B2,"dd/mm/yyyy")</f>
        <v>31/01/2025</v>
      </c>
      <c r="P2">
        <f>YEAR(O2)</f>
        <v>2025</v>
      </c>
      <c r="Q2">
        <f>MONTH(O2)</f>
        <v>1</v>
      </c>
      <c r="R2" t="str">
        <f>TEXT(O2,"mmmm")</f>
        <v>January</v>
      </c>
      <c r="S2" t="str">
        <f>IF(K2=0,"No Discount",IF(K2&gt;=0.1,"Low",IF(K2&gt;=0.2,"Medium","High")))</f>
        <v>No Discount</v>
      </c>
      <c r="T2" s="1">
        <f>SUM(L2)/SUM(I2)</f>
        <v>7.5745162507411201E-2</v>
      </c>
      <c r="U2">
        <f>SUM($I$2:I2)</f>
        <v>5565.9</v>
      </c>
      <c r="V2" s="1">
        <f>Table1[[#This Row],[Running total ]]/SUM(I:I)</f>
        <v>1.606109415252379E-3</v>
      </c>
    </row>
    <row r="3" spans="1:22" x14ac:dyDescent="0.3">
      <c r="A3" t="s">
        <v>24</v>
      </c>
      <c r="B3" t="s">
        <v>25</v>
      </c>
      <c r="C3" t="s">
        <v>26</v>
      </c>
      <c r="D3" t="s">
        <v>27</v>
      </c>
      <c r="E3" t="s">
        <v>28</v>
      </c>
      <c r="F3" t="s">
        <v>19</v>
      </c>
      <c r="G3" t="s">
        <v>29</v>
      </c>
      <c r="H3" t="s">
        <v>30</v>
      </c>
      <c r="I3">
        <v>997.04</v>
      </c>
      <c r="J3">
        <v>4</v>
      </c>
      <c r="K3" s="1">
        <v>0.25</v>
      </c>
      <c r="L3">
        <v>-161.72</v>
      </c>
      <c r="M3" t="s">
        <v>31</v>
      </c>
      <c r="N3" t="s">
        <v>32</v>
      </c>
      <c r="O3" t="str">
        <f t="shared" ref="O3:O66" si="0">TEXT(B3,"dd/mm/yyyy")</f>
        <v>08/02/2025</v>
      </c>
      <c r="P3">
        <f t="shared" ref="P3:P66" si="1">YEAR(O3)</f>
        <v>2025</v>
      </c>
      <c r="Q3">
        <f t="shared" ref="Q3:Q66" si="2">MONTH(O3)</f>
        <v>2</v>
      </c>
      <c r="R3" t="str">
        <f t="shared" ref="R3:R66" si="3">TEXT(O3,"mmmm")</f>
        <v>February</v>
      </c>
      <c r="S3" t="str">
        <f t="shared" ref="S3:S66" si="4">IF(K3=0,"No Discount",IF(K3&gt;=0.1,"Low",IF(K3&gt;=0.2,"Medium","High")))</f>
        <v>Low</v>
      </c>
      <c r="T3" s="1">
        <f t="shared" ref="T3:T66" si="5">SUM(L3)/SUM(I3)</f>
        <v>-0.16220011233250423</v>
      </c>
      <c r="U3">
        <f>SUM($I$2:I3)</f>
        <v>6562.94</v>
      </c>
      <c r="V3" s="1">
        <f>Table1[[#This Row],[Running total ]]/SUM(I:I)</f>
        <v>1.8938176621456455E-3</v>
      </c>
    </row>
    <row r="4" spans="1:22" x14ac:dyDescent="0.3">
      <c r="A4" t="s">
        <v>33</v>
      </c>
      <c r="B4" t="s">
        <v>34</v>
      </c>
      <c r="C4" t="s">
        <v>35</v>
      </c>
      <c r="D4" t="s">
        <v>27</v>
      </c>
      <c r="E4" t="s">
        <v>28</v>
      </c>
      <c r="F4" t="s">
        <v>19</v>
      </c>
      <c r="G4" t="s">
        <v>36</v>
      </c>
      <c r="H4" t="s">
        <v>37</v>
      </c>
      <c r="I4">
        <v>1711.71</v>
      </c>
      <c r="J4">
        <v>7</v>
      </c>
      <c r="K4" s="1">
        <v>0</v>
      </c>
      <c r="L4">
        <v>356.91</v>
      </c>
      <c r="M4" t="s">
        <v>38</v>
      </c>
      <c r="N4" t="s">
        <v>39</v>
      </c>
      <c r="O4" t="str">
        <f t="shared" si="0"/>
        <v>31/10/2025</v>
      </c>
      <c r="P4">
        <f t="shared" si="1"/>
        <v>2025</v>
      </c>
      <c r="Q4">
        <f t="shared" si="2"/>
        <v>10</v>
      </c>
      <c r="R4" t="str">
        <f t="shared" si="3"/>
        <v>October</v>
      </c>
      <c r="S4" t="str">
        <f t="shared" si="4"/>
        <v>No Discount</v>
      </c>
      <c r="T4" s="1">
        <f t="shared" si="5"/>
        <v>0.20851078745815588</v>
      </c>
      <c r="U4">
        <f>SUM($I$2:I4)</f>
        <v>8274.65</v>
      </c>
      <c r="V4" s="1">
        <f>Table1[[#This Row],[Running total ]]/SUM(I:I)</f>
        <v>2.3877527934239025E-3</v>
      </c>
    </row>
    <row r="5" spans="1:22" x14ac:dyDescent="0.3">
      <c r="A5" t="s">
        <v>40</v>
      </c>
      <c r="B5" t="s">
        <v>41</v>
      </c>
      <c r="C5" t="s">
        <v>42</v>
      </c>
      <c r="D5" t="s">
        <v>27</v>
      </c>
      <c r="E5" t="s">
        <v>43</v>
      </c>
      <c r="F5" t="s">
        <v>19</v>
      </c>
      <c r="G5" t="s">
        <v>36</v>
      </c>
      <c r="H5" t="s">
        <v>37</v>
      </c>
      <c r="I5">
        <v>1435.1</v>
      </c>
      <c r="J5">
        <v>5</v>
      </c>
      <c r="K5" s="1">
        <v>0.3</v>
      </c>
      <c r="L5">
        <v>-122.01</v>
      </c>
      <c r="M5" t="s">
        <v>44</v>
      </c>
      <c r="N5" t="s">
        <v>32</v>
      </c>
      <c r="O5" t="str">
        <f t="shared" si="0"/>
        <v>26/03/2025</v>
      </c>
      <c r="P5">
        <f t="shared" si="1"/>
        <v>2025</v>
      </c>
      <c r="Q5">
        <f t="shared" si="2"/>
        <v>3</v>
      </c>
      <c r="R5" t="str">
        <f t="shared" si="3"/>
        <v>March</v>
      </c>
      <c r="S5" t="str">
        <f t="shared" si="4"/>
        <v>Low</v>
      </c>
      <c r="T5" s="1">
        <f t="shared" si="5"/>
        <v>-8.5018465612152469E-2</v>
      </c>
      <c r="U5">
        <f>SUM($I$2:I5)</f>
        <v>9709.75</v>
      </c>
      <c r="V5" s="1">
        <f>Table1[[#This Row],[Running total ]]/SUM(I:I)</f>
        <v>2.8018686815693399E-3</v>
      </c>
    </row>
    <row r="6" spans="1:22" x14ac:dyDescent="0.3">
      <c r="A6" t="s">
        <v>45</v>
      </c>
      <c r="B6" t="s">
        <v>46</v>
      </c>
      <c r="C6" t="s">
        <v>47</v>
      </c>
      <c r="D6" t="s">
        <v>48</v>
      </c>
      <c r="E6" t="s">
        <v>49</v>
      </c>
      <c r="F6" t="s">
        <v>19</v>
      </c>
      <c r="G6" t="s">
        <v>29</v>
      </c>
      <c r="H6" t="s">
        <v>50</v>
      </c>
      <c r="I6">
        <v>1413.08</v>
      </c>
      <c r="J6">
        <v>2</v>
      </c>
      <c r="K6" s="1">
        <v>0.1</v>
      </c>
      <c r="L6">
        <v>416.9</v>
      </c>
      <c r="M6" t="s">
        <v>31</v>
      </c>
      <c r="N6" t="s">
        <v>23</v>
      </c>
      <c r="O6" t="str">
        <f t="shared" si="0"/>
        <v>10/02/2025</v>
      </c>
      <c r="P6">
        <f t="shared" si="1"/>
        <v>2025</v>
      </c>
      <c r="Q6">
        <f t="shared" si="2"/>
        <v>2</v>
      </c>
      <c r="R6" t="str">
        <f t="shared" si="3"/>
        <v>February</v>
      </c>
      <c r="S6" t="str">
        <f t="shared" si="4"/>
        <v>Low</v>
      </c>
      <c r="T6" s="1">
        <f t="shared" si="5"/>
        <v>0.29502929770430547</v>
      </c>
      <c r="U6">
        <f>SUM($I$2:I6)</f>
        <v>11122.83</v>
      </c>
      <c r="V6" s="1">
        <f>Table1[[#This Row],[Running total ]]/SUM(I:I)</f>
        <v>3.2096304258523545E-3</v>
      </c>
    </row>
    <row r="7" spans="1:22" x14ac:dyDescent="0.3">
      <c r="A7" t="s">
        <v>51</v>
      </c>
      <c r="B7" t="s">
        <v>52</v>
      </c>
      <c r="C7" t="s">
        <v>53</v>
      </c>
      <c r="D7" t="s">
        <v>17</v>
      </c>
      <c r="E7" t="s">
        <v>54</v>
      </c>
      <c r="F7" t="s">
        <v>55</v>
      </c>
      <c r="G7" t="s">
        <v>56</v>
      </c>
      <c r="H7" t="s">
        <v>57</v>
      </c>
      <c r="I7">
        <v>6869.16</v>
      </c>
      <c r="J7">
        <v>9</v>
      </c>
      <c r="K7" s="1">
        <v>0</v>
      </c>
      <c r="L7">
        <v>721.16</v>
      </c>
      <c r="M7" t="s">
        <v>44</v>
      </c>
      <c r="N7" t="s">
        <v>23</v>
      </c>
      <c r="O7" t="str">
        <f t="shared" si="0"/>
        <v>03/12/2024</v>
      </c>
      <c r="P7">
        <f t="shared" si="1"/>
        <v>2024</v>
      </c>
      <c r="Q7">
        <f t="shared" si="2"/>
        <v>12</v>
      </c>
      <c r="R7" t="str">
        <f t="shared" si="3"/>
        <v>December</v>
      </c>
      <c r="S7" t="str">
        <f t="shared" si="4"/>
        <v>No Discount</v>
      </c>
      <c r="T7" s="1">
        <f t="shared" si="5"/>
        <v>0.10498518013847399</v>
      </c>
      <c r="U7">
        <f>SUM($I$2:I7)</f>
        <v>17991.989999999998</v>
      </c>
      <c r="V7" s="1">
        <f>Table1[[#This Row],[Running total ]]/SUM(I:I)</f>
        <v>5.1918116635452753E-3</v>
      </c>
    </row>
    <row r="8" spans="1:22" x14ac:dyDescent="0.3">
      <c r="A8" t="s">
        <v>58</v>
      </c>
      <c r="B8" t="s">
        <v>59</v>
      </c>
      <c r="C8" t="s">
        <v>60</v>
      </c>
      <c r="D8" t="s">
        <v>27</v>
      </c>
      <c r="E8" t="s">
        <v>61</v>
      </c>
      <c r="F8" t="s">
        <v>55</v>
      </c>
      <c r="G8" t="s">
        <v>56</v>
      </c>
      <c r="H8" t="s">
        <v>62</v>
      </c>
      <c r="I8">
        <v>5509.7</v>
      </c>
      <c r="J8">
        <v>10</v>
      </c>
      <c r="K8" s="1">
        <v>0.2</v>
      </c>
      <c r="L8">
        <v>-457.71</v>
      </c>
      <c r="M8" t="s">
        <v>63</v>
      </c>
      <c r="N8" t="s">
        <v>23</v>
      </c>
      <c r="O8" t="str">
        <f t="shared" si="0"/>
        <v>15/10/2024</v>
      </c>
      <c r="P8">
        <f t="shared" si="1"/>
        <v>2024</v>
      </c>
      <c r="Q8">
        <f t="shared" si="2"/>
        <v>10</v>
      </c>
      <c r="R8" t="str">
        <f t="shared" si="3"/>
        <v>October</v>
      </c>
      <c r="S8" t="str">
        <f t="shared" si="4"/>
        <v>Low</v>
      </c>
      <c r="T8" s="1">
        <f t="shared" si="5"/>
        <v>-8.3073488574695542E-2</v>
      </c>
      <c r="U8">
        <f>SUM($I$2:I8)</f>
        <v>23501.69</v>
      </c>
      <c r="V8" s="1">
        <f>Table1[[#This Row],[Running total ]]/SUM(I:I)</f>
        <v>6.7817038723912903E-3</v>
      </c>
    </row>
    <row r="9" spans="1:22" x14ac:dyDescent="0.3">
      <c r="A9" t="s">
        <v>64</v>
      </c>
      <c r="B9" t="s">
        <v>65</v>
      </c>
      <c r="C9" t="s">
        <v>66</v>
      </c>
      <c r="D9" t="s">
        <v>27</v>
      </c>
      <c r="E9" t="s">
        <v>28</v>
      </c>
      <c r="F9" t="s">
        <v>67</v>
      </c>
      <c r="G9" t="s">
        <v>68</v>
      </c>
      <c r="H9" t="s">
        <v>69</v>
      </c>
      <c r="I9">
        <v>4643.04</v>
      </c>
      <c r="J9">
        <v>6</v>
      </c>
      <c r="K9" s="1">
        <v>0.25</v>
      </c>
      <c r="L9">
        <v>-634.04</v>
      </c>
      <c r="M9" t="s">
        <v>63</v>
      </c>
      <c r="N9" t="s">
        <v>32</v>
      </c>
      <c r="O9" t="str">
        <f t="shared" si="0"/>
        <v>03/09/2025</v>
      </c>
      <c r="P9">
        <f t="shared" si="1"/>
        <v>2025</v>
      </c>
      <c r="Q9">
        <f t="shared" si="2"/>
        <v>9</v>
      </c>
      <c r="R9" t="str">
        <f t="shared" si="3"/>
        <v>September</v>
      </c>
      <c r="S9" t="str">
        <f t="shared" si="4"/>
        <v>Low</v>
      </c>
      <c r="T9" s="1">
        <f t="shared" si="5"/>
        <v>-0.13655708329025809</v>
      </c>
      <c r="U9">
        <f>SUM($I$2:I9)</f>
        <v>28144.73</v>
      </c>
      <c r="V9" s="1">
        <f>Table1[[#This Row],[Running total ]]/SUM(I:I)</f>
        <v>8.1215105989572382E-3</v>
      </c>
    </row>
    <row r="10" spans="1:22" x14ac:dyDescent="0.3">
      <c r="A10" t="s">
        <v>70</v>
      </c>
      <c r="B10" t="s">
        <v>71</v>
      </c>
      <c r="C10" t="s">
        <v>72</v>
      </c>
      <c r="D10" t="s">
        <v>48</v>
      </c>
      <c r="E10" t="s">
        <v>73</v>
      </c>
      <c r="F10" t="s">
        <v>55</v>
      </c>
      <c r="G10" t="s">
        <v>74</v>
      </c>
      <c r="H10" t="s">
        <v>75</v>
      </c>
      <c r="I10">
        <v>101.16</v>
      </c>
      <c r="J10">
        <v>6</v>
      </c>
      <c r="K10" s="1">
        <v>0.3</v>
      </c>
      <c r="L10">
        <v>-23.27</v>
      </c>
      <c r="M10" t="s">
        <v>31</v>
      </c>
      <c r="N10" t="s">
        <v>76</v>
      </c>
      <c r="O10" t="str">
        <f t="shared" si="0"/>
        <v>02/10/2024</v>
      </c>
      <c r="P10">
        <f t="shared" si="1"/>
        <v>2024</v>
      </c>
      <c r="Q10">
        <f t="shared" si="2"/>
        <v>10</v>
      </c>
      <c r="R10" t="str">
        <f t="shared" si="3"/>
        <v>October</v>
      </c>
      <c r="S10" t="str">
        <f t="shared" si="4"/>
        <v>Low</v>
      </c>
      <c r="T10" s="1">
        <f t="shared" si="5"/>
        <v>-0.23003163305654409</v>
      </c>
      <c r="U10">
        <f>SUM($I$2:I10)</f>
        <v>28245.89</v>
      </c>
      <c r="V10" s="1">
        <f>Table1[[#This Row],[Running total ]]/SUM(I:I)</f>
        <v>8.1507015704886943E-3</v>
      </c>
    </row>
    <row r="11" spans="1:22" x14ac:dyDescent="0.3">
      <c r="A11" t="s">
        <v>77</v>
      </c>
      <c r="B11" t="s">
        <v>78</v>
      </c>
      <c r="C11" t="s">
        <v>79</v>
      </c>
      <c r="D11" t="s">
        <v>17</v>
      </c>
      <c r="E11" t="s">
        <v>80</v>
      </c>
      <c r="F11" t="s">
        <v>67</v>
      </c>
      <c r="G11" t="s">
        <v>68</v>
      </c>
      <c r="H11" t="s">
        <v>69</v>
      </c>
      <c r="I11">
        <v>2687.4</v>
      </c>
      <c r="J11">
        <v>10</v>
      </c>
      <c r="K11" s="1">
        <v>0.15</v>
      </c>
      <c r="L11">
        <v>145.56</v>
      </c>
      <c r="M11" t="s">
        <v>38</v>
      </c>
      <c r="N11" t="s">
        <v>32</v>
      </c>
      <c r="O11" t="str">
        <f t="shared" si="0"/>
        <v>11/07/2024</v>
      </c>
      <c r="P11">
        <f t="shared" si="1"/>
        <v>2024</v>
      </c>
      <c r="Q11">
        <f t="shared" si="2"/>
        <v>7</v>
      </c>
      <c r="R11" t="str">
        <f t="shared" si="3"/>
        <v>July</v>
      </c>
      <c r="S11" t="str">
        <f t="shared" si="4"/>
        <v>Low</v>
      </c>
      <c r="T11" s="1">
        <f t="shared" si="5"/>
        <v>5.4163875865148467E-2</v>
      </c>
      <c r="U11">
        <f>SUM($I$2:I11)</f>
        <v>30933.29</v>
      </c>
      <c r="V11" s="1">
        <f>Table1[[#This Row],[Running total ]]/SUM(I:I)</f>
        <v>8.9261841416001485E-3</v>
      </c>
    </row>
    <row r="12" spans="1:22" x14ac:dyDescent="0.3">
      <c r="A12" t="s">
        <v>81</v>
      </c>
      <c r="B12" t="s">
        <v>82</v>
      </c>
      <c r="C12" t="s">
        <v>83</v>
      </c>
      <c r="D12" t="s">
        <v>48</v>
      </c>
      <c r="E12" t="s">
        <v>84</v>
      </c>
      <c r="F12" t="s">
        <v>67</v>
      </c>
      <c r="G12" t="s">
        <v>85</v>
      </c>
      <c r="H12" t="s">
        <v>86</v>
      </c>
      <c r="I12">
        <v>1715.22</v>
      </c>
      <c r="J12">
        <v>3</v>
      </c>
      <c r="K12" s="1">
        <v>0.15</v>
      </c>
      <c r="L12">
        <v>175.1</v>
      </c>
      <c r="M12" t="s">
        <v>87</v>
      </c>
      <c r="N12" t="s">
        <v>76</v>
      </c>
      <c r="O12" t="str">
        <f t="shared" si="0"/>
        <v>17/03/2024</v>
      </c>
      <c r="P12">
        <f t="shared" si="1"/>
        <v>2024</v>
      </c>
      <c r="Q12">
        <f t="shared" si="2"/>
        <v>3</v>
      </c>
      <c r="R12" t="str">
        <f t="shared" si="3"/>
        <v>March</v>
      </c>
      <c r="S12" t="str">
        <f t="shared" si="4"/>
        <v>Low</v>
      </c>
      <c r="T12" s="1">
        <f t="shared" si="5"/>
        <v>0.10208602978043632</v>
      </c>
      <c r="U12">
        <f>SUM($I$2:I12)</f>
        <v>32648.510000000002</v>
      </c>
      <c r="V12" s="1">
        <f>Table1[[#This Row],[Running total ]]/SUM(I:I)</f>
        <v>9.4211321268728252E-3</v>
      </c>
    </row>
    <row r="13" spans="1:22" x14ac:dyDescent="0.3">
      <c r="A13" t="s">
        <v>88</v>
      </c>
      <c r="B13" t="s">
        <v>89</v>
      </c>
      <c r="C13" t="s">
        <v>90</v>
      </c>
      <c r="D13" t="s">
        <v>27</v>
      </c>
      <c r="E13" t="s">
        <v>28</v>
      </c>
      <c r="F13" t="s">
        <v>19</v>
      </c>
      <c r="G13" t="s">
        <v>36</v>
      </c>
      <c r="H13" t="s">
        <v>37</v>
      </c>
      <c r="I13">
        <v>572.04</v>
      </c>
      <c r="J13">
        <v>1</v>
      </c>
      <c r="K13" s="1">
        <v>0.15</v>
      </c>
      <c r="L13">
        <v>117.9</v>
      </c>
      <c r="M13" t="s">
        <v>44</v>
      </c>
      <c r="N13" t="s">
        <v>23</v>
      </c>
      <c r="O13" t="str">
        <f t="shared" si="0"/>
        <v>16/05/2024</v>
      </c>
      <c r="P13">
        <f t="shared" si="1"/>
        <v>2024</v>
      </c>
      <c r="Q13">
        <f t="shared" si="2"/>
        <v>5</v>
      </c>
      <c r="R13" t="str">
        <f t="shared" si="3"/>
        <v>May</v>
      </c>
      <c r="S13" t="str">
        <f t="shared" si="4"/>
        <v>Low</v>
      </c>
      <c r="T13" s="1">
        <f t="shared" si="5"/>
        <v>0.20610446821900569</v>
      </c>
      <c r="U13">
        <f>SUM($I$2:I13)</f>
        <v>33220.550000000003</v>
      </c>
      <c r="V13" s="1">
        <f>Table1[[#This Row],[Running total ]]/SUM(I:I)</f>
        <v>9.5862013573478552E-3</v>
      </c>
    </row>
    <row r="14" spans="1:22" x14ac:dyDescent="0.3">
      <c r="A14" t="s">
        <v>91</v>
      </c>
      <c r="B14" t="s">
        <v>92</v>
      </c>
      <c r="C14" t="s">
        <v>93</v>
      </c>
      <c r="D14" t="s">
        <v>48</v>
      </c>
      <c r="E14" t="s">
        <v>84</v>
      </c>
      <c r="F14" t="s">
        <v>67</v>
      </c>
      <c r="G14" t="s">
        <v>85</v>
      </c>
      <c r="H14" t="s">
        <v>86</v>
      </c>
      <c r="I14">
        <v>4129.79</v>
      </c>
      <c r="J14">
        <v>7</v>
      </c>
      <c r="K14" s="1">
        <v>0.05</v>
      </c>
      <c r="L14">
        <v>1549.7</v>
      </c>
      <c r="M14" t="s">
        <v>44</v>
      </c>
      <c r="N14" t="s">
        <v>23</v>
      </c>
      <c r="O14" t="str">
        <f t="shared" si="0"/>
        <v>20/05/2025</v>
      </c>
      <c r="P14">
        <f t="shared" si="1"/>
        <v>2025</v>
      </c>
      <c r="Q14">
        <f t="shared" si="2"/>
        <v>5</v>
      </c>
      <c r="R14" t="str">
        <f t="shared" si="3"/>
        <v>May</v>
      </c>
      <c r="S14" t="str">
        <f t="shared" si="4"/>
        <v>High</v>
      </c>
      <c r="T14" s="1">
        <f t="shared" si="5"/>
        <v>0.37524910467602468</v>
      </c>
      <c r="U14">
        <f>SUM($I$2:I14)</f>
        <v>37350.340000000004</v>
      </c>
      <c r="V14" s="1">
        <f>Table1[[#This Row],[Running total ]]/SUM(I:I)</f>
        <v>1.077790343643931E-2</v>
      </c>
    </row>
    <row r="15" spans="1:22" x14ac:dyDescent="0.3">
      <c r="A15" t="s">
        <v>94</v>
      </c>
      <c r="B15" t="s">
        <v>95</v>
      </c>
      <c r="C15" t="s">
        <v>96</v>
      </c>
      <c r="D15" t="s">
        <v>17</v>
      </c>
      <c r="E15" t="s">
        <v>97</v>
      </c>
      <c r="F15" t="s">
        <v>55</v>
      </c>
      <c r="G15" t="s">
        <v>98</v>
      </c>
      <c r="H15" t="s">
        <v>99</v>
      </c>
      <c r="I15">
        <v>3401.7</v>
      </c>
      <c r="J15">
        <v>10</v>
      </c>
      <c r="K15" s="1">
        <v>0.3</v>
      </c>
      <c r="L15">
        <v>-758.03</v>
      </c>
      <c r="M15" t="s">
        <v>38</v>
      </c>
      <c r="N15" t="s">
        <v>39</v>
      </c>
      <c r="O15" t="str">
        <f t="shared" si="0"/>
        <v>23/03/2025</v>
      </c>
      <c r="P15">
        <f t="shared" si="1"/>
        <v>2025</v>
      </c>
      <c r="Q15">
        <f t="shared" si="2"/>
        <v>3</v>
      </c>
      <c r="R15" t="str">
        <f t="shared" si="3"/>
        <v>March</v>
      </c>
      <c r="S15" t="str">
        <f t="shared" si="4"/>
        <v>Low</v>
      </c>
      <c r="T15" s="1">
        <f t="shared" si="5"/>
        <v>-0.22283858070964518</v>
      </c>
      <c r="U15">
        <f>SUM($I$2:I15)</f>
        <v>40752.04</v>
      </c>
      <c r="V15" s="1">
        <f>Table1[[#This Row],[Running total ]]/SUM(I:I)</f>
        <v>1.1759506123850872E-2</v>
      </c>
    </row>
    <row r="16" spans="1:22" x14ac:dyDescent="0.3">
      <c r="A16" t="s">
        <v>100</v>
      </c>
      <c r="B16" t="s">
        <v>101</v>
      </c>
      <c r="C16" t="s">
        <v>102</v>
      </c>
      <c r="D16" t="s">
        <v>48</v>
      </c>
      <c r="E16" t="s">
        <v>49</v>
      </c>
      <c r="F16" t="s">
        <v>67</v>
      </c>
      <c r="G16" t="s">
        <v>68</v>
      </c>
      <c r="H16" t="s">
        <v>103</v>
      </c>
      <c r="I16">
        <v>4558.92</v>
      </c>
      <c r="J16">
        <v>4</v>
      </c>
      <c r="K16" s="1">
        <v>0</v>
      </c>
      <c r="L16">
        <v>1562.19</v>
      </c>
      <c r="M16" t="s">
        <v>22</v>
      </c>
      <c r="N16" t="s">
        <v>39</v>
      </c>
      <c r="O16" t="str">
        <f t="shared" si="0"/>
        <v>31/03/2025</v>
      </c>
      <c r="P16">
        <f t="shared" si="1"/>
        <v>2025</v>
      </c>
      <c r="Q16">
        <f t="shared" si="2"/>
        <v>3</v>
      </c>
      <c r="R16" t="str">
        <f t="shared" si="3"/>
        <v>March</v>
      </c>
      <c r="S16" t="str">
        <f t="shared" si="4"/>
        <v>No Discount</v>
      </c>
      <c r="T16" s="1">
        <f t="shared" si="5"/>
        <v>0.34266668421468244</v>
      </c>
      <c r="U16">
        <f>SUM($I$2:I16)</f>
        <v>45310.96</v>
      </c>
      <c r="V16" s="1">
        <f>Table1[[#This Row],[Running total ]]/SUM(I:I)</f>
        <v>1.3075038982037756E-2</v>
      </c>
    </row>
    <row r="17" spans="1:22" x14ac:dyDescent="0.3">
      <c r="A17" t="s">
        <v>104</v>
      </c>
      <c r="B17" t="s">
        <v>105</v>
      </c>
      <c r="C17" t="s">
        <v>106</v>
      </c>
      <c r="D17" t="s">
        <v>48</v>
      </c>
      <c r="E17" t="s">
        <v>73</v>
      </c>
      <c r="F17" t="s">
        <v>19</v>
      </c>
      <c r="G17" t="s">
        <v>29</v>
      </c>
      <c r="H17" t="s">
        <v>30</v>
      </c>
      <c r="I17">
        <v>10284.39</v>
      </c>
      <c r="J17">
        <v>9</v>
      </c>
      <c r="K17" s="1">
        <v>0.3</v>
      </c>
      <c r="L17">
        <v>-1904.11</v>
      </c>
      <c r="M17" t="s">
        <v>107</v>
      </c>
      <c r="N17" t="s">
        <v>23</v>
      </c>
      <c r="O17" t="str">
        <f t="shared" si="0"/>
        <v>27/03/2025</v>
      </c>
      <c r="P17">
        <f t="shared" si="1"/>
        <v>2025</v>
      </c>
      <c r="Q17">
        <f t="shared" si="2"/>
        <v>3</v>
      </c>
      <c r="R17" t="str">
        <f t="shared" si="3"/>
        <v>March</v>
      </c>
      <c r="S17" t="str">
        <f t="shared" si="4"/>
        <v>Low</v>
      </c>
      <c r="T17" s="1">
        <f t="shared" si="5"/>
        <v>-0.18514564305709916</v>
      </c>
      <c r="U17">
        <f>SUM($I$2:I17)</f>
        <v>55595.35</v>
      </c>
      <c r="V17" s="1">
        <f>Table1[[#This Row],[Running total ]]/SUM(I:I)</f>
        <v>1.6042727156300212E-2</v>
      </c>
    </row>
    <row r="18" spans="1:22" x14ac:dyDescent="0.3">
      <c r="A18" t="s">
        <v>108</v>
      </c>
      <c r="B18" t="s">
        <v>109</v>
      </c>
      <c r="C18" t="s">
        <v>93</v>
      </c>
      <c r="D18" t="s">
        <v>48</v>
      </c>
      <c r="E18" t="s">
        <v>110</v>
      </c>
      <c r="F18" t="s">
        <v>19</v>
      </c>
      <c r="G18" t="s">
        <v>36</v>
      </c>
      <c r="H18" t="s">
        <v>111</v>
      </c>
      <c r="I18">
        <v>3409.8</v>
      </c>
      <c r="J18">
        <v>3</v>
      </c>
      <c r="K18" s="1">
        <v>0.3</v>
      </c>
      <c r="L18">
        <v>-816.01</v>
      </c>
      <c r="M18" t="s">
        <v>22</v>
      </c>
      <c r="N18" t="s">
        <v>76</v>
      </c>
      <c r="O18" t="str">
        <f t="shared" si="0"/>
        <v>08/05/2025</v>
      </c>
      <c r="P18">
        <f t="shared" si="1"/>
        <v>2025</v>
      </c>
      <c r="Q18">
        <f t="shared" si="2"/>
        <v>5</v>
      </c>
      <c r="R18" t="str">
        <f t="shared" si="3"/>
        <v>May</v>
      </c>
      <c r="S18" t="str">
        <f t="shared" si="4"/>
        <v>Low</v>
      </c>
      <c r="T18" s="1">
        <f t="shared" si="5"/>
        <v>-0.23931315619684437</v>
      </c>
      <c r="U18">
        <f>SUM($I$2:I18)</f>
        <v>59005.15</v>
      </c>
      <c r="V18" s="1">
        <f>Table1[[#This Row],[Running total ]]/SUM(I:I)</f>
        <v>1.7026667199083512E-2</v>
      </c>
    </row>
    <row r="19" spans="1:22" x14ac:dyDescent="0.3">
      <c r="A19" t="s">
        <v>112</v>
      </c>
      <c r="B19" t="s">
        <v>113</v>
      </c>
      <c r="C19" t="s">
        <v>114</v>
      </c>
      <c r="D19" t="s">
        <v>17</v>
      </c>
      <c r="E19" t="s">
        <v>97</v>
      </c>
      <c r="F19" t="s">
        <v>67</v>
      </c>
      <c r="G19" t="s">
        <v>115</v>
      </c>
      <c r="H19" t="s">
        <v>116</v>
      </c>
      <c r="I19">
        <v>2092.9499999999998</v>
      </c>
      <c r="J19">
        <v>5</v>
      </c>
      <c r="K19" s="1">
        <v>0.2</v>
      </c>
      <c r="L19">
        <v>206.77</v>
      </c>
      <c r="M19" t="s">
        <v>117</v>
      </c>
      <c r="N19" t="s">
        <v>76</v>
      </c>
      <c r="O19" t="str">
        <f t="shared" si="0"/>
        <v>26/01/2024</v>
      </c>
      <c r="P19">
        <f t="shared" si="1"/>
        <v>2024</v>
      </c>
      <c r="Q19">
        <f t="shared" si="2"/>
        <v>1</v>
      </c>
      <c r="R19" t="str">
        <f t="shared" si="3"/>
        <v>January</v>
      </c>
      <c r="S19" t="str">
        <f t="shared" si="4"/>
        <v>Low</v>
      </c>
      <c r="T19" s="1">
        <f t="shared" si="5"/>
        <v>9.8793568886022129E-2</v>
      </c>
      <c r="U19">
        <f>SUM($I$2:I19)</f>
        <v>61098.1</v>
      </c>
      <c r="V19" s="1">
        <f>Table1[[#This Row],[Running total ]]/SUM(I:I)</f>
        <v>1.7630613856524799E-2</v>
      </c>
    </row>
    <row r="20" spans="1:22" x14ac:dyDescent="0.3">
      <c r="A20" t="s">
        <v>118</v>
      </c>
      <c r="B20" t="s">
        <v>119</v>
      </c>
      <c r="C20" t="s">
        <v>120</v>
      </c>
      <c r="D20" t="s">
        <v>27</v>
      </c>
      <c r="E20" t="s">
        <v>28</v>
      </c>
      <c r="F20" t="s">
        <v>19</v>
      </c>
      <c r="G20" t="s">
        <v>20</v>
      </c>
      <c r="H20" t="s">
        <v>21</v>
      </c>
      <c r="I20">
        <v>4459.5</v>
      </c>
      <c r="J20">
        <v>9</v>
      </c>
      <c r="K20" s="1">
        <v>0.1</v>
      </c>
      <c r="L20">
        <v>404.54</v>
      </c>
      <c r="M20" t="s">
        <v>22</v>
      </c>
      <c r="N20" t="s">
        <v>39</v>
      </c>
      <c r="O20" t="str">
        <f t="shared" si="0"/>
        <v>31/12/2025</v>
      </c>
      <c r="P20">
        <f t="shared" si="1"/>
        <v>2025</v>
      </c>
      <c r="Q20">
        <f t="shared" si="2"/>
        <v>12</v>
      </c>
      <c r="R20" t="str">
        <f t="shared" si="3"/>
        <v>December</v>
      </c>
      <c r="S20" t="str">
        <f t="shared" si="4"/>
        <v>Low</v>
      </c>
      <c r="T20" s="1">
        <f t="shared" si="5"/>
        <v>9.0714205628433686E-2</v>
      </c>
      <c r="U20">
        <f>SUM($I$2:I20)</f>
        <v>65557.600000000006</v>
      </c>
      <c r="V20" s="1">
        <f>Table1[[#This Row],[Running total ]]/SUM(I:I)</f>
        <v>1.8917457841741564E-2</v>
      </c>
    </row>
    <row r="21" spans="1:22" x14ac:dyDescent="0.3">
      <c r="A21" t="s">
        <v>121</v>
      </c>
      <c r="B21" t="s">
        <v>122</v>
      </c>
      <c r="C21" t="s">
        <v>123</v>
      </c>
      <c r="D21" t="s">
        <v>27</v>
      </c>
      <c r="E21" t="s">
        <v>124</v>
      </c>
      <c r="F21" t="s">
        <v>67</v>
      </c>
      <c r="G21" t="s">
        <v>85</v>
      </c>
      <c r="H21" t="s">
        <v>125</v>
      </c>
      <c r="I21">
        <v>1628.37</v>
      </c>
      <c r="J21">
        <v>3</v>
      </c>
      <c r="K21" s="1">
        <v>0.3</v>
      </c>
      <c r="L21">
        <v>-315.85000000000002</v>
      </c>
      <c r="M21" t="s">
        <v>63</v>
      </c>
      <c r="N21" t="s">
        <v>76</v>
      </c>
      <c r="O21" t="str">
        <f t="shared" si="0"/>
        <v>16/07/2025</v>
      </c>
      <c r="P21">
        <f t="shared" si="1"/>
        <v>2025</v>
      </c>
      <c r="Q21">
        <f t="shared" si="2"/>
        <v>7</v>
      </c>
      <c r="R21" t="str">
        <f t="shared" si="3"/>
        <v>July</v>
      </c>
      <c r="S21" t="str">
        <f t="shared" si="4"/>
        <v>Low</v>
      </c>
      <c r="T21" s="1">
        <f t="shared" si="5"/>
        <v>-0.19396697310807742</v>
      </c>
      <c r="U21">
        <f>SUM($I$2:I21)</f>
        <v>67185.97</v>
      </c>
      <c r="V21" s="1">
        <f>Table1[[#This Row],[Running total ]]/SUM(I:I)</f>
        <v>1.9387344183306184E-2</v>
      </c>
    </row>
    <row r="22" spans="1:22" x14ac:dyDescent="0.3">
      <c r="A22" t="s">
        <v>126</v>
      </c>
      <c r="B22" t="s">
        <v>127</v>
      </c>
      <c r="C22" t="s">
        <v>128</v>
      </c>
      <c r="D22" t="s">
        <v>17</v>
      </c>
      <c r="E22" t="s">
        <v>97</v>
      </c>
      <c r="F22" t="s">
        <v>55</v>
      </c>
      <c r="G22" t="s">
        <v>56</v>
      </c>
      <c r="H22" t="s">
        <v>129</v>
      </c>
      <c r="I22">
        <v>9072.99</v>
      </c>
      <c r="J22">
        <v>9</v>
      </c>
      <c r="K22" s="1">
        <v>0.2</v>
      </c>
      <c r="L22">
        <v>1494.8</v>
      </c>
      <c r="M22" t="s">
        <v>44</v>
      </c>
      <c r="N22" t="s">
        <v>76</v>
      </c>
      <c r="O22" t="str">
        <f t="shared" si="0"/>
        <v>20/12/2024</v>
      </c>
      <c r="P22">
        <f t="shared" si="1"/>
        <v>2024</v>
      </c>
      <c r="Q22">
        <f t="shared" si="2"/>
        <v>12</v>
      </c>
      <c r="R22" t="str">
        <f t="shared" si="3"/>
        <v>December</v>
      </c>
      <c r="S22" t="str">
        <f t="shared" si="4"/>
        <v>Low</v>
      </c>
      <c r="T22" s="1">
        <f t="shared" si="5"/>
        <v>0.16475274413396246</v>
      </c>
      <c r="U22">
        <f>SUM($I$2:I22)</f>
        <v>76258.960000000006</v>
      </c>
      <c r="V22" s="1">
        <f>Table1[[#This Row],[Running total ]]/SUM(I:I)</f>
        <v>2.2005467876417936E-2</v>
      </c>
    </row>
    <row r="23" spans="1:22" x14ac:dyDescent="0.3">
      <c r="A23" t="s">
        <v>130</v>
      </c>
      <c r="B23" t="s">
        <v>131</v>
      </c>
      <c r="C23" t="s">
        <v>132</v>
      </c>
      <c r="D23" t="s">
        <v>48</v>
      </c>
      <c r="E23" t="s">
        <v>73</v>
      </c>
      <c r="F23" t="s">
        <v>55</v>
      </c>
      <c r="G23" t="s">
        <v>74</v>
      </c>
      <c r="H23" t="s">
        <v>133</v>
      </c>
      <c r="I23">
        <v>1321.02</v>
      </c>
      <c r="J23">
        <v>2</v>
      </c>
      <c r="K23" s="1">
        <v>0.3</v>
      </c>
      <c r="L23">
        <v>66.61</v>
      </c>
      <c r="M23" t="s">
        <v>44</v>
      </c>
      <c r="N23" t="s">
        <v>32</v>
      </c>
      <c r="O23" t="str">
        <f t="shared" si="0"/>
        <v>14/01/2024</v>
      </c>
      <c r="P23">
        <f t="shared" si="1"/>
        <v>2024</v>
      </c>
      <c r="Q23">
        <f t="shared" si="2"/>
        <v>1</v>
      </c>
      <c r="R23" t="str">
        <f t="shared" si="3"/>
        <v>January</v>
      </c>
      <c r="S23" t="str">
        <f t="shared" si="4"/>
        <v>Low</v>
      </c>
      <c r="T23" s="1">
        <f t="shared" si="5"/>
        <v>5.0423157862863548E-2</v>
      </c>
      <c r="U23">
        <f>SUM($I$2:I23)</f>
        <v>77579.98000000001</v>
      </c>
      <c r="V23" s="1">
        <f>Table1[[#This Row],[Running total ]]/SUM(I:I)</f>
        <v>2.2386664566932803E-2</v>
      </c>
    </row>
    <row r="24" spans="1:22" x14ac:dyDescent="0.3">
      <c r="A24" t="s">
        <v>134</v>
      </c>
      <c r="B24" t="s">
        <v>135</v>
      </c>
      <c r="C24" t="s">
        <v>136</v>
      </c>
      <c r="D24" t="s">
        <v>137</v>
      </c>
      <c r="E24" t="s">
        <v>138</v>
      </c>
      <c r="F24" t="s">
        <v>55</v>
      </c>
      <c r="G24" t="s">
        <v>56</v>
      </c>
      <c r="H24" t="s">
        <v>129</v>
      </c>
      <c r="I24">
        <v>191.35</v>
      </c>
      <c r="J24">
        <v>1</v>
      </c>
      <c r="K24" s="1">
        <v>0.25</v>
      </c>
      <c r="L24">
        <v>-35.39</v>
      </c>
      <c r="M24" t="s">
        <v>117</v>
      </c>
      <c r="N24" t="s">
        <v>39</v>
      </c>
      <c r="O24" t="str">
        <f t="shared" si="0"/>
        <v>24/07/2025</v>
      </c>
      <c r="P24">
        <f t="shared" si="1"/>
        <v>2025</v>
      </c>
      <c r="Q24">
        <f t="shared" si="2"/>
        <v>7</v>
      </c>
      <c r="R24" t="str">
        <f t="shared" si="3"/>
        <v>July</v>
      </c>
      <c r="S24" t="str">
        <f t="shared" si="4"/>
        <v>Low</v>
      </c>
      <c r="T24" s="1">
        <f t="shared" si="5"/>
        <v>-0.18494904625032663</v>
      </c>
      <c r="U24">
        <f>SUM($I$2:I24)</f>
        <v>77771.330000000016</v>
      </c>
      <c r="V24" s="1">
        <f>Table1[[#This Row],[Running total ]]/SUM(I:I)</f>
        <v>2.2441880980560169E-2</v>
      </c>
    </row>
    <row r="25" spans="1:22" x14ac:dyDescent="0.3">
      <c r="A25" t="s">
        <v>139</v>
      </c>
      <c r="B25" t="s">
        <v>140</v>
      </c>
      <c r="C25" t="s">
        <v>141</v>
      </c>
      <c r="D25" t="s">
        <v>137</v>
      </c>
      <c r="E25" t="s">
        <v>142</v>
      </c>
      <c r="F25" t="s">
        <v>67</v>
      </c>
      <c r="G25" t="s">
        <v>85</v>
      </c>
      <c r="H25" t="s">
        <v>86</v>
      </c>
      <c r="I25">
        <v>6352.3</v>
      </c>
      <c r="J25">
        <v>10</v>
      </c>
      <c r="K25" s="1">
        <v>0</v>
      </c>
      <c r="L25">
        <v>1494.43</v>
      </c>
      <c r="M25" t="s">
        <v>143</v>
      </c>
      <c r="N25" t="s">
        <v>23</v>
      </c>
      <c r="O25" t="str">
        <f t="shared" si="0"/>
        <v>18/05/2024</v>
      </c>
      <c r="P25">
        <f t="shared" si="1"/>
        <v>2024</v>
      </c>
      <c r="Q25">
        <f t="shared" si="2"/>
        <v>5</v>
      </c>
      <c r="R25" t="str">
        <f t="shared" si="3"/>
        <v>May</v>
      </c>
      <c r="S25" t="str">
        <f t="shared" si="4"/>
        <v>No Discount</v>
      </c>
      <c r="T25" s="1">
        <f t="shared" si="5"/>
        <v>0.23525809549297105</v>
      </c>
      <c r="U25">
        <f>SUM($I$2:I25)</f>
        <v>84123.630000000019</v>
      </c>
      <c r="V25" s="1">
        <f>Table1[[#This Row],[Running total ]]/SUM(I:I)</f>
        <v>2.4274915860545022E-2</v>
      </c>
    </row>
    <row r="26" spans="1:22" x14ac:dyDescent="0.3">
      <c r="A26" t="s">
        <v>144</v>
      </c>
      <c r="B26" t="s">
        <v>145</v>
      </c>
      <c r="C26" t="s">
        <v>146</v>
      </c>
      <c r="D26" t="s">
        <v>27</v>
      </c>
      <c r="E26" t="s">
        <v>43</v>
      </c>
      <c r="F26" t="s">
        <v>55</v>
      </c>
      <c r="G26" t="s">
        <v>56</v>
      </c>
      <c r="H26" t="s">
        <v>57</v>
      </c>
      <c r="I26">
        <v>10778.04</v>
      </c>
      <c r="J26">
        <v>9</v>
      </c>
      <c r="K26" s="1">
        <v>0.15</v>
      </c>
      <c r="L26">
        <v>156.16</v>
      </c>
      <c r="M26" t="s">
        <v>44</v>
      </c>
      <c r="N26" t="s">
        <v>23</v>
      </c>
      <c r="O26" t="str">
        <f t="shared" si="0"/>
        <v>22/12/2024</v>
      </c>
      <c r="P26">
        <f t="shared" si="1"/>
        <v>2024</v>
      </c>
      <c r="Q26">
        <f t="shared" si="2"/>
        <v>12</v>
      </c>
      <c r="R26" t="str">
        <f t="shared" si="3"/>
        <v>December</v>
      </c>
      <c r="S26" t="str">
        <f t="shared" si="4"/>
        <v>Low</v>
      </c>
      <c r="T26" s="1">
        <f t="shared" si="5"/>
        <v>1.4488719655892907E-2</v>
      </c>
      <c r="U26">
        <f>SUM($I$2:I26)</f>
        <v>94901.670000000013</v>
      </c>
      <c r="V26" s="1">
        <f>Table1[[#This Row],[Running total ]]/SUM(I:I)</f>
        <v>2.7385052859407153E-2</v>
      </c>
    </row>
    <row r="27" spans="1:22" x14ac:dyDescent="0.3">
      <c r="A27" t="s">
        <v>147</v>
      </c>
      <c r="B27" t="s">
        <v>148</v>
      </c>
      <c r="C27" t="s">
        <v>149</v>
      </c>
      <c r="D27" t="s">
        <v>17</v>
      </c>
      <c r="E27" t="s">
        <v>97</v>
      </c>
      <c r="F27" t="s">
        <v>55</v>
      </c>
      <c r="G27" t="s">
        <v>98</v>
      </c>
      <c r="H27" t="s">
        <v>150</v>
      </c>
      <c r="I27">
        <v>2001.92</v>
      </c>
      <c r="J27">
        <v>8</v>
      </c>
      <c r="K27" s="1">
        <v>0.05</v>
      </c>
      <c r="L27">
        <v>505.07</v>
      </c>
      <c r="M27" t="s">
        <v>107</v>
      </c>
      <c r="N27" t="s">
        <v>23</v>
      </c>
      <c r="O27" t="str">
        <f t="shared" si="0"/>
        <v>02/09/2025</v>
      </c>
      <c r="P27">
        <f t="shared" si="1"/>
        <v>2025</v>
      </c>
      <c r="Q27">
        <f t="shared" si="2"/>
        <v>9</v>
      </c>
      <c r="R27" t="str">
        <f t="shared" si="3"/>
        <v>September</v>
      </c>
      <c r="S27" t="str">
        <f t="shared" si="4"/>
        <v>High</v>
      </c>
      <c r="T27" s="1">
        <f t="shared" si="5"/>
        <v>0.25229279891304346</v>
      </c>
      <c r="U27">
        <f>SUM($I$2:I27)</f>
        <v>96903.590000000011</v>
      </c>
      <c r="V27" s="1">
        <f>Table1[[#This Row],[Running total ]]/SUM(I:I)</f>
        <v>2.7962731682343613E-2</v>
      </c>
    </row>
    <row r="28" spans="1:22" x14ac:dyDescent="0.3">
      <c r="A28" t="s">
        <v>151</v>
      </c>
      <c r="B28" t="s">
        <v>152</v>
      </c>
      <c r="C28" t="s">
        <v>153</v>
      </c>
      <c r="D28" t="s">
        <v>137</v>
      </c>
      <c r="E28" t="s">
        <v>142</v>
      </c>
      <c r="F28" t="s">
        <v>55</v>
      </c>
      <c r="G28" t="s">
        <v>98</v>
      </c>
      <c r="H28" t="s">
        <v>154</v>
      </c>
      <c r="I28">
        <v>2181.9499999999998</v>
      </c>
      <c r="J28">
        <v>5</v>
      </c>
      <c r="K28" s="1">
        <v>0.3</v>
      </c>
      <c r="L28">
        <v>260.37</v>
      </c>
      <c r="M28" t="s">
        <v>107</v>
      </c>
      <c r="N28" t="s">
        <v>23</v>
      </c>
      <c r="O28" t="str">
        <f t="shared" si="0"/>
        <v>30/07/2024</v>
      </c>
      <c r="P28">
        <f t="shared" si="1"/>
        <v>2024</v>
      </c>
      <c r="Q28">
        <f t="shared" si="2"/>
        <v>7</v>
      </c>
      <c r="R28" t="str">
        <f t="shared" si="3"/>
        <v>July</v>
      </c>
      <c r="S28" t="str">
        <f t="shared" si="4"/>
        <v>Low</v>
      </c>
      <c r="T28" s="1">
        <f t="shared" si="5"/>
        <v>0.11932904053713422</v>
      </c>
      <c r="U28">
        <f>SUM($I$2:I28)</f>
        <v>99085.540000000008</v>
      </c>
      <c r="V28" s="1">
        <f>Table1[[#This Row],[Running total ]]/SUM(I:I)</f>
        <v>2.8592360392634835E-2</v>
      </c>
    </row>
    <row r="29" spans="1:22" x14ac:dyDescent="0.3">
      <c r="A29" t="s">
        <v>155</v>
      </c>
      <c r="B29" t="s">
        <v>156</v>
      </c>
      <c r="C29" t="s">
        <v>157</v>
      </c>
      <c r="D29" t="s">
        <v>48</v>
      </c>
      <c r="E29" t="s">
        <v>110</v>
      </c>
      <c r="F29" t="s">
        <v>67</v>
      </c>
      <c r="G29" t="s">
        <v>115</v>
      </c>
      <c r="H29" t="s">
        <v>116</v>
      </c>
      <c r="I29">
        <v>2112.54</v>
      </c>
      <c r="J29">
        <v>6</v>
      </c>
      <c r="K29" s="1">
        <v>0.05</v>
      </c>
      <c r="L29">
        <v>242.56</v>
      </c>
      <c r="M29" t="s">
        <v>44</v>
      </c>
      <c r="N29" t="s">
        <v>32</v>
      </c>
      <c r="O29" t="str">
        <f t="shared" si="0"/>
        <v>04/01/2024</v>
      </c>
      <c r="P29">
        <f t="shared" si="1"/>
        <v>2024</v>
      </c>
      <c r="Q29">
        <f t="shared" si="2"/>
        <v>1</v>
      </c>
      <c r="R29" t="str">
        <f t="shared" si="3"/>
        <v>January</v>
      </c>
      <c r="S29" t="str">
        <f t="shared" si="4"/>
        <v>High</v>
      </c>
      <c r="T29" s="1">
        <f t="shared" si="5"/>
        <v>0.11481912768515626</v>
      </c>
      <c r="U29">
        <f>SUM($I$2:I29)</f>
        <v>101198.08</v>
      </c>
      <c r="V29" s="1">
        <f>Table1[[#This Row],[Running total ]]/SUM(I:I)</f>
        <v>2.9201959987327025E-2</v>
      </c>
    </row>
    <row r="30" spans="1:22" x14ac:dyDescent="0.3">
      <c r="A30" t="s">
        <v>158</v>
      </c>
      <c r="B30" t="s">
        <v>59</v>
      </c>
      <c r="C30" t="s">
        <v>159</v>
      </c>
      <c r="D30" t="s">
        <v>137</v>
      </c>
      <c r="E30" t="s">
        <v>160</v>
      </c>
      <c r="F30" t="s">
        <v>55</v>
      </c>
      <c r="G30" t="s">
        <v>56</v>
      </c>
      <c r="H30" t="s">
        <v>129</v>
      </c>
      <c r="I30">
        <v>2720.6</v>
      </c>
      <c r="J30">
        <v>5</v>
      </c>
      <c r="K30" s="1">
        <v>0.05</v>
      </c>
      <c r="L30">
        <v>240.81</v>
      </c>
      <c r="M30" t="s">
        <v>107</v>
      </c>
      <c r="N30" t="s">
        <v>39</v>
      </c>
      <c r="O30" t="str">
        <f t="shared" si="0"/>
        <v>15/10/2024</v>
      </c>
      <c r="P30">
        <f t="shared" si="1"/>
        <v>2024</v>
      </c>
      <c r="Q30">
        <f t="shared" si="2"/>
        <v>10</v>
      </c>
      <c r="R30" t="str">
        <f t="shared" si="3"/>
        <v>October</v>
      </c>
      <c r="S30" t="str">
        <f t="shared" si="4"/>
        <v>High</v>
      </c>
      <c r="T30" s="1">
        <f t="shared" si="5"/>
        <v>8.8513563184591637E-2</v>
      </c>
      <c r="U30">
        <f>SUM($I$2:I30)</f>
        <v>103918.68000000001</v>
      </c>
      <c r="V30" s="1">
        <f>Table1[[#This Row],[Running total ]]/SUM(I:I)</f>
        <v>2.9987022829838682E-2</v>
      </c>
    </row>
    <row r="31" spans="1:22" x14ac:dyDescent="0.3">
      <c r="A31" t="s">
        <v>161</v>
      </c>
      <c r="B31" t="s">
        <v>162</v>
      </c>
      <c r="C31" t="s">
        <v>163</v>
      </c>
      <c r="D31" t="s">
        <v>48</v>
      </c>
      <c r="E31" t="s">
        <v>110</v>
      </c>
      <c r="F31" t="s">
        <v>67</v>
      </c>
      <c r="G31" t="s">
        <v>68</v>
      </c>
      <c r="H31" t="s">
        <v>103</v>
      </c>
      <c r="I31">
        <v>6996.29</v>
      </c>
      <c r="J31">
        <v>7</v>
      </c>
      <c r="K31" s="1">
        <v>0.3</v>
      </c>
      <c r="L31">
        <v>320.13</v>
      </c>
      <c r="M31" t="s">
        <v>87</v>
      </c>
      <c r="N31" t="s">
        <v>32</v>
      </c>
      <c r="O31" t="str">
        <f t="shared" si="0"/>
        <v>19/01/2025</v>
      </c>
      <c r="P31">
        <f t="shared" si="1"/>
        <v>2025</v>
      </c>
      <c r="Q31">
        <f t="shared" si="2"/>
        <v>1</v>
      </c>
      <c r="R31" t="str">
        <f t="shared" si="3"/>
        <v>January</v>
      </c>
      <c r="S31" t="str">
        <f t="shared" si="4"/>
        <v>Low</v>
      </c>
      <c r="T31" s="1">
        <f t="shared" si="5"/>
        <v>4.5757108410314606E-2</v>
      </c>
      <c r="U31">
        <f>SUM($I$2:I31)</f>
        <v>110914.97</v>
      </c>
      <c r="V31" s="1">
        <f>Table1[[#This Row],[Running total ]]/SUM(I:I)</f>
        <v>3.2005889004372193E-2</v>
      </c>
    </row>
    <row r="32" spans="1:22" x14ac:dyDescent="0.3">
      <c r="A32" t="s">
        <v>164</v>
      </c>
      <c r="B32" t="s">
        <v>165</v>
      </c>
      <c r="C32" t="s">
        <v>166</v>
      </c>
      <c r="D32" t="s">
        <v>27</v>
      </c>
      <c r="E32" t="s">
        <v>43</v>
      </c>
      <c r="F32" t="s">
        <v>19</v>
      </c>
      <c r="G32" t="s">
        <v>20</v>
      </c>
      <c r="H32" t="s">
        <v>21</v>
      </c>
      <c r="I32">
        <v>9500.58</v>
      </c>
      <c r="J32">
        <v>9</v>
      </c>
      <c r="K32" s="1">
        <v>0.3</v>
      </c>
      <c r="L32">
        <v>-133.25</v>
      </c>
      <c r="M32" t="s">
        <v>44</v>
      </c>
      <c r="N32" t="s">
        <v>32</v>
      </c>
      <c r="O32" t="str">
        <f t="shared" si="0"/>
        <v>06/01/2025</v>
      </c>
      <c r="P32">
        <f t="shared" si="1"/>
        <v>2025</v>
      </c>
      <c r="Q32">
        <f t="shared" si="2"/>
        <v>1</v>
      </c>
      <c r="R32" t="str">
        <f t="shared" si="3"/>
        <v>January</v>
      </c>
      <c r="S32" t="str">
        <f t="shared" si="4"/>
        <v>Low</v>
      </c>
      <c r="T32" s="1">
        <f t="shared" si="5"/>
        <v>-1.4025459498262212E-2</v>
      </c>
      <c r="U32">
        <f>SUM($I$2:I32)</f>
        <v>120415.55</v>
      </c>
      <c r="V32" s="1">
        <f>Table1[[#This Row],[Running total ]]/SUM(I:I)</f>
        <v>3.4747399090496352E-2</v>
      </c>
    </row>
    <row r="33" spans="1:22" x14ac:dyDescent="0.3">
      <c r="A33" t="s">
        <v>167</v>
      </c>
      <c r="B33" t="s">
        <v>168</v>
      </c>
      <c r="C33" t="s">
        <v>169</v>
      </c>
      <c r="D33" t="s">
        <v>137</v>
      </c>
      <c r="E33" t="s">
        <v>142</v>
      </c>
      <c r="F33" t="s">
        <v>19</v>
      </c>
      <c r="G33" t="s">
        <v>20</v>
      </c>
      <c r="H33" t="s">
        <v>21</v>
      </c>
      <c r="I33">
        <v>9145.17</v>
      </c>
      <c r="J33">
        <v>9</v>
      </c>
      <c r="K33" s="1">
        <v>0.2</v>
      </c>
      <c r="L33">
        <v>-374.38</v>
      </c>
      <c r="M33" t="s">
        <v>107</v>
      </c>
      <c r="N33" t="s">
        <v>39</v>
      </c>
      <c r="O33" t="str">
        <f t="shared" si="0"/>
        <v>22/04/2025</v>
      </c>
      <c r="P33">
        <f t="shared" si="1"/>
        <v>2025</v>
      </c>
      <c r="Q33">
        <f t="shared" si="2"/>
        <v>4</v>
      </c>
      <c r="R33" t="str">
        <f t="shared" si="3"/>
        <v>April</v>
      </c>
      <c r="S33" t="str">
        <f t="shared" si="4"/>
        <v>Low</v>
      </c>
      <c r="T33" s="1">
        <f t="shared" si="5"/>
        <v>-4.0937456602775014E-2</v>
      </c>
      <c r="U33">
        <f>SUM($I$2:I33)</f>
        <v>129560.72</v>
      </c>
      <c r="V33" s="1">
        <f>Table1[[#This Row],[Running total ]]/SUM(I:I)</f>
        <v>3.7386351217031787E-2</v>
      </c>
    </row>
    <row r="34" spans="1:22" x14ac:dyDescent="0.3">
      <c r="A34" t="s">
        <v>170</v>
      </c>
      <c r="B34" t="s">
        <v>171</v>
      </c>
      <c r="C34" t="s">
        <v>172</v>
      </c>
      <c r="D34" t="s">
        <v>17</v>
      </c>
      <c r="E34" t="s">
        <v>54</v>
      </c>
      <c r="F34" t="s">
        <v>55</v>
      </c>
      <c r="G34" t="s">
        <v>98</v>
      </c>
      <c r="H34" t="s">
        <v>99</v>
      </c>
      <c r="I34">
        <v>367.5</v>
      </c>
      <c r="J34">
        <v>10</v>
      </c>
      <c r="K34" s="1">
        <v>0.05</v>
      </c>
      <c r="L34">
        <v>143.15</v>
      </c>
      <c r="M34" t="s">
        <v>31</v>
      </c>
      <c r="N34" t="s">
        <v>32</v>
      </c>
      <c r="O34" t="str">
        <f t="shared" si="0"/>
        <v>10/07/2024</v>
      </c>
      <c r="P34">
        <f t="shared" si="1"/>
        <v>2024</v>
      </c>
      <c r="Q34">
        <f t="shared" si="2"/>
        <v>7</v>
      </c>
      <c r="R34" t="str">
        <f t="shared" si="3"/>
        <v>July</v>
      </c>
      <c r="S34" t="str">
        <f t="shared" si="4"/>
        <v>High</v>
      </c>
      <c r="T34" s="1">
        <f t="shared" si="5"/>
        <v>0.38952380952380955</v>
      </c>
      <c r="U34">
        <f>SUM($I$2:I34)</f>
        <v>129928.22</v>
      </c>
      <c r="V34" s="1">
        <f>Table1[[#This Row],[Running total ]]/SUM(I:I)</f>
        <v>3.7492397895934615E-2</v>
      </c>
    </row>
    <row r="35" spans="1:22" x14ac:dyDescent="0.3">
      <c r="A35" t="s">
        <v>173</v>
      </c>
      <c r="B35" t="s">
        <v>174</v>
      </c>
      <c r="C35" t="s">
        <v>175</v>
      </c>
      <c r="D35" t="s">
        <v>137</v>
      </c>
      <c r="E35" t="s">
        <v>138</v>
      </c>
      <c r="F35" t="s">
        <v>67</v>
      </c>
      <c r="G35" t="s">
        <v>85</v>
      </c>
      <c r="H35" t="s">
        <v>86</v>
      </c>
      <c r="I35">
        <v>1061.6600000000001</v>
      </c>
      <c r="J35">
        <v>1</v>
      </c>
      <c r="K35" s="1">
        <v>0</v>
      </c>
      <c r="L35">
        <v>422.8</v>
      </c>
      <c r="M35" t="s">
        <v>143</v>
      </c>
      <c r="N35" t="s">
        <v>76</v>
      </c>
      <c r="O35" t="str">
        <f t="shared" si="0"/>
        <v>21/06/2024</v>
      </c>
      <c r="P35">
        <f t="shared" si="1"/>
        <v>2024</v>
      </c>
      <c r="Q35">
        <f t="shared" si="2"/>
        <v>6</v>
      </c>
      <c r="R35" t="str">
        <f t="shared" si="3"/>
        <v>June</v>
      </c>
      <c r="S35" t="str">
        <f t="shared" si="4"/>
        <v>No Discount</v>
      </c>
      <c r="T35" s="1">
        <f t="shared" si="5"/>
        <v>0.39824425899063726</v>
      </c>
      <c r="U35">
        <f>SUM($I$2:I35)</f>
        <v>130989.88</v>
      </c>
      <c r="V35" s="1">
        <f>Table1[[#This Row],[Running total ]]/SUM(I:I)</f>
        <v>3.7798753044571289E-2</v>
      </c>
    </row>
    <row r="36" spans="1:22" x14ac:dyDescent="0.3">
      <c r="A36" t="s">
        <v>176</v>
      </c>
      <c r="B36" t="s">
        <v>177</v>
      </c>
      <c r="C36" t="s">
        <v>123</v>
      </c>
      <c r="D36" t="s">
        <v>27</v>
      </c>
      <c r="E36" t="s">
        <v>61</v>
      </c>
      <c r="F36" t="s">
        <v>67</v>
      </c>
      <c r="G36" t="s">
        <v>115</v>
      </c>
      <c r="H36" t="s">
        <v>178</v>
      </c>
      <c r="I36">
        <v>1527.6</v>
      </c>
      <c r="J36">
        <v>8</v>
      </c>
      <c r="K36" s="1">
        <v>0</v>
      </c>
      <c r="L36">
        <v>419.74</v>
      </c>
      <c r="M36" t="s">
        <v>22</v>
      </c>
      <c r="N36" t="s">
        <v>39</v>
      </c>
      <c r="O36" t="str">
        <f t="shared" si="0"/>
        <v>14/03/2025</v>
      </c>
      <c r="P36">
        <f t="shared" si="1"/>
        <v>2025</v>
      </c>
      <c r="Q36">
        <f t="shared" si="2"/>
        <v>3</v>
      </c>
      <c r="R36" t="str">
        <f t="shared" si="3"/>
        <v>March</v>
      </c>
      <c r="S36" t="str">
        <f t="shared" si="4"/>
        <v>No Discount</v>
      </c>
      <c r="T36" s="1">
        <f t="shared" si="5"/>
        <v>0.27477088242995551</v>
      </c>
      <c r="U36">
        <f>SUM($I$2:I36)</f>
        <v>132517.48000000001</v>
      </c>
      <c r="V36" s="1">
        <f>Table1[[#This Row],[Running total ]]/SUM(I:I)</f>
        <v>3.8239560953937164E-2</v>
      </c>
    </row>
    <row r="37" spans="1:22" x14ac:dyDescent="0.3">
      <c r="A37" t="s">
        <v>179</v>
      </c>
      <c r="B37" t="s">
        <v>180</v>
      </c>
      <c r="C37" t="s">
        <v>60</v>
      </c>
      <c r="D37" t="s">
        <v>17</v>
      </c>
      <c r="E37" t="s">
        <v>97</v>
      </c>
      <c r="F37" t="s">
        <v>67</v>
      </c>
      <c r="G37" t="s">
        <v>68</v>
      </c>
      <c r="H37" t="s">
        <v>69</v>
      </c>
      <c r="I37">
        <v>1241.5</v>
      </c>
      <c r="J37">
        <v>2</v>
      </c>
      <c r="K37" s="1">
        <v>0.25</v>
      </c>
      <c r="L37">
        <v>151.36000000000001</v>
      </c>
      <c r="M37" t="s">
        <v>63</v>
      </c>
      <c r="N37" t="s">
        <v>39</v>
      </c>
      <c r="O37" t="str">
        <f t="shared" si="0"/>
        <v>03/07/2024</v>
      </c>
      <c r="P37">
        <f t="shared" si="1"/>
        <v>2024</v>
      </c>
      <c r="Q37">
        <f t="shared" si="2"/>
        <v>7</v>
      </c>
      <c r="R37" t="str">
        <f t="shared" si="3"/>
        <v>July</v>
      </c>
      <c r="S37" t="str">
        <f t="shared" si="4"/>
        <v>Low</v>
      </c>
      <c r="T37" s="1">
        <f t="shared" si="5"/>
        <v>0.12191703584373742</v>
      </c>
      <c r="U37">
        <f>SUM($I$2:I37)</f>
        <v>133758.98000000001</v>
      </c>
      <c r="V37" s="1">
        <f>Table1[[#This Row],[Running total ]]/SUM(I:I)</f>
        <v>3.8597811163074203E-2</v>
      </c>
    </row>
    <row r="38" spans="1:22" x14ac:dyDescent="0.3">
      <c r="A38" t="s">
        <v>181</v>
      </c>
      <c r="B38" t="s">
        <v>182</v>
      </c>
      <c r="C38" t="s">
        <v>183</v>
      </c>
      <c r="D38" t="s">
        <v>17</v>
      </c>
      <c r="E38" t="s">
        <v>80</v>
      </c>
      <c r="F38" t="s">
        <v>67</v>
      </c>
      <c r="G38" t="s">
        <v>85</v>
      </c>
      <c r="H38" t="s">
        <v>86</v>
      </c>
      <c r="I38">
        <v>1378.65</v>
      </c>
      <c r="J38">
        <v>7</v>
      </c>
      <c r="K38" s="1">
        <v>0.05</v>
      </c>
      <c r="L38">
        <v>74.28</v>
      </c>
      <c r="M38" t="s">
        <v>31</v>
      </c>
      <c r="N38" t="s">
        <v>32</v>
      </c>
      <c r="O38" t="str">
        <f t="shared" si="0"/>
        <v>15/12/2024</v>
      </c>
      <c r="P38">
        <f t="shared" si="1"/>
        <v>2024</v>
      </c>
      <c r="Q38">
        <f t="shared" si="2"/>
        <v>12</v>
      </c>
      <c r="R38" t="str">
        <f t="shared" si="3"/>
        <v>December</v>
      </c>
      <c r="S38" t="str">
        <f t="shared" si="4"/>
        <v>High</v>
      </c>
      <c r="T38" s="1">
        <f t="shared" si="5"/>
        <v>5.3878794472853875E-2</v>
      </c>
      <c r="U38">
        <f>SUM($I$2:I38)</f>
        <v>135137.63</v>
      </c>
      <c r="V38" s="1">
        <f>Table1[[#This Row],[Running total ]]/SUM(I:I)</f>
        <v>3.899563770421538E-2</v>
      </c>
    </row>
    <row r="39" spans="1:22" x14ac:dyDescent="0.3">
      <c r="A39" t="s">
        <v>184</v>
      </c>
      <c r="B39" t="s">
        <v>185</v>
      </c>
      <c r="C39" t="s">
        <v>186</v>
      </c>
      <c r="D39" t="s">
        <v>48</v>
      </c>
      <c r="E39" t="s">
        <v>84</v>
      </c>
      <c r="F39" t="s">
        <v>67</v>
      </c>
      <c r="G39" t="s">
        <v>85</v>
      </c>
      <c r="H39" t="s">
        <v>125</v>
      </c>
      <c r="I39">
        <v>1707.48</v>
      </c>
      <c r="J39">
        <v>3</v>
      </c>
      <c r="K39" s="1">
        <v>0.2</v>
      </c>
      <c r="L39">
        <v>123.67</v>
      </c>
      <c r="M39" t="s">
        <v>31</v>
      </c>
      <c r="N39" t="s">
        <v>76</v>
      </c>
      <c r="O39" t="str">
        <f t="shared" si="0"/>
        <v>27/09/2025</v>
      </c>
      <c r="P39">
        <f t="shared" si="1"/>
        <v>2025</v>
      </c>
      <c r="Q39">
        <f t="shared" si="2"/>
        <v>9</v>
      </c>
      <c r="R39" t="str">
        <f t="shared" si="3"/>
        <v>September</v>
      </c>
      <c r="S39" t="str">
        <f t="shared" si="4"/>
        <v>Low</v>
      </c>
      <c r="T39" s="1">
        <f t="shared" si="5"/>
        <v>7.2428373978026095E-2</v>
      </c>
      <c r="U39">
        <f>SUM($I$2:I39)</f>
        <v>136845.11000000002</v>
      </c>
      <c r="V39" s="1">
        <f>Table1[[#This Row],[Running total ]]/SUM(I:I)</f>
        <v>3.9488352216577288E-2</v>
      </c>
    </row>
    <row r="40" spans="1:22" x14ac:dyDescent="0.3">
      <c r="A40" t="s">
        <v>187</v>
      </c>
      <c r="B40" t="s">
        <v>188</v>
      </c>
      <c r="C40" t="s">
        <v>189</v>
      </c>
      <c r="D40" t="s">
        <v>27</v>
      </c>
      <c r="E40" t="s">
        <v>124</v>
      </c>
      <c r="F40" t="s">
        <v>67</v>
      </c>
      <c r="G40" t="s">
        <v>115</v>
      </c>
      <c r="H40" t="s">
        <v>116</v>
      </c>
      <c r="I40">
        <v>3156.15</v>
      </c>
      <c r="J40">
        <v>5</v>
      </c>
      <c r="K40" s="1">
        <v>0.25</v>
      </c>
      <c r="L40">
        <v>-557.66999999999996</v>
      </c>
      <c r="M40" t="s">
        <v>117</v>
      </c>
      <c r="N40" t="s">
        <v>23</v>
      </c>
      <c r="O40" t="str">
        <f t="shared" si="0"/>
        <v>28/06/2025</v>
      </c>
      <c r="P40">
        <f t="shared" si="1"/>
        <v>2025</v>
      </c>
      <c r="Q40">
        <f t="shared" si="2"/>
        <v>6</v>
      </c>
      <c r="R40" t="str">
        <f t="shared" si="3"/>
        <v>June</v>
      </c>
      <c r="S40" t="str">
        <f t="shared" si="4"/>
        <v>Low</v>
      </c>
      <c r="T40" s="1">
        <f t="shared" si="5"/>
        <v>-0.1766931229504301</v>
      </c>
      <c r="U40">
        <f>SUM($I$2:I40)</f>
        <v>140001.26</v>
      </c>
      <c r="V40" s="1">
        <f>Table1[[#This Row],[Running total ]]/SUM(I:I)</f>
        <v>4.0399098408738267E-2</v>
      </c>
    </row>
    <row r="41" spans="1:22" x14ac:dyDescent="0.3">
      <c r="A41" t="s">
        <v>190</v>
      </c>
      <c r="B41" t="s">
        <v>191</v>
      </c>
      <c r="C41" t="s">
        <v>192</v>
      </c>
      <c r="D41" t="s">
        <v>137</v>
      </c>
      <c r="E41" t="s">
        <v>142</v>
      </c>
      <c r="F41" t="s">
        <v>67</v>
      </c>
      <c r="G41" t="s">
        <v>115</v>
      </c>
      <c r="H41" t="s">
        <v>178</v>
      </c>
      <c r="I41">
        <v>5676.9</v>
      </c>
      <c r="J41">
        <v>10</v>
      </c>
      <c r="K41" s="1">
        <v>0</v>
      </c>
      <c r="L41">
        <v>897.82</v>
      </c>
      <c r="M41" t="s">
        <v>107</v>
      </c>
      <c r="N41" t="s">
        <v>23</v>
      </c>
      <c r="O41" t="str">
        <f t="shared" si="0"/>
        <v>17/09/2025</v>
      </c>
      <c r="P41">
        <f t="shared" si="1"/>
        <v>2025</v>
      </c>
      <c r="Q41">
        <f t="shared" si="2"/>
        <v>9</v>
      </c>
      <c r="R41" t="str">
        <f t="shared" si="3"/>
        <v>September</v>
      </c>
      <c r="S41" t="str">
        <f t="shared" si="4"/>
        <v>No Discount</v>
      </c>
      <c r="T41" s="1">
        <f t="shared" si="5"/>
        <v>0.1581532174250031</v>
      </c>
      <c r="U41">
        <f>SUM($I$2:I41)</f>
        <v>145678.16</v>
      </c>
      <c r="V41" s="1">
        <f>Table1[[#This Row],[Running total ]]/SUM(I:I)</f>
        <v>4.2037238249455169E-2</v>
      </c>
    </row>
    <row r="42" spans="1:22" x14ac:dyDescent="0.3">
      <c r="A42" t="s">
        <v>193</v>
      </c>
      <c r="B42" t="s">
        <v>92</v>
      </c>
      <c r="C42" t="s">
        <v>194</v>
      </c>
      <c r="D42" t="s">
        <v>48</v>
      </c>
      <c r="E42" t="s">
        <v>110</v>
      </c>
      <c r="F42" t="s">
        <v>55</v>
      </c>
      <c r="G42" t="s">
        <v>56</v>
      </c>
      <c r="H42" t="s">
        <v>129</v>
      </c>
      <c r="I42">
        <v>8876.4</v>
      </c>
      <c r="J42">
        <v>10</v>
      </c>
      <c r="K42" s="1">
        <v>0.3</v>
      </c>
      <c r="L42">
        <v>26.45</v>
      </c>
      <c r="M42" t="s">
        <v>195</v>
      </c>
      <c r="N42" t="s">
        <v>76</v>
      </c>
      <c r="O42" t="str">
        <f t="shared" si="0"/>
        <v>20/05/2025</v>
      </c>
      <c r="P42">
        <f t="shared" si="1"/>
        <v>2025</v>
      </c>
      <c r="Q42">
        <f t="shared" si="2"/>
        <v>5</v>
      </c>
      <c r="R42" t="str">
        <f t="shared" si="3"/>
        <v>May</v>
      </c>
      <c r="S42" t="str">
        <f t="shared" si="4"/>
        <v>Low</v>
      </c>
      <c r="T42" s="1">
        <f t="shared" si="5"/>
        <v>2.9798116353476635E-3</v>
      </c>
      <c r="U42">
        <f>SUM($I$2:I42)</f>
        <v>154554.56</v>
      </c>
      <c r="V42" s="1">
        <f>Table1[[#This Row],[Running total ]]/SUM(I:I)</f>
        <v>4.4598633462007715E-2</v>
      </c>
    </row>
    <row r="43" spans="1:22" x14ac:dyDescent="0.3">
      <c r="A43" t="s">
        <v>196</v>
      </c>
      <c r="B43" t="s">
        <v>197</v>
      </c>
      <c r="C43" t="s">
        <v>198</v>
      </c>
      <c r="D43" t="s">
        <v>48</v>
      </c>
      <c r="E43" t="s">
        <v>49</v>
      </c>
      <c r="F43" t="s">
        <v>19</v>
      </c>
      <c r="G43" t="s">
        <v>29</v>
      </c>
      <c r="H43" t="s">
        <v>199</v>
      </c>
      <c r="I43">
        <v>7931.8</v>
      </c>
      <c r="J43">
        <v>10</v>
      </c>
      <c r="K43" s="1">
        <v>0</v>
      </c>
      <c r="L43">
        <v>3114.24</v>
      </c>
      <c r="M43" t="s">
        <v>117</v>
      </c>
      <c r="N43" t="s">
        <v>76</v>
      </c>
      <c r="O43" t="str">
        <f t="shared" si="0"/>
        <v>12/12/2025</v>
      </c>
      <c r="P43">
        <f t="shared" si="1"/>
        <v>2025</v>
      </c>
      <c r="Q43">
        <f t="shared" si="2"/>
        <v>12</v>
      </c>
      <c r="R43" t="str">
        <f t="shared" si="3"/>
        <v>December</v>
      </c>
      <c r="S43" t="str">
        <f t="shared" si="4"/>
        <v>No Discount</v>
      </c>
      <c r="T43" s="1">
        <f t="shared" si="5"/>
        <v>0.39262714642325824</v>
      </c>
      <c r="U43">
        <f>SUM($I$2:I43)</f>
        <v>162486.35999999999</v>
      </c>
      <c r="V43" s="1">
        <f>Table1[[#This Row],[Running total ]]/SUM(I:I)</f>
        <v>4.6887452639481041E-2</v>
      </c>
    </row>
    <row r="44" spans="1:22" x14ac:dyDescent="0.3">
      <c r="A44" t="s">
        <v>200</v>
      </c>
      <c r="B44" t="s">
        <v>201</v>
      </c>
      <c r="C44" t="s">
        <v>202</v>
      </c>
      <c r="D44" t="s">
        <v>48</v>
      </c>
      <c r="E44" t="s">
        <v>49</v>
      </c>
      <c r="F44" t="s">
        <v>55</v>
      </c>
      <c r="G44" t="s">
        <v>98</v>
      </c>
      <c r="H44" t="s">
        <v>150</v>
      </c>
      <c r="I44">
        <v>420.83</v>
      </c>
      <c r="J44">
        <v>1</v>
      </c>
      <c r="K44" s="1">
        <v>0.15</v>
      </c>
      <c r="L44">
        <v>77.02</v>
      </c>
      <c r="M44" t="s">
        <v>143</v>
      </c>
      <c r="N44" t="s">
        <v>32</v>
      </c>
      <c r="O44" t="str">
        <f t="shared" si="0"/>
        <v>03/10/2024</v>
      </c>
      <c r="P44">
        <f t="shared" si="1"/>
        <v>2024</v>
      </c>
      <c r="Q44">
        <f t="shared" si="2"/>
        <v>10</v>
      </c>
      <c r="R44" t="str">
        <f t="shared" si="3"/>
        <v>October</v>
      </c>
      <c r="S44" t="str">
        <f t="shared" si="4"/>
        <v>Low</v>
      </c>
      <c r="T44" s="1">
        <f t="shared" si="5"/>
        <v>0.18301927143977378</v>
      </c>
      <c r="U44">
        <f>SUM($I$2:I44)</f>
        <v>162907.18999999997</v>
      </c>
      <c r="V44" s="1">
        <f>Table1[[#This Row],[Running total ]]/SUM(I:I)</f>
        <v>4.7008888350726419E-2</v>
      </c>
    </row>
    <row r="45" spans="1:22" x14ac:dyDescent="0.3">
      <c r="A45" t="s">
        <v>203</v>
      </c>
      <c r="B45" t="s">
        <v>204</v>
      </c>
      <c r="C45" t="s">
        <v>205</v>
      </c>
      <c r="D45" t="s">
        <v>137</v>
      </c>
      <c r="E45" t="s">
        <v>138</v>
      </c>
      <c r="F45" t="s">
        <v>55</v>
      </c>
      <c r="G45" t="s">
        <v>74</v>
      </c>
      <c r="H45" t="s">
        <v>133</v>
      </c>
      <c r="I45">
        <v>1287.3</v>
      </c>
      <c r="J45">
        <v>2</v>
      </c>
      <c r="K45" s="1">
        <v>0.25</v>
      </c>
      <c r="L45">
        <v>128.31</v>
      </c>
      <c r="M45" t="s">
        <v>195</v>
      </c>
      <c r="N45" t="s">
        <v>32</v>
      </c>
      <c r="O45" t="str">
        <f t="shared" si="0"/>
        <v>18/11/2025</v>
      </c>
      <c r="P45">
        <f t="shared" si="1"/>
        <v>2025</v>
      </c>
      <c r="Q45">
        <f t="shared" si="2"/>
        <v>11</v>
      </c>
      <c r="R45" t="str">
        <f t="shared" si="3"/>
        <v>November</v>
      </c>
      <c r="S45" t="str">
        <f t="shared" si="4"/>
        <v>Low</v>
      </c>
      <c r="T45" s="1">
        <f t="shared" si="5"/>
        <v>9.9673735725938017E-2</v>
      </c>
      <c r="U45">
        <f>SUM($I$2:I45)</f>
        <v>164194.48999999996</v>
      </c>
      <c r="V45" s="1">
        <f>Table1[[#This Row],[Running total ]]/SUM(I:I)</f>
        <v>4.7380354717397467E-2</v>
      </c>
    </row>
    <row r="46" spans="1:22" x14ac:dyDescent="0.3">
      <c r="A46" t="s">
        <v>206</v>
      </c>
      <c r="B46" t="s">
        <v>207</v>
      </c>
      <c r="C46" t="s">
        <v>208</v>
      </c>
      <c r="D46" t="s">
        <v>48</v>
      </c>
      <c r="E46" t="s">
        <v>49</v>
      </c>
      <c r="F46" t="s">
        <v>67</v>
      </c>
      <c r="G46" t="s">
        <v>115</v>
      </c>
      <c r="H46" t="s">
        <v>116</v>
      </c>
      <c r="I46">
        <v>34.42</v>
      </c>
      <c r="J46">
        <v>1</v>
      </c>
      <c r="K46" s="1">
        <v>0</v>
      </c>
      <c r="L46">
        <v>2.4300000000000002</v>
      </c>
      <c r="M46" t="s">
        <v>195</v>
      </c>
      <c r="N46" t="s">
        <v>76</v>
      </c>
      <c r="O46" t="str">
        <f t="shared" si="0"/>
        <v>25/06/2024</v>
      </c>
      <c r="P46">
        <f t="shared" si="1"/>
        <v>2024</v>
      </c>
      <c r="Q46">
        <f t="shared" si="2"/>
        <v>6</v>
      </c>
      <c r="R46" t="str">
        <f t="shared" si="3"/>
        <v>June</v>
      </c>
      <c r="S46" t="str">
        <f t="shared" si="4"/>
        <v>No Discount</v>
      </c>
      <c r="T46" s="1">
        <f t="shared" si="5"/>
        <v>7.0598489250435797E-2</v>
      </c>
      <c r="U46">
        <f>SUM($I$2:I46)</f>
        <v>164228.90999999997</v>
      </c>
      <c r="V46" s="1">
        <f>Table1[[#This Row],[Running total ]]/SUM(I:I)</f>
        <v>4.7390287034915386E-2</v>
      </c>
    </row>
    <row r="47" spans="1:22" x14ac:dyDescent="0.3">
      <c r="A47" t="s">
        <v>209</v>
      </c>
      <c r="B47" t="s">
        <v>210</v>
      </c>
      <c r="C47" t="s">
        <v>211</v>
      </c>
      <c r="D47" t="s">
        <v>27</v>
      </c>
      <c r="E47" t="s">
        <v>28</v>
      </c>
      <c r="F47" t="s">
        <v>67</v>
      </c>
      <c r="G47" t="s">
        <v>115</v>
      </c>
      <c r="H47" t="s">
        <v>212</v>
      </c>
      <c r="I47">
        <v>4291.29</v>
      </c>
      <c r="J47">
        <v>9</v>
      </c>
      <c r="K47" s="1">
        <v>0.3</v>
      </c>
      <c r="L47">
        <v>231.34</v>
      </c>
      <c r="M47" t="s">
        <v>117</v>
      </c>
      <c r="N47" t="s">
        <v>23</v>
      </c>
      <c r="O47" t="str">
        <f t="shared" si="0"/>
        <v>04/03/2024</v>
      </c>
      <c r="P47">
        <f t="shared" si="1"/>
        <v>2024</v>
      </c>
      <c r="Q47">
        <f t="shared" si="2"/>
        <v>3</v>
      </c>
      <c r="R47" t="str">
        <f t="shared" si="3"/>
        <v>March</v>
      </c>
      <c r="S47" t="str">
        <f t="shared" si="4"/>
        <v>Low</v>
      </c>
      <c r="T47" s="1">
        <f t="shared" si="5"/>
        <v>5.3909197467428213E-2</v>
      </c>
      <c r="U47">
        <f>SUM($I$2:I47)</f>
        <v>168520.19999999998</v>
      </c>
      <c r="V47" s="1">
        <f>Table1[[#This Row],[Running total ]]/SUM(I:I)</f>
        <v>4.8628591940245776E-2</v>
      </c>
    </row>
    <row r="48" spans="1:22" x14ac:dyDescent="0.3">
      <c r="A48" t="s">
        <v>213</v>
      </c>
      <c r="B48" t="s">
        <v>214</v>
      </c>
      <c r="C48" t="s">
        <v>215</v>
      </c>
      <c r="D48" t="s">
        <v>48</v>
      </c>
      <c r="E48" t="s">
        <v>49</v>
      </c>
      <c r="F48" t="s">
        <v>67</v>
      </c>
      <c r="G48" t="s">
        <v>85</v>
      </c>
      <c r="H48" t="s">
        <v>86</v>
      </c>
      <c r="I48">
        <v>9832.6</v>
      </c>
      <c r="J48">
        <v>10</v>
      </c>
      <c r="K48" s="1">
        <v>0.1</v>
      </c>
      <c r="L48">
        <v>-287.81</v>
      </c>
      <c r="M48" t="s">
        <v>63</v>
      </c>
      <c r="N48" t="s">
        <v>76</v>
      </c>
      <c r="O48" t="str">
        <f t="shared" si="0"/>
        <v>26/11/2025</v>
      </c>
      <c r="P48">
        <f t="shared" si="1"/>
        <v>2025</v>
      </c>
      <c r="Q48">
        <f t="shared" si="2"/>
        <v>11</v>
      </c>
      <c r="R48" t="str">
        <f t="shared" si="3"/>
        <v>November</v>
      </c>
      <c r="S48" t="str">
        <f t="shared" si="4"/>
        <v>Low</v>
      </c>
      <c r="T48" s="1">
        <f t="shared" si="5"/>
        <v>-2.9270996481093506E-2</v>
      </c>
      <c r="U48">
        <f>SUM($I$2:I48)</f>
        <v>178352.8</v>
      </c>
      <c r="V48" s="1">
        <f>Table1[[#This Row],[Running total ]]/SUM(I:I)</f>
        <v>5.1465910511619778E-2</v>
      </c>
    </row>
    <row r="49" spans="1:22" x14ac:dyDescent="0.3">
      <c r="A49" t="s">
        <v>216</v>
      </c>
      <c r="B49" t="s">
        <v>217</v>
      </c>
      <c r="C49" t="s">
        <v>218</v>
      </c>
      <c r="D49" t="s">
        <v>137</v>
      </c>
      <c r="E49" t="s">
        <v>138</v>
      </c>
      <c r="F49" t="s">
        <v>55</v>
      </c>
      <c r="G49" t="s">
        <v>74</v>
      </c>
      <c r="H49" t="s">
        <v>75</v>
      </c>
      <c r="I49">
        <v>1748.01</v>
      </c>
      <c r="J49">
        <v>3</v>
      </c>
      <c r="K49" s="1">
        <v>0</v>
      </c>
      <c r="L49">
        <v>437.68</v>
      </c>
      <c r="M49" t="s">
        <v>31</v>
      </c>
      <c r="N49" t="s">
        <v>39</v>
      </c>
      <c r="O49" t="str">
        <f t="shared" si="0"/>
        <v>17/08/2025</v>
      </c>
      <c r="P49">
        <f t="shared" si="1"/>
        <v>2025</v>
      </c>
      <c r="Q49">
        <f t="shared" si="2"/>
        <v>8</v>
      </c>
      <c r="R49" t="str">
        <f t="shared" si="3"/>
        <v>August</v>
      </c>
      <c r="S49" t="str">
        <f t="shared" si="4"/>
        <v>No Discount</v>
      </c>
      <c r="T49" s="1">
        <f t="shared" si="5"/>
        <v>0.25038758359505953</v>
      </c>
      <c r="U49">
        <f>SUM($I$2:I49)</f>
        <v>180100.81</v>
      </c>
      <c r="V49" s="1">
        <f>Table1[[#This Row],[Running total ]]/SUM(I:I)</f>
        <v>5.1970320457712112E-2</v>
      </c>
    </row>
    <row r="50" spans="1:22" x14ac:dyDescent="0.3">
      <c r="A50" t="s">
        <v>219</v>
      </c>
      <c r="B50" t="s">
        <v>220</v>
      </c>
      <c r="C50" t="s">
        <v>221</v>
      </c>
      <c r="D50" t="s">
        <v>48</v>
      </c>
      <c r="E50" t="s">
        <v>73</v>
      </c>
      <c r="F50" t="s">
        <v>19</v>
      </c>
      <c r="G50" t="s">
        <v>36</v>
      </c>
      <c r="H50" t="s">
        <v>222</v>
      </c>
      <c r="I50">
        <v>3379.23</v>
      </c>
      <c r="J50">
        <v>3</v>
      </c>
      <c r="K50" s="1">
        <v>0.15</v>
      </c>
      <c r="L50">
        <v>254.75</v>
      </c>
      <c r="M50" t="s">
        <v>143</v>
      </c>
      <c r="N50" t="s">
        <v>39</v>
      </c>
      <c r="O50" t="str">
        <f t="shared" si="0"/>
        <v>19/11/2024</v>
      </c>
      <c r="P50">
        <f t="shared" si="1"/>
        <v>2024</v>
      </c>
      <c r="Q50">
        <f t="shared" si="2"/>
        <v>11</v>
      </c>
      <c r="R50" t="str">
        <f t="shared" si="3"/>
        <v>November</v>
      </c>
      <c r="S50" t="str">
        <f t="shared" si="4"/>
        <v>Low</v>
      </c>
      <c r="T50" s="1">
        <f t="shared" si="5"/>
        <v>7.5386996445935911E-2</v>
      </c>
      <c r="U50">
        <f>SUM($I$2:I50)</f>
        <v>183480.04</v>
      </c>
      <c r="V50" s="1">
        <f>Table1[[#This Row],[Running total ]]/SUM(I:I)</f>
        <v>5.2945439148185044E-2</v>
      </c>
    </row>
    <row r="51" spans="1:22" x14ac:dyDescent="0.3">
      <c r="A51" t="s">
        <v>223</v>
      </c>
      <c r="B51" t="s">
        <v>224</v>
      </c>
      <c r="C51" t="s">
        <v>225</v>
      </c>
      <c r="D51" t="s">
        <v>137</v>
      </c>
      <c r="E51" t="s">
        <v>160</v>
      </c>
      <c r="F51" t="s">
        <v>55</v>
      </c>
      <c r="G51" t="s">
        <v>98</v>
      </c>
      <c r="H51" t="s">
        <v>99</v>
      </c>
      <c r="I51">
        <v>144.11000000000001</v>
      </c>
      <c r="J51">
        <v>1</v>
      </c>
      <c r="K51" s="1">
        <v>0.15</v>
      </c>
      <c r="L51">
        <v>12.24</v>
      </c>
      <c r="M51" t="s">
        <v>143</v>
      </c>
      <c r="N51" t="s">
        <v>76</v>
      </c>
      <c r="O51" t="str">
        <f t="shared" si="0"/>
        <v>14/05/2025</v>
      </c>
      <c r="P51">
        <f t="shared" si="1"/>
        <v>2025</v>
      </c>
      <c r="Q51">
        <f t="shared" si="2"/>
        <v>5</v>
      </c>
      <c r="R51" t="str">
        <f t="shared" si="3"/>
        <v>May</v>
      </c>
      <c r="S51" t="str">
        <f t="shared" si="4"/>
        <v>Low</v>
      </c>
      <c r="T51" s="1">
        <f t="shared" si="5"/>
        <v>8.4935119006314619E-2</v>
      </c>
      <c r="U51">
        <f>SUM($I$2:I51)</f>
        <v>183624.15</v>
      </c>
      <c r="V51" s="1">
        <f>Table1[[#This Row],[Running total ]]/SUM(I:I)</f>
        <v>5.2987023874434526E-2</v>
      </c>
    </row>
    <row r="52" spans="1:22" x14ac:dyDescent="0.3">
      <c r="A52" t="s">
        <v>226</v>
      </c>
      <c r="B52" t="s">
        <v>227</v>
      </c>
      <c r="C52" t="s">
        <v>228</v>
      </c>
      <c r="D52" t="s">
        <v>48</v>
      </c>
      <c r="E52" t="s">
        <v>49</v>
      </c>
      <c r="F52" t="s">
        <v>55</v>
      </c>
      <c r="G52" t="s">
        <v>56</v>
      </c>
      <c r="H52" t="s">
        <v>57</v>
      </c>
      <c r="I52">
        <v>211.6</v>
      </c>
      <c r="J52">
        <v>4</v>
      </c>
      <c r="K52" s="1">
        <v>0.25</v>
      </c>
      <c r="L52">
        <v>21.45</v>
      </c>
      <c r="M52" t="s">
        <v>117</v>
      </c>
      <c r="N52" t="s">
        <v>39</v>
      </c>
      <c r="O52" t="str">
        <f t="shared" si="0"/>
        <v>02/11/2025</v>
      </c>
      <c r="P52">
        <f t="shared" si="1"/>
        <v>2025</v>
      </c>
      <c r="Q52">
        <f t="shared" si="2"/>
        <v>11</v>
      </c>
      <c r="R52" t="str">
        <f t="shared" si="3"/>
        <v>November</v>
      </c>
      <c r="S52" t="str">
        <f t="shared" si="4"/>
        <v>Low</v>
      </c>
      <c r="T52" s="1">
        <f t="shared" si="5"/>
        <v>0.10137051039697542</v>
      </c>
      <c r="U52">
        <f>SUM($I$2:I52)</f>
        <v>183835.75</v>
      </c>
      <c r="V52" s="1">
        <f>Table1[[#This Row],[Running total ]]/SUM(I:I)</f>
        <v>5.3048083676491234E-2</v>
      </c>
    </row>
    <row r="53" spans="1:22" x14ac:dyDescent="0.3">
      <c r="A53" t="s">
        <v>229</v>
      </c>
      <c r="B53" t="s">
        <v>230</v>
      </c>
      <c r="C53" t="s">
        <v>175</v>
      </c>
      <c r="D53" t="s">
        <v>48</v>
      </c>
      <c r="E53" t="s">
        <v>84</v>
      </c>
      <c r="F53" t="s">
        <v>19</v>
      </c>
      <c r="G53" t="s">
        <v>36</v>
      </c>
      <c r="H53" t="s">
        <v>37</v>
      </c>
      <c r="I53">
        <v>2255.5</v>
      </c>
      <c r="J53">
        <v>2</v>
      </c>
      <c r="K53" s="1">
        <v>0.25</v>
      </c>
      <c r="L53">
        <v>161.21</v>
      </c>
      <c r="M53" t="s">
        <v>38</v>
      </c>
      <c r="N53" t="s">
        <v>23</v>
      </c>
      <c r="O53" t="str">
        <f t="shared" si="0"/>
        <v>28/03/2025</v>
      </c>
      <c r="P53">
        <f t="shared" si="1"/>
        <v>2025</v>
      </c>
      <c r="Q53">
        <f t="shared" si="2"/>
        <v>3</v>
      </c>
      <c r="R53" t="str">
        <f t="shared" si="3"/>
        <v>March</v>
      </c>
      <c r="S53" t="str">
        <f t="shared" si="4"/>
        <v>Low</v>
      </c>
      <c r="T53" s="1">
        <f t="shared" si="5"/>
        <v>7.1474174240744856E-2</v>
      </c>
      <c r="U53">
        <f>SUM($I$2:I53)</f>
        <v>186091.25</v>
      </c>
      <c r="V53" s="1">
        <f>Table1[[#This Row],[Running total ]]/SUM(I:I)</f>
        <v>5.3698936150682601E-2</v>
      </c>
    </row>
    <row r="54" spans="1:22" x14ac:dyDescent="0.3">
      <c r="A54" t="s">
        <v>231</v>
      </c>
      <c r="B54" t="s">
        <v>232</v>
      </c>
      <c r="C54" t="s">
        <v>194</v>
      </c>
      <c r="D54" t="s">
        <v>17</v>
      </c>
      <c r="E54" t="s">
        <v>80</v>
      </c>
      <c r="F54" t="s">
        <v>55</v>
      </c>
      <c r="G54" t="s">
        <v>98</v>
      </c>
      <c r="H54" t="s">
        <v>154</v>
      </c>
      <c r="I54">
        <v>6092.17</v>
      </c>
      <c r="J54">
        <v>7</v>
      </c>
      <c r="K54" s="1">
        <v>0.2</v>
      </c>
      <c r="L54">
        <v>-501.55</v>
      </c>
      <c r="M54" t="s">
        <v>143</v>
      </c>
      <c r="N54" t="s">
        <v>39</v>
      </c>
      <c r="O54" t="str">
        <f t="shared" si="0"/>
        <v>05/09/2024</v>
      </c>
      <c r="P54">
        <f t="shared" si="1"/>
        <v>2024</v>
      </c>
      <c r="Q54">
        <f t="shared" si="2"/>
        <v>9</v>
      </c>
      <c r="R54" t="str">
        <f t="shared" si="3"/>
        <v>September</v>
      </c>
      <c r="S54" t="str">
        <f t="shared" si="4"/>
        <v>Low</v>
      </c>
      <c r="T54" s="1">
        <f t="shared" si="5"/>
        <v>-8.2326986935689586E-2</v>
      </c>
      <c r="U54">
        <f>SUM($I$2:I54)</f>
        <v>192183.42</v>
      </c>
      <c r="V54" s="1">
        <f>Table1[[#This Row],[Running total ]]/SUM(I:I)</f>
        <v>5.5456907295747752E-2</v>
      </c>
    </row>
    <row r="55" spans="1:22" x14ac:dyDescent="0.3">
      <c r="A55" t="s">
        <v>233</v>
      </c>
      <c r="B55" t="s">
        <v>234</v>
      </c>
      <c r="C55" t="s">
        <v>235</v>
      </c>
      <c r="D55" t="s">
        <v>17</v>
      </c>
      <c r="E55" t="s">
        <v>54</v>
      </c>
      <c r="F55" t="s">
        <v>55</v>
      </c>
      <c r="G55" t="s">
        <v>74</v>
      </c>
      <c r="H55" t="s">
        <v>75</v>
      </c>
      <c r="I55">
        <v>6303.06</v>
      </c>
      <c r="J55">
        <v>9</v>
      </c>
      <c r="K55" s="1">
        <v>0.15</v>
      </c>
      <c r="L55">
        <v>-535.28</v>
      </c>
      <c r="M55" t="s">
        <v>38</v>
      </c>
      <c r="N55" t="s">
        <v>39</v>
      </c>
      <c r="O55" t="str">
        <f t="shared" si="0"/>
        <v>02/03/2025</v>
      </c>
      <c r="P55">
        <f t="shared" si="1"/>
        <v>2025</v>
      </c>
      <c r="Q55">
        <f t="shared" si="2"/>
        <v>3</v>
      </c>
      <c r="R55" t="str">
        <f t="shared" si="3"/>
        <v>March</v>
      </c>
      <c r="S55" t="str">
        <f t="shared" si="4"/>
        <v>Low</v>
      </c>
      <c r="T55" s="1">
        <f t="shared" si="5"/>
        <v>-8.4923830647336357E-2</v>
      </c>
      <c r="U55">
        <f>SUM($I$2:I55)</f>
        <v>198486.48</v>
      </c>
      <c r="V55" s="1">
        <f>Table1[[#This Row],[Running total ]]/SUM(I:I)</f>
        <v>5.7275733363571578E-2</v>
      </c>
    </row>
    <row r="56" spans="1:22" x14ac:dyDescent="0.3">
      <c r="A56" t="s">
        <v>236</v>
      </c>
      <c r="B56" t="s">
        <v>237</v>
      </c>
      <c r="C56" t="s">
        <v>238</v>
      </c>
      <c r="D56" t="s">
        <v>27</v>
      </c>
      <c r="E56" t="s">
        <v>124</v>
      </c>
      <c r="F56" t="s">
        <v>19</v>
      </c>
      <c r="G56" t="s">
        <v>20</v>
      </c>
      <c r="H56" t="s">
        <v>239</v>
      </c>
      <c r="I56">
        <v>4241.28</v>
      </c>
      <c r="J56">
        <v>4</v>
      </c>
      <c r="K56" s="1">
        <v>0.1</v>
      </c>
      <c r="L56">
        <v>-99.53</v>
      </c>
      <c r="M56" t="s">
        <v>22</v>
      </c>
      <c r="N56" t="s">
        <v>32</v>
      </c>
      <c r="O56" t="str">
        <f t="shared" si="0"/>
        <v>14/04/2025</v>
      </c>
      <c r="P56">
        <f t="shared" si="1"/>
        <v>2025</v>
      </c>
      <c r="Q56">
        <f t="shared" si="2"/>
        <v>4</v>
      </c>
      <c r="R56" t="str">
        <f t="shared" si="3"/>
        <v>April</v>
      </c>
      <c r="S56" t="str">
        <f t="shared" si="4"/>
        <v>Low</v>
      </c>
      <c r="T56" s="1">
        <f t="shared" si="5"/>
        <v>-2.3466972234797046E-2</v>
      </c>
      <c r="U56">
        <f>SUM($I$2:I56)</f>
        <v>202727.76</v>
      </c>
      <c r="V56" s="1">
        <f>Table1[[#This Row],[Running total ]]/SUM(I:I)</f>
        <v>5.8499607263699432E-2</v>
      </c>
    </row>
    <row r="57" spans="1:22" x14ac:dyDescent="0.3">
      <c r="A57" t="s">
        <v>240</v>
      </c>
      <c r="B57" t="s">
        <v>241</v>
      </c>
      <c r="C57" t="s">
        <v>83</v>
      </c>
      <c r="D57" t="s">
        <v>137</v>
      </c>
      <c r="E57" t="s">
        <v>242</v>
      </c>
      <c r="F57" t="s">
        <v>55</v>
      </c>
      <c r="G57" t="s">
        <v>56</v>
      </c>
      <c r="H57" t="s">
        <v>129</v>
      </c>
      <c r="I57">
        <v>4413.8999999999996</v>
      </c>
      <c r="J57">
        <v>5</v>
      </c>
      <c r="K57" s="1">
        <v>0.1</v>
      </c>
      <c r="L57">
        <v>1054.78</v>
      </c>
      <c r="M57" t="s">
        <v>87</v>
      </c>
      <c r="N57" t="s">
        <v>32</v>
      </c>
      <c r="O57" t="str">
        <f t="shared" si="0"/>
        <v>21/07/2025</v>
      </c>
      <c r="P57">
        <f t="shared" si="1"/>
        <v>2025</v>
      </c>
      <c r="Q57">
        <f t="shared" si="2"/>
        <v>7</v>
      </c>
      <c r="R57" t="str">
        <f t="shared" si="3"/>
        <v>July</v>
      </c>
      <c r="S57" t="str">
        <f t="shared" si="4"/>
        <v>Low</v>
      </c>
      <c r="T57" s="1">
        <f t="shared" si="5"/>
        <v>0.23896780624844244</v>
      </c>
      <c r="U57">
        <f>SUM($I$2:I57)</f>
        <v>207141.66</v>
      </c>
      <c r="V57" s="1">
        <f>Table1[[#This Row],[Running total ]]/SUM(I:I)</f>
        <v>5.9773292803860498E-2</v>
      </c>
    </row>
    <row r="58" spans="1:22" x14ac:dyDescent="0.3">
      <c r="A58" t="s">
        <v>243</v>
      </c>
      <c r="B58" t="s">
        <v>244</v>
      </c>
      <c r="C58" t="s">
        <v>102</v>
      </c>
      <c r="D58" t="s">
        <v>48</v>
      </c>
      <c r="E58" t="s">
        <v>84</v>
      </c>
      <c r="F58" t="s">
        <v>19</v>
      </c>
      <c r="G58" t="s">
        <v>36</v>
      </c>
      <c r="H58" t="s">
        <v>111</v>
      </c>
      <c r="I58">
        <v>631.05999999999995</v>
      </c>
      <c r="J58">
        <v>2</v>
      </c>
      <c r="K58" s="1">
        <v>0.2</v>
      </c>
      <c r="L58">
        <v>33.47</v>
      </c>
      <c r="M58" t="s">
        <v>117</v>
      </c>
      <c r="N58" t="s">
        <v>32</v>
      </c>
      <c r="O58" t="str">
        <f t="shared" si="0"/>
        <v>25/03/2025</v>
      </c>
      <c r="P58">
        <f t="shared" si="1"/>
        <v>2025</v>
      </c>
      <c r="Q58">
        <f t="shared" si="2"/>
        <v>3</v>
      </c>
      <c r="R58" t="str">
        <f t="shared" si="3"/>
        <v>March</v>
      </c>
      <c r="S58" t="str">
        <f t="shared" si="4"/>
        <v>Low</v>
      </c>
      <c r="T58" s="1">
        <f t="shared" si="5"/>
        <v>5.3037746014642034E-2</v>
      </c>
      <c r="U58">
        <f>SUM($I$2:I58)</f>
        <v>207772.72</v>
      </c>
      <c r="V58" s="1">
        <f>Table1[[#This Row],[Running total ]]/SUM(I:I)</f>
        <v>5.9955392986686125E-2</v>
      </c>
    </row>
    <row r="59" spans="1:22" x14ac:dyDescent="0.3">
      <c r="A59" t="s">
        <v>245</v>
      </c>
      <c r="B59" t="s">
        <v>246</v>
      </c>
      <c r="C59" t="s">
        <v>106</v>
      </c>
      <c r="D59" t="s">
        <v>27</v>
      </c>
      <c r="E59" t="s">
        <v>28</v>
      </c>
      <c r="F59" t="s">
        <v>55</v>
      </c>
      <c r="G59" t="s">
        <v>98</v>
      </c>
      <c r="H59" t="s">
        <v>150</v>
      </c>
      <c r="I59">
        <v>3151.8</v>
      </c>
      <c r="J59">
        <v>3</v>
      </c>
      <c r="K59" s="1">
        <v>0.15</v>
      </c>
      <c r="L59">
        <v>-313.58999999999997</v>
      </c>
      <c r="M59" t="s">
        <v>38</v>
      </c>
      <c r="N59" t="s">
        <v>39</v>
      </c>
      <c r="O59" t="str">
        <f t="shared" si="0"/>
        <v>21/08/2025</v>
      </c>
      <c r="P59">
        <f t="shared" si="1"/>
        <v>2025</v>
      </c>
      <c r="Q59">
        <f t="shared" si="2"/>
        <v>8</v>
      </c>
      <c r="R59" t="str">
        <f t="shared" si="3"/>
        <v>August</v>
      </c>
      <c r="S59" t="str">
        <f t="shared" si="4"/>
        <v>Low</v>
      </c>
      <c r="T59" s="1">
        <f t="shared" si="5"/>
        <v>-9.9495526365886142E-2</v>
      </c>
      <c r="U59">
        <f>SUM($I$2:I59)</f>
        <v>210924.52</v>
      </c>
      <c r="V59" s="1">
        <f>Table1[[#This Row],[Running total ]]/SUM(I:I)</f>
        <v>6.0864883932443763E-2</v>
      </c>
    </row>
    <row r="60" spans="1:22" x14ac:dyDescent="0.3">
      <c r="A60" t="s">
        <v>247</v>
      </c>
      <c r="B60" t="s">
        <v>248</v>
      </c>
      <c r="C60" t="s">
        <v>249</v>
      </c>
      <c r="D60" t="s">
        <v>137</v>
      </c>
      <c r="E60" t="s">
        <v>142</v>
      </c>
      <c r="F60" t="s">
        <v>55</v>
      </c>
      <c r="G60" t="s">
        <v>98</v>
      </c>
      <c r="H60" t="s">
        <v>154</v>
      </c>
      <c r="I60">
        <v>481.87</v>
      </c>
      <c r="J60">
        <v>1</v>
      </c>
      <c r="K60" s="1">
        <v>0</v>
      </c>
      <c r="L60">
        <v>68.03</v>
      </c>
      <c r="M60" t="s">
        <v>63</v>
      </c>
      <c r="N60" t="s">
        <v>23</v>
      </c>
      <c r="O60" t="str">
        <f t="shared" si="0"/>
        <v>29/05/2025</v>
      </c>
      <c r="P60">
        <f t="shared" si="1"/>
        <v>2025</v>
      </c>
      <c r="Q60">
        <f t="shared" si="2"/>
        <v>5</v>
      </c>
      <c r="R60" t="str">
        <f t="shared" si="3"/>
        <v>May</v>
      </c>
      <c r="S60" t="str">
        <f t="shared" si="4"/>
        <v>No Discount</v>
      </c>
      <c r="T60" s="1">
        <f t="shared" si="5"/>
        <v>0.14117915620395544</v>
      </c>
      <c r="U60">
        <f>SUM($I$2:I60)</f>
        <v>211406.38999999998</v>
      </c>
      <c r="V60" s="1">
        <f>Table1[[#This Row],[Running total ]]/SUM(I:I)</f>
        <v>6.1003933492070714E-2</v>
      </c>
    </row>
    <row r="61" spans="1:22" x14ac:dyDescent="0.3">
      <c r="A61" t="s">
        <v>250</v>
      </c>
      <c r="B61" t="s">
        <v>251</v>
      </c>
      <c r="C61" t="s">
        <v>252</v>
      </c>
      <c r="D61" t="s">
        <v>27</v>
      </c>
      <c r="E61" t="s">
        <v>61</v>
      </c>
      <c r="F61" t="s">
        <v>67</v>
      </c>
      <c r="G61" t="s">
        <v>85</v>
      </c>
      <c r="H61" t="s">
        <v>253</v>
      </c>
      <c r="I61">
        <v>227.48</v>
      </c>
      <c r="J61">
        <v>4</v>
      </c>
      <c r="K61" s="1">
        <v>0</v>
      </c>
      <c r="L61">
        <v>26.5</v>
      </c>
      <c r="M61" t="s">
        <v>22</v>
      </c>
      <c r="N61" t="s">
        <v>32</v>
      </c>
      <c r="O61" t="str">
        <f t="shared" si="0"/>
        <v>06/04/2024</v>
      </c>
      <c r="P61">
        <f t="shared" si="1"/>
        <v>2024</v>
      </c>
      <c r="Q61">
        <f t="shared" si="2"/>
        <v>4</v>
      </c>
      <c r="R61" t="str">
        <f t="shared" si="3"/>
        <v>April</v>
      </c>
      <c r="S61" t="str">
        <f t="shared" si="4"/>
        <v>No Discount</v>
      </c>
      <c r="T61" s="1">
        <f t="shared" si="5"/>
        <v>0.11649375769298401</v>
      </c>
      <c r="U61">
        <f>SUM($I$2:I61)</f>
        <v>211633.87</v>
      </c>
      <c r="V61" s="1">
        <f>Table1[[#This Row],[Running total ]]/SUM(I:I)</f>
        <v>6.106957566490559E-2</v>
      </c>
    </row>
    <row r="62" spans="1:22" x14ac:dyDescent="0.3">
      <c r="A62" t="s">
        <v>254</v>
      </c>
      <c r="B62" t="s">
        <v>255</v>
      </c>
      <c r="C62" t="s">
        <v>256</v>
      </c>
      <c r="D62" t="s">
        <v>48</v>
      </c>
      <c r="E62" t="s">
        <v>73</v>
      </c>
      <c r="F62" t="s">
        <v>19</v>
      </c>
      <c r="G62" t="s">
        <v>36</v>
      </c>
      <c r="H62" t="s">
        <v>37</v>
      </c>
      <c r="I62">
        <v>393.15</v>
      </c>
      <c r="J62">
        <v>1</v>
      </c>
      <c r="K62" s="1">
        <v>0.25</v>
      </c>
      <c r="L62">
        <v>65.510000000000005</v>
      </c>
      <c r="M62" t="s">
        <v>107</v>
      </c>
      <c r="N62" t="s">
        <v>32</v>
      </c>
      <c r="O62" t="str">
        <f t="shared" si="0"/>
        <v>29/04/2024</v>
      </c>
      <c r="P62">
        <f t="shared" si="1"/>
        <v>2024</v>
      </c>
      <c r="Q62">
        <f t="shared" si="2"/>
        <v>4</v>
      </c>
      <c r="R62" t="str">
        <f t="shared" si="3"/>
        <v>April</v>
      </c>
      <c r="S62" t="str">
        <f t="shared" si="4"/>
        <v>Low</v>
      </c>
      <c r="T62" s="1">
        <f t="shared" si="5"/>
        <v>0.16662851329009287</v>
      </c>
      <c r="U62">
        <f>SUM($I$2:I62)</f>
        <v>212027.02</v>
      </c>
      <c r="V62" s="1">
        <f>Table1[[#This Row],[Running total ]]/SUM(I:I)</f>
        <v>6.1183023969152248E-2</v>
      </c>
    </row>
    <row r="63" spans="1:22" x14ac:dyDescent="0.3">
      <c r="A63" t="s">
        <v>257</v>
      </c>
      <c r="B63" t="s">
        <v>258</v>
      </c>
      <c r="C63" t="s">
        <v>259</v>
      </c>
      <c r="D63" t="s">
        <v>48</v>
      </c>
      <c r="E63" t="s">
        <v>73</v>
      </c>
      <c r="F63" t="s">
        <v>19</v>
      </c>
      <c r="G63" t="s">
        <v>36</v>
      </c>
      <c r="H63" t="s">
        <v>37</v>
      </c>
      <c r="I63">
        <v>6072.3</v>
      </c>
      <c r="J63">
        <v>6</v>
      </c>
      <c r="K63" s="1">
        <v>0.05</v>
      </c>
      <c r="L63">
        <v>1513.48</v>
      </c>
      <c r="M63" t="s">
        <v>143</v>
      </c>
      <c r="N63" t="s">
        <v>76</v>
      </c>
      <c r="O63" t="str">
        <f t="shared" si="0"/>
        <v>11/09/2024</v>
      </c>
      <c r="P63">
        <f t="shared" si="1"/>
        <v>2024</v>
      </c>
      <c r="Q63">
        <f t="shared" si="2"/>
        <v>9</v>
      </c>
      <c r="R63" t="str">
        <f t="shared" si="3"/>
        <v>September</v>
      </c>
      <c r="S63" t="str">
        <f t="shared" si="4"/>
        <v>High</v>
      </c>
      <c r="T63" s="1">
        <f t="shared" si="5"/>
        <v>0.24924328508143537</v>
      </c>
      <c r="U63">
        <f>SUM($I$2:I63)</f>
        <v>218099.31999999998</v>
      </c>
      <c r="V63" s="1">
        <f>Table1[[#This Row],[Running total ]]/SUM(I:I)</f>
        <v>6.2935261379496843E-2</v>
      </c>
    </row>
    <row r="64" spans="1:22" x14ac:dyDescent="0.3">
      <c r="A64" t="s">
        <v>260</v>
      </c>
      <c r="B64" t="s">
        <v>261</v>
      </c>
      <c r="C64" t="s">
        <v>262</v>
      </c>
      <c r="D64" t="s">
        <v>17</v>
      </c>
      <c r="E64" t="s">
        <v>80</v>
      </c>
      <c r="F64" t="s">
        <v>67</v>
      </c>
      <c r="G64" t="s">
        <v>85</v>
      </c>
      <c r="H64" t="s">
        <v>253</v>
      </c>
      <c r="I64">
        <v>4085.88</v>
      </c>
      <c r="J64">
        <v>4</v>
      </c>
      <c r="K64" s="1">
        <v>0.25</v>
      </c>
      <c r="L64">
        <v>-435.9</v>
      </c>
      <c r="M64" t="s">
        <v>22</v>
      </c>
      <c r="N64" t="s">
        <v>76</v>
      </c>
      <c r="O64" t="str">
        <f t="shared" si="0"/>
        <v>15/02/2024</v>
      </c>
      <c r="P64">
        <f t="shared" si="1"/>
        <v>2024</v>
      </c>
      <c r="Q64">
        <f t="shared" si="2"/>
        <v>2</v>
      </c>
      <c r="R64" t="str">
        <f t="shared" si="3"/>
        <v>February</v>
      </c>
      <c r="S64" t="str">
        <f t="shared" si="4"/>
        <v>Low</v>
      </c>
      <c r="T64" s="1">
        <f t="shared" si="5"/>
        <v>-0.10668448412581867</v>
      </c>
      <c r="U64">
        <f>SUM($I$2:I64)</f>
        <v>222185.19999999998</v>
      </c>
      <c r="V64" s="1">
        <f>Table1[[#This Row],[Running total ]]/SUM(I:I)</f>
        <v>6.4114292683974353E-2</v>
      </c>
    </row>
    <row r="65" spans="1:22" x14ac:dyDescent="0.3">
      <c r="A65" t="s">
        <v>263</v>
      </c>
      <c r="B65" t="s">
        <v>264</v>
      </c>
      <c r="C65" t="s">
        <v>265</v>
      </c>
      <c r="D65" t="s">
        <v>137</v>
      </c>
      <c r="E65" t="s">
        <v>242</v>
      </c>
      <c r="F65" t="s">
        <v>55</v>
      </c>
      <c r="G65" t="s">
        <v>98</v>
      </c>
      <c r="H65" t="s">
        <v>99</v>
      </c>
      <c r="I65">
        <v>1820.8</v>
      </c>
      <c r="J65">
        <v>2</v>
      </c>
      <c r="K65" s="1">
        <v>0.05</v>
      </c>
      <c r="L65">
        <v>538.82000000000005</v>
      </c>
      <c r="M65" t="s">
        <v>38</v>
      </c>
      <c r="N65" t="s">
        <v>32</v>
      </c>
      <c r="O65" t="str">
        <f t="shared" si="0"/>
        <v>06/02/2025</v>
      </c>
      <c r="P65">
        <f t="shared" si="1"/>
        <v>2025</v>
      </c>
      <c r="Q65">
        <f t="shared" si="2"/>
        <v>2</v>
      </c>
      <c r="R65" t="str">
        <f t="shared" si="3"/>
        <v>February</v>
      </c>
      <c r="S65" t="str">
        <f t="shared" si="4"/>
        <v>High</v>
      </c>
      <c r="T65" s="1">
        <f t="shared" si="5"/>
        <v>0.29592486818980673</v>
      </c>
      <c r="U65">
        <f>SUM($I$2:I65)</f>
        <v>224005.99999999997</v>
      </c>
      <c r="V65" s="1">
        <f>Table1[[#This Row],[Running total ]]/SUM(I:I)</f>
        <v>6.4639707086549231E-2</v>
      </c>
    </row>
    <row r="66" spans="1:22" x14ac:dyDescent="0.3">
      <c r="A66" t="s">
        <v>266</v>
      </c>
      <c r="B66" t="s">
        <v>267</v>
      </c>
      <c r="C66" t="s">
        <v>268</v>
      </c>
      <c r="D66" t="s">
        <v>137</v>
      </c>
      <c r="E66" t="s">
        <v>160</v>
      </c>
      <c r="F66" t="s">
        <v>55</v>
      </c>
      <c r="G66" t="s">
        <v>56</v>
      </c>
      <c r="H66" t="s">
        <v>57</v>
      </c>
      <c r="I66">
        <v>200.08</v>
      </c>
      <c r="J66">
        <v>1</v>
      </c>
      <c r="K66" s="1">
        <v>0.05</v>
      </c>
      <c r="L66">
        <v>36.46</v>
      </c>
      <c r="M66" t="s">
        <v>107</v>
      </c>
      <c r="N66" t="s">
        <v>39</v>
      </c>
      <c r="O66" t="str">
        <f t="shared" si="0"/>
        <v>04/10/2024</v>
      </c>
      <c r="P66">
        <f t="shared" si="1"/>
        <v>2024</v>
      </c>
      <c r="Q66">
        <f t="shared" si="2"/>
        <v>10</v>
      </c>
      <c r="R66" t="str">
        <f t="shared" si="3"/>
        <v>October</v>
      </c>
      <c r="S66" t="str">
        <f t="shared" si="4"/>
        <v>High</v>
      </c>
      <c r="T66" s="1">
        <f t="shared" si="5"/>
        <v>0.18222710915633747</v>
      </c>
      <c r="U66">
        <f>SUM($I$2:I66)</f>
        <v>224206.07999999996</v>
      </c>
      <c r="V66" s="1">
        <f>Table1[[#This Row],[Running total ]]/SUM(I:I)</f>
        <v>6.4697442649855025E-2</v>
      </c>
    </row>
    <row r="67" spans="1:22" x14ac:dyDescent="0.3">
      <c r="A67" t="s">
        <v>269</v>
      </c>
      <c r="B67" t="s">
        <v>270</v>
      </c>
      <c r="C67" t="s">
        <v>271</v>
      </c>
      <c r="D67" t="s">
        <v>137</v>
      </c>
      <c r="E67" t="s">
        <v>142</v>
      </c>
      <c r="F67" t="s">
        <v>55</v>
      </c>
      <c r="G67" t="s">
        <v>74</v>
      </c>
      <c r="H67" t="s">
        <v>272</v>
      </c>
      <c r="I67">
        <v>1923.48</v>
      </c>
      <c r="J67">
        <v>6</v>
      </c>
      <c r="K67" s="1">
        <v>0</v>
      </c>
      <c r="L67">
        <v>725.05</v>
      </c>
      <c r="M67" t="s">
        <v>31</v>
      </c>
      <c r="N67" t="s">
        <v>39</v>
      </c>
      <c r="O67" t="str">
        <f t="shared" ref="O67:O130" si="6">TEXT(B67,"dd/mm/yyyy")</f>
        <v>18/02/2025</v>
      </c>
      <c r="P67">
        <f t="shared" ref="P67:P130" si="7">YEAR(O67)</f>
        <v>2025</v>
      </c>
      <c r="Q67">
        <f t="shared" ref="Q67:Q130" si="8">MONTH(O67)</f>
        <v>2</v>
      </c>
      <c r="R67" t="str">
        <f t="shared" ref="R67:R130" si="9">TEXT(O67,"mmmm")</f>
        <v>February</v>
      </c>
      <c r="S67" t="str">
        <f t="shared" ref="S67:S130" si="10">IF(K67=0,"No Discount",IF(K67&gt;=0.1,"Low",IF(K67&gt;=0.2,"Medium","High")))</f>
        <v>No Discount</v>
      </c>
      <c r="T67" s="1">
        <f t="shared" ref="T67:T130" si="11">SUM(L67)/SUM(I67)</f>
        <v>0.37694699191049552</v>
      </c>
      <c r="U67">
        <f>SUM($I$2:I67)</f>
        <v>226129.55999999997</v>
      </c>
      <c r="V67" s="1">
        <f>Table1[[#This Row],[Running total ]]/SUM(I:I)</f>
        <v>6.5252486638796556E-2</v>
      </c>
    </row>
    <row r="68" spans="1:22" x14ac:dyDescent="0.3">
      <c r="A68" t="s">
        <v>273</v>
      </c>
      <c r="B68" t="s">
        <v>274</v>
      </c>
      <c r="C68" t="s">
        <v>275</v>
      </c>
      <c r="D68" t="s">
        <v>48</v>
      </c>
      <c r="E68" t="s">
        <v>49</v>
      </c>
      <c r="F68" t="s">
        <v>67</v>
      </c>
      <c r="G68" t="s">
        <v>68</v>
      </c>
      <c r="H68" t="s">
        <v>103</v>
      </c>
      <c r="I68">
        <v>1025.8800000000001</v>
      </c>
      <c r="J68">
        <v>1</v>
      </c>
      <c r="K68" s="1">
        <v>0.1</v>
      </c>
      <c r="L68">
        <v>231.44</v>
      </c>
      <c r="M68" t="s">
        <v>143</v>
      </c>
      <c r="N68" t="s">
        <v>32</v>
      </c>
      <c r="O68" t="str">
        <f t="shared" si="6"/>
        <v>09/11/2024</v>
      </c>
      <c r="P68">
        <f t="shared" si="7"/>
        <v>2024</v>
      </c>
      <c r="Q68">
        <f t="shared" si="8"/>
        <v>11</v>
      </c>
      <c r="R68" t="str">
        <f t="shared" si="9"/>
        <v>November</v>
      </c>
      <c r="S68" t="str">
        <f t="shared" si="10"/>
        <v>Low</v>
      </c>
      <c r="T68" s="1">
        <f t="shared" si="11"/>
        <v>0.22560143486567627</v>
      </c>
      <c r="U68">
        <f>SUM($I$2:I68)</f>
        <v>227155.43999999997</v>
      </c>
      <c r="V68" s="1">
        <f>Table1[[#This Row],[Running total ]]/SUM(I:I)</f>
        <v>6.5548517025062772E-2</v>
      </c>
    </row>
    <row r="69" spans="1:22" x14ac:dyDescent="0.3">
      <c r="A69" t="s">
        <v>276</v>
      </c>
      <c r="B69" t="s">
        <v>277</v>
      </c>
      <c r="C69" t="s">
        <v>278</v>
      </c>
      <c r="D69" t="s">
        <v>137</v>
      </c>
      <c r="E69" t="s">
        <v>138</v>
      </c>
      <c r="F69" t="s">
        <v>55</v>
      </c>
      <c r="G69" t="s">
        <v>74</v>
      </c>
      <c r="H69" t="s">
        <v>133</v>
      </c>
      <c r="I69">
        <v>650.30999999999995</v>
      </c>
      <c r="J69">
        <v>3</v>
      </c>
      <c r="K69" s="1">
        <v>0</v>
      </c>
      <c r="L69">
        <v>44.81</v>
      </c>
      <c r="M69" t="s">
        <v>22</v>
      </c>
      <c r="N69" t="s">
        <v>23</v>
      </c>
      <c r="O69" t="str">
        <f t="shared" si="6"/>
        <v>30/12/2025</v>
      </c>
      <c r="P69">
        <f t="shared" si="7"/>
        <v>2025</v>
      </c>
      <c r="Q69">
        <f t="shared" si="8"/>
        <v>12</v>
      </c>
      <c r="R69" t="str">
        <f t="shared" si="9"/>
        <v>December</v>
      </c>
      <c r="S69" t="str">
        <f t="shared" si="10"/>
        <v>No Discount</v>
      </c>
      <c r="T69" s="1">
        <f t="shared" si="11"/>
        <v>6.8905598868232082E-2</v>
      </c>
      <c r="U69">
        <f>SUM($I$2:I69)</f>
        <v>227805.74999999997</v>
      </c>
      <c r="V69" s="1">
        <f>Table1[[#This Row],[Running total ]]/SUM(I:I)</f>
        <v>6.5736172033926163E-2</v>
      </c>
    </row>
    <row r="70" spans="1:22" x14ac:dyDescent="0.3">
      <c r="A70" t="s">
        <v>279</v>
      </c>
      <c r="B70" t="s">
        <v>280</v>
      </c>
      <c r="C70" t="s">
        <v>281</v>
      </c>
      <c r="D70" t="s">
        <v>48</v>
      </c>
      <c r="E70" t="s">
        <v>84</v>
      </c>
      <c r="F70" t="s">
        <v>19</v>
      </c>
      <c r="G70" t="s">
        <v>29</v>
      </c>
      <c r="H70" t="s">
        <v>30</v>
      </c>
      <c r="I70">
        <v>5336.1</v>
      </c>
      <c r="J70">
        <v>7</v>
      </c>
      <c r="K70" s="1">
        <v>0.3</v>
      </c>
      <c r="L70">
        <v>-195.73</v>
      </c>
      <c r="M70" t="s">
        <v>31</v>
      </c>
      <c r="N70" t="s">
        <v>76</v>
      </c>
      <c r="O70" t="str">
        <f t="shared" si="6"/>
        <v>25/05/2024</v>
      </c>
      <c r="P70">
        <f t="shared" si="7"/>
        <v>2024</v>
      </c>
      <c r="Q70">
        <f t="shared" si="8"/>
        <v>5</v>
      </c>
      <c r="R70" t="str">
        <f t="shared" si="9"/>
        <v>May</v>
      </c>
      <c r="S70" t="str">
        <f t="shared" si="10"/>
        <v>Low</v>
      </c>
      <c r="T70" s="1">
        <f t="shared" si="11"/>
        <v>-3.6680347069957459E-2</v>
      </c>
      <c r="U70">
        <f>SUM($I$2:I70)</f>
        <v>233141.84999999998</v>
      </c>
      <c r="V70" s="1">
        <f>Table1[[#This Row],[Running total ]]/SUM(I:I)</f>
        <v>6.7275969811595226E-2</v>
      </c>
    </row>
    <row r="71" spans="1:22" x14ac:dyDescent="0.3">
      <c r="A71" t="s">
        <v>282</v>
      </c>
      <c r="B71" t="s">
        <v>283</v>
      </c>
      <c r="C71" t="s">
        <v>265</v>
      </c>
      <c r="D71" t="s">
        <v>48</v>
      </c>
      <c r="E71" t="s">
        <v>49</v>
      </c>
      <c r="F71" t="s">
        <v>67</v>
      </c>
      <c r="G71" t="s">
        <v>68</v>
      </c>
      <c r="H71" t="s">
        <v>103</v>
      </c>
      <c r="I71">
        <v>1407.5</v>
      </c>
      <c r="J71">
        <v>10</v>
      </c>
      <c r="K71" s="1">
        <v>0.15</v>
      </c>
      <c r="L71">
        <v>-29.92</v>
      </c>
      <c r="M71" t="s">
        <v>38</v>
      </c>
      <c r="N71" t="s">
        <v>23</v>
      </c>
      <c r="O71" t="str">
        <f t="shared" si="6"/>
        <v>08/08/2025</v>
      </c>
      <c r="P71">
        <f t="shared" si="7"/>
        <v>2025</v>
      </c>
      <c r="Q71">
        <f t="shared" si="8"/>
        <v>8</v>
      </c>
      <c r="R71" t="str">
        <f t="shared" si="9"/>
        <v>August</v>
      </c>
      <c r="S71" t="str">
        <f t="shared" si="10"/>
        <v>Low</v>
      </c>
      <c r="T71" s="1">
        <f t="shared" si="11"/>
        <v>-2.1257548845470695E-2</v>
      </c>
      <c r="U71">
        <f>SUM($I$2:I71)</f>
        <v>234549.34999999998</v>
      </c>
      <c r="V71" s="1">
        <f>Table1[[#This Row],[Running total ]]/SUM(I:I)</f>
        <v>6.7682121377733259E-2</v>
      </c>
    </row>
    <row r="72" spans="1:22" x14ac:dyDescent="0.3">
      <c r="A72" t="s">
        <v>284</v>
      </c>
      <c r="B72" t="s">
        <v>285</v>
      </c>
      <c r="C72" t="s">
        <v>286</v>
      </c>
      <c r="D72" t="s">
        <v>17</v>
      </c>
      <c r="E72" t="s">
        <v>18</v>
      </c>
      <c r="F72" t="s">
        <v>55</v>
      </c>
      <c r="G72" t="s">
        <v>98</v>
      </c>
      <c r="H72" t="s">
        <v>154</v>
      </c>
      <c r="I72">
        <v>7536.51</v>
      </c>
      <c r="J72">
        <v>9</v>
      </c>
      <c r="K72" s="1">
        <v>0.05</v>
      </c>
      <c r="L72">
        <v>544.58000000000004</v>
      </c>
      <c r="M72" t="s">
        <v>107</v>
      </c>
      <c r="N72" t="s">
        <v>76</v>
      </c>
      <c r="O72" t="str">
        <f t="shared" si="6"/>
        <v>12/09/2025</v>
      </c>
      <c r="P72">
        <f t="shared" si="7"/>
        <v>2025</v>
      </c>
      <c r="Q72">
        <f t="shared" si="8"/>
        <v>9</v>
      </c>
      <c r="R72" t="str">
        <f t="shared" si="9"/>
        <v>September</v>
      </c>
      <c r="S72" t="str">
        <f t="shared" si="10"/>
        <v>High</v>
      </c>
      <c r="T72" s="1">
        <f t="shared" si="11"/>
        <v>7.2258910291368286E-2</v>
      </c>
      <c r="U72">
        <f>SUM($I$2:I72)</f>
        <v>242085.86</v>
      </c>
      <c r="V72" s="1">
        <f>Table1[[#This Row],[Running total ]]/SUM(I:I)</f>
        <v>6.9856874727441981E-2</v>
      </c>
    </row>
    <row r="73" spans="1:22" x14ac:dyDescent="0.3">
      <c r="A73" t="s">
        <v>287</v>
      </c>
      <c r="B73" t="s">
        <v>288</v>
      </c>
      <c r="C73" t="s">
        <v>289</v>
      </c>
      <c r="D73" t="s">
        <v>137</v>
      </c>
      <c r="E73" t="s">
        <v>142</v>
      </c>
      <c r="F73" t="s">
        <v>67</v>
      </c>
      <c r="G73" t="s">
        <v>115</v>
      </c>
      <c r="H73" t="s">
        <v>116</v>
      </c>
      <c r="I73">
        <v>2154.48</v>
      </c>
      <c r="J73">
        <v>6</v>
      </c>
      <c r="K73" s="1">
        <v>0</v>
      </c>
      <c r="L73">
        <v>274.94</v>
      </c>
      <c r="M73" t="s">
        <v>87</v>
      </c>
      <c r="N73" t="s">
        <v>32</v>
      </c>
      <c r="O73" t="str">
        <f t="shared" si="6"/>
        <v>18/11/2024</v>
      </c>
      <c r="P73">
        <f t="shared" si="7"/>
        <v>2024</v>
      </c>
      <c r="Q73">
        <f t="shared" si="8"/>
        <v>11</v>
      </c>
      <c r="R73" t="str">
        <f t="shared" si="9"/>
        <v>November</v>
      </c>
      <c r="S73" t="str">
        <f t="shared" si="10"/>
        <v>No Discount</v>
      </c>
      <c r="T73" s="1">
        <f t="shared" si="11"/>
        <v>0.12761315955590211</v>
      </c>
      <c r="U73">
        <f>SUM($I$2:I73)</f>
        <v>244240.34</v>
      </c>
      <c r="V73" s="1">
        <f>Table1[[#This Row],[Running total ]]/SUM(I:I)</f>
        <v>7.0478576628836706E-2</v>
      </c>
    </row>
    <row r="74" spans="1:22" x14ac:dyDescent="0.3">
      <c r="A74" t="s">
        <v>290</v>
      </c>
      <c r="B74" t="s">
        <v>291</v>
      </c>
      <c r="C74" t="s">
        <v>292</v>
      </c>
      <c r="D74" t="s">
        <v>17</v>
      </c>
      <c r="E74" t="s">
        <v>97</v>
      </c>
      <c r="F74" t="s">
        <v>67</v>
      </c>
      <c r="G74" t="s">
        <v>68</v>
      </c>
      <c r="H74" t="s">
        <v>103</v>
      </c>
      <c r="I74">
        <v>561.29999999999995</v>
      </c>
      <c r="J74">
        <v>6</v>
      </c>
      <c r="K74" s="1">
        <v>0.25</v>
      </c>
      <c r="L74">
        <v>29.51</v>
      </c>
      <c r="M74" t="s">
        <v>44</v>
      </c>
      <c r="N74" t="s">
        <v>32</v>
      </c>
      <c r="O74" t="str">
        <f t="shared" si="6"/>
        <v>19/12/2024</v>
      </c>
      <c r="P74">
        <f t="shared" si="7"/>
        <v>2024</v>
      </c>
      <c r="Q74">
        <f t="shared" si="8"/>
        <v>12</v>
      </c>
      <c r="R74" t="str">
        <f t="shared" si="9"/>
        <v>December</v>
      </c>
      <c r="S74" t="str">
        <f t="shared" si="10"/>
        <v>Low</v>
      </c>
      <c r="T74" s="1">
        <f t="shared" si="11"/>
        <v>5.2574380901478715E-2</v>
      </c>
      <c r="U74">
        <f>SUM($I$2:I74)</f>
        <v>244801.63999999998</v>
      </c>
      <c r="V74" s="1">
        <f>Table1[[#This Row],[Running total ]]/SUM(I:I)</f>
        <v>7.0640546699226259E-2</v>
      </c>
    </row>
    <row r="75" spans="1:22" x14ac:dyDescent="0.3">
      <c r="A75" t="s">
        <v>293</v>
      </c>
      <c r="B75" t="s">
        <v>127</v>
      </c>
      <c r="C75" t="s">
        <v>294</v>
      </c>
      <c r="D75" t="s">
        <v>137</v>
      </c>
      <c r="E75" t="s">
        <v>142</v>
      </c>
      <c r="F75" t="s">
        <v>55</v>
      </c>
      <c r="G75" t="s">
        <v>74</v>
      </c>
      <c r="H75" t="s">
        <v>133</v>
      </c>
      <c r="I75">
        <v>768.74</v>
      </c>
      <c r="J75">
        <v>2</v>
      </c>
      <c r="K75" s="1">
        <v>0</v>
      </c>
      <c r="L75">
        <v>100.64</v>
      </c>
      <c r="M75" t="s">
        <v>44</v>
      </c>
      <c r="N75" t="s">
        <v>32</v>
      </c>
      <c r="O75" t="str">
        <f t="shared" si="6"/>
        <v>20/12/2024</v>
      </c>
      <c r="P75">
        <f t="shared" si="7"/>
        <v>2024</v>
      </c>
      <c r="Q75">
        <f t="shared" si="8"/>
        <v>12</v>
      </c>
      <c r="R75" t="str">
        <f t="shared" si="9"/>
        <v>December</v>
      </c>
      <c r="S75" t="str">
        <f t="shared" si="10"/>
        <v>No Discount</v>
      </c>
      <c r="T75" s="1">
        <f t="shared" si="11"/>
        <v>0.13091552410437859</v>
      </c>
      <c r="U75">
        <f>SUM($I$2:I75)</f>
        <v>245570.37999999998</v>
      </c>
      <c r="V75" s="1">
        <f>Table1[[#This Row],[Running total ]]/SUM(I:I)</f>
        <v>7.0862376152123555E-2</v>
      </c>
    </row>
    <row r="76" spans="1:22" x14ac:dyDescent="0.3">
      <c r="A76" t="s">
        <v>295</v>
      </c>
      <c r="B76" t="s">
        <v>296</v>
      </c>
      <c r="C76" t="s">
        <v>297</v>
      </c>
      <c r="D76" t="s">
        <v>137</v>
      </c>
      <c r="E76" t="s">
        <v>160</v>
      </c>
      <c r="F76" t="s">
        <v>67</v>
      </c>
      <c r="G76" t="s">
        <v>115</v>
      </c>
      <c r="H76" t="s">
        <v>116</v>
      </c>
      <c r="I76">
        <v>1871.22</v>
      </c>
      <c r="J76">
        <v>2</v>
      </c>
      <c r="K76" s="1">
        <v>0.2</v>
      </c>
      <c r="L76">
        <v>-72.510000000000005</v>
      </c>
      <c r="M76" t="s">
        <v>44</v>
      </c>
      <c r="N76" t="s">
        <v>32</v>
      </c>
      <c r="O76" t="str">
        <f t="shared" si="6"/>
        <v>03/01/2025</v>
      </c>
      <c r="P76">
        <f t="shared" si="7"/>
        <v>2025</v>
      </c>
      <c r="Q76">
        <f t="shared" si="8"/>
        <v>1</v>
      </c>
      <c r="R76" t="str">
        <f t="shared" si="9"/>
        <v>January</v>
      </c>
      <c r="S76" t="str">
        <f t="shared" si="10"/>
        <v>Low</v>
      </c>
      <c r="T76" s="1">
        <f t="shared" si="11"/>
        <v>-3.8750120242408696E-2</v>
      </c>
      <c r="U76">
        <f>SUM($I$2:I76)</f>
        <v>247441.59999999998</v>
      </c>
      <c r="V76" s="1">
        <f>Table1[[#This Row],[Running total ]]/SUM(I:I)</f>
        <v>7.1402339870481515E-2</v>
      </c>
    </row>
    <row r="77" spans="1:22" x14ac:dyDescent="0.3">
      <c r="A77" t="s">
        <v>298</v>
      </c>
      <c r="B77" t="s">
        <v>299</v>
      </c>
      <c r="C77" t="s">
        <v>189</v>
      </c>
      <c r="D77" t="s">
        <v>48</v>
      </c>
      <c r="E77" t="s">
        <v>73</v>
      </c>
      <c r="F77" t="s">
        <v>19</v>
      </c>
      <c r="G77" t="s">
        <v>20</v>
      </c>
      <c r="H77" t="s">
        <v>239</v>
      </c>
      <c r="I77">
        <v>3532.72</v>
      </c>
      <c r="J77">
        <v>8</v>
      </c>
      <c r="K77" s="1">
        <v>0.3</v>
      </c>
      <c r="L77">
        <v>225.66</v>
      </c>
      <c r="M77" t="s">
        <v>44</v>
      </c>
      <c r="N77" t="s">
        <v>39</v>
      </c>
      <c r="O77" t="str">
        <f t="shared" si="6"/>
        <v>27/04/2024</v>
      </c>
      <c r="P77">
        <f t="shared" si="7"/>
        <v>2024</v>
      </c>
      <c r="Q77">
        <f t="shared" si="8"/>
        <v>4</v>
      </c>
      <c r="R77" t="str">
        <f t="shared" si="9"/>
        <v>April</v>
      </c>
      <c r="S77" t="str">
        <f t="shared" si="10"/>
        <v>Low</v>
      </c>
      <c r="T77" s="1">
        <f t="shared" si="11"/>
        <v>6.3877125840711979E-2</v>
      </c>
      <c r="U77">
        <f>SUM($I$2:I77)</f>
        <v>250974.31999999998</v>
      </c>
      <c r="V77" s="1">
        <f>Table1[[#This Row],[Running total ]]/SUM(I:I)</f>
        <v>7.2421750002436877E-2</v>
      </c>
    </row>
    <row r="78" spans="1:22" x14ac:dyDescent="0.3">
      <c r="A78" t="s">
        <v>300</v>
      </c>
      <c r="B78" t="s">
        <v>301</v>
      </c>
      <c r="C78" t="s">
        <v>302</v>
      </c>
      <c r="D78" t="s">
        <v>137</v>
      </c>
      <c r="E78" t="s">
        <v>160</v>
      </c>
      <c r="F78" t="s">
        <v>19</v>
      </c>
      <c r="G78" t="s">
        <v>29</v>
      </c>
      <c r="H78" t="s">
        <v>50</v>
      </c>
      <c r="I78">
        <v>76.25</v>
      </c>
      <c r="J78">
        <v>1</v>
      </c>
      <c r="K78" s="1">
        <v>0.25</v>
      </c>
      <c r="L78">
        <v>-11.86</v>
      </c>
      <c r="M78" t="s">
        <v>143</v>
      </c>
      <c r="N78" t="s">
        <v>32</v>
      </c>
      <c r="O78" t="str">
        <f t="shared" si="6"/>
        <v>18/06/2025</v>
      </c>
      <c r="P78">
        <f t="shared" si="7"/>
        <v>2025</v>
      </c>
      <c r="Q78">
        <f t="shared" si="8"/>
        <v>6</v>
      </c>
      <c r="R78" t="str">
        <f t="shared" si="9"/>
        <v>June</v>
      </c>
      <c r="S78" t="str">
        <f t="shared" si="10"/>
        <v>Low</v>
      </c>
      <c r="T78" s="1">
        <f t="shared" si="11"/>
        <v>-0.15554098360655738</v>
      </c>
      <c r="U78">
        <f>SUM($I$2:I78)</f>
        <v>251050.56999999998</v>
      </c>
      <c r="V78" s="1">
        <f>Table1[[#This Row],[Running total ]]/SUM(I:I)</f>
        <v>7.2443752884794266E-2</v>
      </c>
    </row>
    <row r="79" spans="1:22" x14ac:dyDescent="0.3">
      <c r="A79" t="s">
        <v>303</v>
      </c>
      <c r="B79" t="s">
        <v>304</v>
      </c>
      <c r="C79" t="s">
        <v>305</v>
      </c>
      <c r="D79" t="s">
        <v>17</v>
      </c>
      <c r="E79" t="s">
        <v>97</v>
      </c>
      <c r="F79" t="s">
        <v>67</v>
      </c>
      <c r="G79" t="s">
        <v>68</v>
      </c>
      <c r="H79" t="s">
        <v>69</v>
      </c>
      <c r="I79">
        <v>1343.16</v>
      </c>
      <c r="J79">
        <v>4</v>
      </c>
      <c r="K79" s="1">
        <v>0.2</v>
      </c>
      <c r="L79">
        <v>25.32</v>
      </c>
      <c r="M79" t="s">
        <v>31</v>
      </c>
      <c r="N79" t="s">
        <v>32</v>
      </c>
      <c r="O79" t="str">
        <f t="shared" si="6"/>
        <v>11/01/2024</v>
      </c>
      <c r="P79">
        <f t="shared" si="7"/>
        <v>2024</v>
      </c>
      <c r="Q79">
        <f t="shared" si="8"/>
        <v>1</v>
      </c>
      <c r="R79" t="str">
        <f t="shared" si="9"/>
        <v>January</v>
      </c>
      <c r="S79" t="str">
        <f t="shared" si="10"/>
        <v>Low</v>
      </c>
      <c r="T79" s="1">
        <f t="shared" si="11"/>
        <v>1.8851067631555436E-2</v>
      </c>
      <c r="U79">
        <f>SUM($I$2:I79)</f>
        <v>252393.72999999998</v>
      </c>
      <c r="V79" s="1">
        <f>Table1[[#This Row],[Running total ]]/SUM(I:I)</f>
        <v>7.2831338346658545E-2</v>
      </c>
    </row>
    <row r="80" spans="1:22" x14ac:dyDescent="0.3">
      <c r="A80" t="s">
        <v>306</v>
      </c>
      <c r="B80" t="s">
        <v>307</v>
      </c>
      <c r="C80" t="s">
        <v>308</v>
      </c>
      <c r="D80" t="s">
        <v>17</v>
      </c>
      <c r="E80" t="s">
        <v>54</v>
      </c>
      <c r="F80" t="s">
        <v>19</v>
      </c>
      <c r="G80" t="s">
        <v>29</v>
      </c>
      <c r="H80" t="s">
        <v>199</v>
      </c>
      <c r="I80">
        <v>6681.51</v>
      </c>
      <c r="J80">
        <v>9</v>
      </c>
      <c r="K80" s="1">
        <v>0.05</v>
      </c>
      <c r="L80">
        <v>865.64</v>
      </c>
      <c r="M80" t="s">
        <v>31</v>
      </c>
      <c r="N80" t="s">
        <v>23</v>
      </c>
      <c r="O80" t="str">
        <f t="shared" si="6"/>
        <v>30/04/2025</v>
      </c>
      <c r="P80">
        <f t="shared" si="7"/>
        <v>2025</v>
      </c>
      <c r="Q80">
        <f t="shared" si="8"/>
        <v>4</v>
      </c>
      <c r="R80" t="str">
        <f t="shared" si="9"/>
        <v>April</v>
      </c>
      <c r="S80" t="str">
        <f t="shared" si="10"/>
        <v>High</v>
      </c>
      <c r="T80" s="1">
        <f t="shared" si="11"/>
        <v>0.12955754013688522</v>
      </c>
      <c r="U80">
        <f>SUM($I$2:I80)</f>
        <v>259075.24</v>
      </c>
      <c r="V80" s="1">
        <f>Table1[[#This Row],[Running total ]]/SUM(I:I)</f>
        <v>7.4759370851572929E-2</v>
      </c>
    </row>
    <row r="81" spans="1:22" x14ac:dyDescent="0.3">
      <c r="A81" t="s">
        <v>309</v>
      </c>
      <c r="B81" t="s">
        <v>310</v>
      </c>
      <c r="C81" t="s">
        <v>311</v>
      </c>
      <c r="D81" t="s">
        <v>17</v>
      </c>
      <c r="E81" t="s">
        <v>18</v>
      </c>
      <c r="F81" t="s">
        <v>19</v>
      </c>
      <c r="G81" t="s">
        <v>36</v>
      </c>
      <c r="H81" t="s">
        <v>37</v>
      </c>
      <c r="I81">
        <v>3095.55</v>
      </c>
      <c r="J81">
        <v>3</v>
      </c>
      <c r="K81" s="1">
        <v>0</v>
      </c>
      <c r="L81">
        <v>593.66999999999996</v>
      </c>
      <c r="M81" t="s">
        <v>195</v>
      </c>
      <c r="N81" t="s">
        <v>39</v>
      </c>
      <c r="O81" t="str">
        <f t="shared" si="6"/>
        <v>07/09/2025</v>
      </c>
      <c r="P81">
        <f t="shared" si="7"/>
        <v>2025</v>
      </c>
      <c r="Q81">
        <f t="shared" si="8"/>
        <v>9</v>
      </c>
      <c r="R81" t="str">
        <f t="shared" si="9"/>
        <v>September</v>
      </c>
      <c r="S81" t="str">
        <f t="shared" si="10"/>
        <v>No Discount</v>
      </c>
      <c r="T81" s="1">
        <f t="shared" si="11"/>
        <v>0.19178175122353053</v>
      </c>
      <c r="U81">
        <f>SUM($I$2:I81)</f>
        <v>262170.78999999998</v>
      </c>
      <c r="V81" s="1">
        <f>Table1[[#This Row],[Running total ]]/SUM(I:I)</f>
        <v>7.5652630162804629E-2</v>
      </c>
    </row>
    <row r="82" spans="1:22" x14ac:dyDescent="0.3">
      <c r="A82" t="s">
        <v>312</v>
      </c>
      <c r="B82" t="s">
        <v>313</v>
      </c>
      <c r="C82" t="s">
        <v>153</v>
      </c>
      <c r="D82" t="s">
        <v>27</v>
      </c>
      <c r="E82" t="s">
        <v>43</v>
      </c>
      <c r="F82" t="s">
        <v>19</v>
      </c>
      <c r="G82" t="s">
        <v>29</v>
      </c>
      <c r="H82" t="s">
        <v>30</v>
      </c>
      <c r="I82">
        <v>2925.52</v>
      </c>
      <c r="J82">
        <v>4</v>
      </c>
      <c r="K82" s="1">
        <v>0.2</v>
      </c>
      <c r="L82">
        <v>70.739999999999995</v>
      </c>
      <c r="M82" t="s">
        <v>44</v>
      </c>
      <c r="N82" t="s">
        <v>23</v>
      </c>
      <c r="O82" t="str">
        <f t="shared" si="6"/>
        <v>21/04/2025</v>
      </c>
      <c r="P82">
        <f t="shared" si="7"/>
        <v>2025</v>
      </c>
      <c r="Q82">
        <f t="shared" si="8"/>
        <v>4</v>
      </c>
      <c r="R82" t="str">
        <f t="shared" si="9"/>
        <v>April</v>
      </c>
      <c r="S82" t="str">
        <f t="shared" si="10"/>
        <v>Low</v>
      </c>
      <c r="T82" s="1">
        <f t="shared" si="11"/>
        <v>2.4180316661653312E-2</v>
      </c>
      <c r="U82">
        <f>SUM($I$2:I82)</f>
        <v>265096.31</v>
      </c>
      <c r="V82" s="1">
        <f>Table1[[#This Row],[Running total ]]/SUM(I:I)</f>
        <v>7.649682521059728E-2</v>
      </c>
    </row>
    <row r="83" spans="1:22" x14ac:dyDescent="0.3">
      <c r="A83" t="s">
        <v>314</v>
      </c>
      <c r="B83" t="s">
        <v>315</v>
      </c>
      <c r="C83" t="s">
        <v>316</v>
      </c>
      <c r="D83" t="s">
        <v>17</v>
      </c>
      <c r="E83" t="s">
        <v>97</v>
      </c>
      <c r="F83" t="s">
        <v>55</v>
      </c>
      <c r="G83" t="s">
        <v>98</v>
      </c>
      <c r="H83" t="s">
        <v>154</v>
      </c>
      <c r="I83">
        <v>2395.2600000000002</v>
      </c>
      <c r="J83">
        <v>9</v>
      </c>
      <c r="K83" s="1">
        <v>0.05</v>
      </c>
      <c r="L83">
        <v>877.36</v>
      </c>
      <c r="M83" t="s">
        <v>143</v>
      </c>
      <c r="N83" t="s">
        <v>32</v>
      </c>
      <c r="O83" t="str">
        <f t="shared" si="6"/>
        <v>16/09/2024</v>
      </c>
      <c r="P83">
        <f t="shared" si="7"/>
        <v>2024</v>
      </c>
      <c r="Q83">
        <f t="shared" si="8"/>
        <v>9</v>
      </c>
      <c r="R83" t="str">
        <f t="shared" si="9"/>
        <v>September</v>
      </c>
      <c r="S83" t="str">
        <f t="shared" si="10"/>
        <v>High</v>
      </c>
      <c r="T83" s="1">
        <f t="shared" si="11"/>
        <v>0.36629008959361403</v>
      </c>
      <c r="U83">
        <f>SUM($I$2:I83)</f>
        <v>267491.57</v>
      </c>
      <c r="V83" s="1">
        <f>Table1[[#This Row],[Running total ]]/SUM(I:I)</f>
        <v>7.7188007164634809E-2</v>
      </c>
    </row>
    <row r="84" spans="1:22" x14ac:dyDescent="0.3">
      <c r="A84" t="s">
        <v>317</v>
      </c>
      <c r="B84" t="s">
        <v>318</v>
      </c>
      <c r="C84" t="s">
        <v>319</v>
      </c>
      <c r="D84" t="s">
        <v>27</v>
      </c>
      <c r="E84" t="s">
        <v>28</v>
      </c>
      <c r="F84" t="s">
        <v>55</v>
      </c>
      <c r="G84" t="s">
        <v>74</v>
      </c>
      <c r="H84" t="s">
        <v>75</v>
      </c>
      <c r="I84">
        <v>5777.76</v>
      </c>
      <c r="J84">
        <v>6</v>
      </c>
      <c r="K84" s="1">
        <v>0.1</v>
      </c>
      <c r="L84">
        <v>1798.58</v>
      </c>
      <c r="M84" t="s">
        <v>195</v>
      </c>
      <c r="N84" t="s">
        <v>32</v>
      </c>
      <c r="O84" t="str">
        <f t="shared" si="6"/>
        <v>01/10/2025</v>
      </c>
      <c r="P84">
        <f t="shared" si="7"/>
        <v>2025</v>
      </c>
      <c r="Q84">
        <f t="shared" si="8"/>
        <v>10</v>
      </c>
      <c r="R84" t="str">
        <f t="shared" si="9"/>
        <v>October</v>
      </c>
      <c r="S84" t="str">
        <f t="shared" si="10"/>
        <v>Low</v>
      </c>
      <c r="T84" s="1">
        <f t="shared" si="11"/>
        <v>0.3112936501343081</v>
      </c>
      <c r="U84">
        <f>SUM($I$2:I84)</f>
        <v>273269.33</v>
      </c>
      <c r="V84" s="1">
        <f>Table1[[#This Row],[Running total ]]/SUM(I:I)</f>
        <v>7.8855251408165697E-2</v>
      </c>
    </row>
    <row r="85" spans="1:22" x14ac:dyDescent="0.3">
      <c r="A85" t="s">
        <v>320</v>
      </c>
      <c r="B85" t="s">
        <v>321</v>
      </c>
      <c r="C85" t="s">
        <v>183</v>
      </c>
      <c r="D85" t="s">
        <v>48</v>
      </c>
      <c r="E85" t="s">
        <v>110</v>
      </c>
      <c r="F85" t="s">
        <v>19</v>
      </c>
      <c r="G85" t="s">
        <v>36</v>
      </c>
      <c r="H85" t="s">
        <v>37</v>
      </c>
      <c r="I85">
        <v>5832.99</v>
      </c>
      <c r="J85">
        <v>9</v>
      </c>
      <c r="K85" s="1">
        <v>0.05</v>
      </c>
      <c r="L85">
        <v>2061.41</v>
      </c>
      <c r="M85" t="s">
        <v>143</v>
      </c>
      <c r="N85" t="s">
        <v>23</v>
      </c>
      <c r="O85" t="str">
        <f t="shared" si="6"/>
        <v>08/08/2024</v>
      </c>
      <c r="P85">
        <f t="shared" si="7"/>
        <v>2024</v>
      </c>
      <c r="Q85">
        <f t="shared" si="8"/>
        <v>8</v>
      </c>
      <c r="R85" t="str">
        <f t="shared" si="9"/>
        <v>August</v>
      </c>
      <c r="S85" t="str">
        <f t="shared" si="10"/>
        <v>High</v>
      </c>
      <c r="T85" s="1">
        <f t="shared" si="11"/>
        <v>0.35340537185902943</v>
      </c>
      <c r="U85">
        <f>SUM($I$2:I85)</f>
        <v>279102.32</v>
      </c>
      <c r="V85" s="1">
        <f>Table1[[#This Row],[Running total ]]/SUM(I:I)</f>
        <v>8.0538432952583131E-2</v>
      </c>
    </row>
    <row r="86" spans="1:22" x14ac:dyDescent="0.3">
      <c r="A86" t="s">
        <v>322</v>
      </c>
      <c r="B86" t="s">
        <v>323</v>
      </c>
      <c r="C86" t="s">
        <v>324</v>
      </c>
      <c r="D86" t="s">
        <v>27</v>
      </c>
      <c r="E86" t="s">
        <v>124</v>
      </c>
      <c r="F86" t="s">
        <v>55</v>
      </c>
      <c r="G86" t="s">
        <v>98</v>
      </c>
      <c r="H86" t="s">
        <v>99</v>
      </c>
      <c r="I86">
        <v>8823.2000000000007</v>
      </c>
      <c r="J86">
        <v>10</v>
      </c>
      <c r="K86" s="1">
        <v>0.3</v>
      </c>
      <c r="L86">
        <v>582.89</v>
      </c>
      <c r="M86" t="s">
        <v>38</v>
      </c>
      <c r="N86" t="s">
        <v>32</v>
      </c>
      <c r="O86" t="str">
        <f t="shared" si="6"/>
        <v>15/11/2025</v>
      </c>
      <c r="P86">
        <f t="shared" si="7"/>
        <v>2025</v>
      </c>
      <c r="Q86">
        <f t="shared" si="8"/>
        <v>11</v>
      </c>
      <c r="R86" t="str">
        <f t="shared" si="9"/>
        <v>November</v>
      </c>
      <c r="S86" t="str">
        <f t="shared" si="10"/>
        <v>Low</v>
      </c>
      <c r="T86" s="1">
        <f t="shared" si="11"/>
        <v>6.6063333031099819E-2</v>
      </c>
      <c r="U86">
        <f>SUM($I$2:I86)</f>
        <v>287925.52</v>
      </c>
      <c r="V86" s="1">
        <f>Table1[[#This Row],[Running total ]]/SUM(I:I)</f>
        <v>8.3084476645904029E-2</v>
      </c>
    </row>
    <row r="87" spans="1:22" x14ac:dyDescent="0.3">
      <c r="A87" t="s">
        <v>325</v>
      </c>
      <c r="B87" t="s">
        <v>326</v>
      </c>
      <c r="C87" t="s">
        <v>327</v>
      </c>
      <c r="D87" t="s">
        <v>27</v>
      </c>
      <c r="E87" t="s">
        <v>43</v>
      </c>
      <c r="F87" t="s">
        <v>55</v>
      </c>
      <c r="G87" t="s">
        <v>74</v>
      </c>
      <c r="H87" t="s">
        <v>133</v>
      </c>
      <c r="I87">
        <v>1629.2</v>
      </c>
      <c r="J87">
        <v>10</v>
      </c>
      <c r="K87" s="1">
        <v>0.3</v>
      </c>
      <c r="L87">
        <v>-122.43</v>
      </c>
      <c r="M87" t="s">
        <v>44</v>
      </c>
      <c r="N87" t="s">
        <v>39</v>
      </c>
      <c r="O87" t="str">
        <f t="shared" si="6"/>
        <v>15/05/2024</v>
      </c>
      <c r="P87">
        <f t="shared" si="7"/>
        <v>2024</v>
      </c>
      <c r="Q87">
        <f t="shared" si="8"/>
        <v>5</v>
      </c>
      <c r="R87" t="str">
        <f t="shared" si="9"/>
        <v>May</v>
      </c>
      <c r="S87" t="str">
        <f t="shared" si="10"/>
        <v>Low</v>
      </c>
      <c r="T87" s="1">
        <f t="shared" si="11"/>
        <v>-7.5147311563957778E-2</v>
      </c>
      <c r="U87">
        <f>SUM($I$2:I87)</f>
        <v>289554.72000000003</v>
      </c>
      <c r="V87" s="1">
        <f>Table1[[#This Row],[Running total ]]/SUM(I:I)</f>
        <v>8.3554602494253657E-2</v>
      </c>
    </row>
    <row r="88" spans="1:22" x14ac:dyDescent="0.3">
      <c r="A88" t="s">
        <v>328</v>
      </c>
      <c r="B88" t="s">
        <v>329</v>
      </c>
      <c r="C88" t="s">
        <v>53</v>
      </c>
      <c r="D88" t="s">
        <v>17</v>
      </c>
      <c r="E88" t="s">
        <v>54</v>
      </c>
      <c r="F88" t="s">
        <v>67</v>
      </c>
      <c r="G88" t="s">
        <v>115</v>
      </c>
      <c r="H88" t="s">
        <v>116</v>
      </c>
      <c r="I88">
        <v>5188.9799999999996</v>
      </c>
      <c r="J88">
        <v>6</v>
      </c>
      <c r="K88" s="1">
        <v>0.2</v>
      </c>
      <c r="L88">
        <v>-777.88</v>
      </c>
      <c r="M88" t="s">
        <v>22</v>
      </c>
      <c r="N88" t="s">
        <v>39</v>
      </c>
      <c r="O88" t="str">
        <f t="shared" si="6"/>
        <v>31/12/2024</v>
      </c>
      <c r="P88">
        <f t="shared" si="7"/>
        <v>2024</v>
      </c>
      <c r="Q88">
        <f t="shared" si="8"/>
        <v>12</v>
      </c>
      <c r="R88" t="str">
        <f t="shared" si="9"/>
        <v>December</v>
      </c>
      <c r="S88" t="str">
        <f t="shared" si="10"/>
        <v>Low</v>
      </c>
      <c r="T88" s="1">
        <f t="shared" si="11"/>
        <v>-0.14991000158027204</v>
      </c>
      <c r="U88">
        <f>SUM($I$2:I88)</f>
        <v>294743.7</v>
      </c>
      <c r="V88" s="1">
        <f>Table1[[#This Row],[Running total ]]/SUM(I:I)</f>
        <v>8.505194697287459E-2</v>
      </c>
    </row>
    <row r="89" spans="1:22" x14ac:dyDescent="0.3">
      <c r="A89" t="s">
        <v>330</v>
      </c>
      <c r="B89" t="s">
        <v>331</v>
      </c>
      <c r="C89" t="s">
        <v>332</v>
      </c>
      <c r="D89" t="s">
        <v>137</v>
      </c>
      <c r="E89" t="s">
        <v>138</v>
      </c>
      <c r="F89" t="s">
        <v>55</v>
      </c>
      <c r="G89" t="s">
        <v>98</v>
      </c>
      <c r="H89" t="s">
        <v>99</v>
      </c>
      <c r="I89">
        <v>2389.2600000000002</v>
      </c>
      <c r="J89">
        <v>6</v>
      </c>
      <c r="K89" s="1">
        <v>0.1</v>
      </c>
      <c r="L89">
        <v>472.22</v>
      </c>
      <c r="M89" t="s">
        <v>63</v>
      </c>
      <c r="N89" t="s">
        <v>32</v>
      </c>
      <c r="O89" t="str">
        <f t="shared" si="6"/>
        <v>20/06/2025</v>
      </c>
      <c r="P89">
        <f t="shared" si="7"/>
        <v>2025</v>
      </c>
      <c r="Q89">
        <f t="shared" si="8"/>
        <v>6</v>
      </c>
      <c r="R89" t="str">
        <f t="shared" si="9"/>
        <v>June</v>
      </c>
      <c r="S89" t="str">
        <f t="shared" si="10"/>
        <v>Low</v>
      </c>
      <c r="T89" s="1">
        <f t="shared" si="11"/>
        <v>0.19764278479529226</v>
      </c>
      <c r="U89">
        <f>SUM($I$2:I89)</f>
        <v>297132.96000000002</v>
      </c>
      <c r="V89" s="1">
        <f>Table1[[#This Row],[Running total ]]/SUM(I:I)</f>
        <v>8.5741397552562673E-2</v>
      </c>
    </row>
    <row r="90" spans="1:22" x14ac:dyDescent="0.3">
      <c r="A90" t="s">
        <v>333</v>
      </c>
      <c r="B90" t="s">
        <v>334</v>
      </c>
      <c r="C90" t="s">
        <v>335</v>
      </c>
      <c r="D90" t="s">
        <v>137</v>
      </c>
      <c r="E90" t="s">
        <v>138</v>
      </c>
      <c r="F90" t="s">
        <v>19</v>
      </c>
      <c r="G90" t="s">
        <v>20</v>
      </c>
      <c r="H90" t="s">
        <v>239</v>
      </c>
      <c r="I90">
        <v>5299</v>
      </c>
      <c r="J90">
        <v>10</v>
      </c>
      <c r="K90" s="1">
        <v>0.15</v>
      </c>
      <c r="L90">
        <v>69.31</v>
      </c>
      <c r="M90" t="s">
        <v>143</v>
      </c>
      <c r="N90" t="s">
        <v>39</v>
      </c>
      <c r="O90" t="str">
        <f t="shared" si="6"/>
        <v>27/02/2025</v>
      </c>
      <c r="P90">
        <f t="shared" si="7"/>
        <v>2025</v>
      </c>
      <c r="Q90">
        <f t="shared" si="8"/>
        <v>2</v>
      </c>
      <c r="R90" t="str">
        <f t="shared" si="9"/>
        <v>February</v>
      </c>
      <c r="S90" t="str">
        <f t="shared" si="10"/>
        <v>Low</v>
      </c>
      <c r="T90" s="1">
        <f t="shared" si="11"/>
        <v>1.307982638233629E-2</v>
      </c>
      <c r="U90">
        <f>SUM($I$2:I90)</f>
        <v>302431.96000000002</v>
      </c>
      <c r="V90" s="1">
        <f>Table1[[#This Row],[Running total ]]/SUM(I:I)</f>
        <v>8.7270489665504394E-2</v>
      </c>
    </row>
    <row r="91" spans="1:22" x14ac:dyDescent="0.3">
      <c r="A91" t="s">
        <v>336</v>
      </c>
      <c r="B91" t="s">
        <v>337</v>
      </c>
      <c r="C91" t="s">
        <v>47</v>
      </c>
      <c r="D91" t="s">
        <v>17</v>
      </c>
      <c r="E91" t="s">
        <v>54</v>
      </c>
      <c r="F91" t="s">
        <v>67</v>
      </c>
      <c r="G91" t="s">
        <v>68</v>
      </c>
      <c r="H91" t="s">
        <v>103</v>
      </c>
      <c r="I91">
        <v>3124.14</v>
      </c>
      <c r="J91">
        <v>6</v>
      </c>
      <c r="K91" s="1">
        <v>0</v>
      </c>
      <c r="L91">
        <v>372.2</v>
      </c>
      <c r="M91" t="s">
        <v>63</v>
      </c>
      <c r="N91" t="s">
        <v>23</v>
      </c>
      <c r="O91" t="str">
        <f t="shared" si="6"/>
        <v>14/12/2025</v>
      </c>
      <c r="P91">
        <f t="shared" si="7"/>
        <v>2025</v>
      </c>
      <c r="Q91">
        <f t="shared" si="8"/>
        <v>12</v>
      </c>
      <c r="R91" t="str">
        <f t="shared" si="9"/>
        <v>December</v>
      </c>
      <c r="S91" t="str">
        <f t="shared" si="10"/>
        <v>No Discount</v>
      </c>
      <c r="T91" s="1">
        <f t="shared" si="11"/>
        <v>0.11913678644362929</v>
      </c>
      <c r="U91">
        <f>SUM($I$2:I91)</f>
        <v>305556.10000000003</v>
      </c>
      <c r="V91" s="1">
        <f>Table1[[#This Row],[Running total ]]/SUM(I:I)</f>
        <v>8.8171998975511159E-2</v>
      </c>
    </row>
    <row r="92" spans="1:22" x14ac:dyDescent="0.3">
      <c r="A92" t="s">
        <v>338</v>
      </c>
      <c r="B92" t="s">
        <v>339</v>
      </c>
      <c r="C92" t="s">
        <v>340</v>
      </c>
      <c r="D92" t="s">
        <v>27</v>
      </c>
      <c r="E92" t="s">
        <v>61</v>
      </c>
      <c r="F92" t="s">
        <v>19</v>
      </c>
      <c r="G92" t="s">
        <v>20</v>
      </c>
      <c r="H92" t="s">
        <v>239</v>
      </c>
      <c r="I92">
        <v>1693.2</v>
      </c>
      <c r="J92">
        <v>6</v>
      </c>
      <c r="K92" s="1">
        <v>0.2</v>
      </c>
      <c r="L92">
        <v>-136.4</v>
      </c>
      <c r="M92" t="s">
        <v>38</v>
      </c>
      <c r="N92" t="s">
        <v>76</v>
      </c>
      <c r="O92" t="str">
        <f t="shared" si="6"/>
        <v>04/09/2025</v>
      </c>
      <c r="P92">
        <f t="shared" si="7"/>
        <v>2025</v>
      </c>
      <c r="Q92">
        <f t="shared" si="8"/>
        <v>9</v>
      </c>
      <c r="R92" t="str">
        <f t="shared" si="9"/>
        <v>September</v>
      </c>
      <c r="S92" t="str">
        <f t="shared" si="10"/>
        <v>Low</v>
      </c>
      <c r="T92" s="1">
        <f t="shared" si="11"/>
        <v>-8.0557524214505086E-2</v>
      </c>
      <c r="U92">
        <f>SUM($I$2:I92)</f>
        <v>307249.30000000005</v>
      </c>
      <c r="V92" s="1">
        <f>Table1[[#This Row],[Running total ]]/SUM(I:I)</f>
        <v>8.8660592816921416E-2</v>
      </c>
    </row>
    <row r="93" spans="1:22" x14ac:dyDescent="0.3">
      <c r="A93" t="s">
        <v>341</v>
      </c>
      <c r="B93" t="s">
        <v>342</v>
      </c>
      <c r="C93" t="s">
        <v>343</v>
      </c>
      <c r="D93" t="s">
        <v>137</v>
      </c>
      <c r="E93" t="s">
        <v>160</v>
      </c>
      <c r="F93" t="s">
        <v>55</v>
      </c>
      <c r="G93" t="s">
        <v>98</v>
      </c>
      <c r="H93" t="s">
        <v>99</v>
      </c>
      <c r="I93">
        <v>708.04</v>
      </c>
      <c r="J93">
        <v>4</v>
      </c>
      <c r="K93" s="1">
        <v>0.1</v>
      </c>
      <c r="L93">
        <v>118.14</v>
      </c>
      <c r="M93" t="s">
        <v>63</v>
      </c>
      <c r="N93" t="s">
        <v>39</v>
      </c>
      <c r="O93" t="str">
        <f t="shared" si="6"/>
        <v>16/08/2025</v>
      </c>
      <c r="P93">
        <f t="shared" si="7"/>
        <v>2025</v>
      </c>
      <c r="Q93">
        <f t="shared" si="8"/>
        <v>8</v>
      </c>
      <c r="R93" t="str">
        <f t="shared" si="9"/>
        <v>August</v>
      </c>
      <c r="S93" t="str">
        <f t="shared" si="10"/>
        <v>Low</v>
      </c>
      <c r="T93" s="1">
        <f t="shared" si="11"/>
        <v>0.16685497994463591</v>
      </c>
      <c r="U93">
        <f>SUM($I$2:I93)</f>
        <v>307957.34000000003</v>
      </c>
      <c r="V93" s="1">
        <f>Table1[[#This Row],[Running total ]]/SUM(I:I)</f>
        <v>8.8864906532650265E-2</v>
      </c>
    </row>
    <row r="94" spans="1:22" x14ac:dyDescent="0.3">
      <c r="A94" t="s">
        <v>344</v>
      </c>
      <c r="B94" t="s">
        <v>345</v>
      </c>
      <c r="C94" t="s">
        <v>346</v>
      </c>
      <c r="D94" t="s">
        <v>137</v>
      </c>
      <c r="E94" t="s">
        <v>138</v>
      </c>
      <c r="F94" t="s">
        <v>19</v>
      </c>
      <c r="G94" t="s">
        <v>20</v>
      </c>
      <c r="H94" t="s">
        <v>347</v>
      </c>
      <c r="I94">
        <v>374.34</v>
      </c>
      <c r="J94">
        <v>3</v>
      </c>
      <c r="K94" s="1">
        <v>0.2</v>
      </c>
      <c r="L94">
        <v>31.54</v>
      </c>
      <c r="M94" t="s">
        <v>143</v>
      </c>
      <c r="N94" t="s">
        <v>39</v>
      </c>
      <c r="O94" t="str">
        <f t="shared" si="6"/>
        <v>30/12/2024</v>
      </c>
      <c r="P94">
        <f t="shared" si="7"/>
        <v>2024</v>
      </c>
      <c r="Q94">
        <f t="shared" si="8"/>
        <v>12</v>
      </c>
      <c r="R94" t="str">
        <f t="shared" si="9"/>
        <v>December</v>
      </c>
      <c r="S94" t="str">
        <f t="shared" si="10"/>
        <v>Low</v>
      </c>
      <c r="T94" s="1">
        <f t="shared" si="11"/>
        <v>8.425495538814981E-2</v>
      </c>
      <c r="U94">
        <f>SUM($I$2:I94)</f>
        <v>308331.68000000005</v>
      </c>
      <c r="V94" s="1">
        <f>Table1[[#This Row],[Running total ]]/SUM(I:I)</f>
        <v>8.8972926978311467E-2</v>
      </c>
    </row>
    <row r="95" spans="1:22" x14ac:dyDescent="0.3">
      <c r="A95" t="s">
        <v>348</v>
      </c>
      <c r="B95" t="s">
        <v>349</v>
      </c>
      <c r="C95" t="s">
        <v>350</v>
      </c>
      <c r="D95" t="s">
        <v>137</v>
      </c>
      <c r="E95" t="s">
        <v>138</v>
      </c>
      <c r="F95" t="s">
        <v>19</v>
      </c>
      <c r="G95" t="s">
        <v>20</v>
      </c>
      <c r="H95" t="s">
        <v>239</v>
      </c>
      <c r="I95">
        <v>607.28</v>
      </c>
      <c r="J95">
        <v>2</v>
      </c>
      <c r="K95" s="1">
        <v>0.25</v>
      </c>
      <c r="L95">
        <v>-89.79</v>
      </c>
      <c r="M95" t="s">
        <v>31</v>
      </c>
      <c r="N95" t="s">
        <v>76</v>
      </c>
      <c r="O95" t="str">
        <f t="shared" si="6"/>
        <v>16/12/2024</v>
      </c>
      <c r="P95">
        <f t="shared" si="7"/>
        <v>2024</v>
      </c>
      <c r="Q95">
        <f t="shared" si="8"/>
        <v>12</v>
      </c>
      <c r="R95" t="str">
        <f t="shared" si="9"/>
        <v>December</v>
      </c>
      <c r="S95" t="str">
        <f t="shared" si="10"/>
        <v>Low</v>
      </c>
      <c r="T95" s="1">
        <f t="shared" si="11"/>
        <v>-0.14785601370043475</v>
      </c>
      <c r="U95">
        <f>SUM($I$2:I95)</f>
        <v>308938.96000000008</v>
      </c>
      <c r="V95" s="1">
        <f>Table1[[#This Row],[Running total ]]/SUM(I:I)</f>
        <v>8.9148165147465513E-2</v>
      </c>
    </row>
    <row r="96" spans="1:22" x14ac:dyDescent="0.3">
      <c r="A96" t="s">
        <v>351</v>
      </c>
      <c r="B96" t="s">
        <v>352</v>
      </c>
      <c r="C96" t="s">
        <v>157</v>
      </c>
      <c r="D96" t="s">
        <v>17</v>
      </c>
      <c r="E96" t="s">
        <v>18</v>
      </c>
      <c r="F96" t="s">
        <v>67</v>
      </c>
      <c r="G96" t="s">
        <v>68</v>
      </c>
      <c r="H96" t="s">
        <v>69</v>
      </c>
      <c r="I96">
        <v>682.04</v>
      </c>
      <c r="J96">
        <v>4</v>
      </c>
      <c r="K96" s="1">
        <v>0.3</v>
      </c>
      <c r="L96">
        <v>67.489999999999995</v>
      </c>
      <c r="M96" t="s">
        <v>143</v>
      </c>
      <c r="N96" t="s">
        <v>76</v>
      </c>
      <c r="O96" t="str">
        <f t="shared" si="6"/>
        <v>15/12/2025</v>
      </c>
      <c r="P96">
        <f t="shared" si="7"/>
        <v>2025</v>
      </c>
      <c r="Q96">
        <f t="shared" si="8"/>
        <v>12</v>
      </c>
      <c r="R96" t="str">
        <f t="shared" si="9"/>
        <v>December</v>
      </c>
      <c r="S96" t="str">
        <f t="shared" si="10"/>
        <v>Low</v>
      </c>
      <c r="T96" s="1">
        <f t="shared" si="11"/>
        <v>9.8953140578265208E-2</v>
      </c>
      <c r="U96">
        <f>SUM($I$2:I96)</f>
        <v>309621.00000000006</v>
      </c>
      <c r="V96" s="1">
        <f>Table1[[#This Row],[Running total ]]/SUM(I:I)</f>
        <v>8.9344976241013493E-2</v>
      </c>
    </row>
    <row r="97" spans="1:22" x14ac:dyDescent="0.3">
      <c r="A97" t="s">
        <v>353</v>
      </c>
      <c r="B97" t="s">
        <v>354</v>
      </c>
      <c r="C97" t="s">
        <v>355</v>
      </c>
      <c r="D97" t="s">
        <v>27</v>
      </c>
      <c r="E97" t="s">
        <v>61</v>
      </c>
      <c r="F97" t="s">
        <v>19</v>
      </c>
      <c r="G97" t="s">
        <v>29</v>
      </c>
      <c r="H97" t="s">
        <v>30</v>
      </c>
      <c r="I97">
        <v>4500.5</v>
      </c>
      <c r="J97">
        <v>5</v>
      </c>
      <c r="K97" s="1">
        <v>0.3</v>
      </c>
      <c r="L97">
        <v>331.97</v>
      </c>
      <c r="M97" t="s">
        <v>38</v>
      </c>
      <c r="N97" t="s">
        <v>32</v>
      </c>
      <c r="O97" t="str">
        <f t="shared" si="6"/>
        <v>03/06/2024</v>
      </c>
      <c r="P97">
        <f t="shared" si="7"/>
        <v>2024</v>
      </c>
      <c r="Q97">
        <f t="shared" si="8"/>
        <v>6</v>
      </c>
      <c r="R97" t="str">
        <f t="shared" si="9"/>
        <v>June</v>
      </c>
      <c r="S97" t="str">
        <f t="shared" si="10"/>
        <v>Low</v>
      </c>
      <c r="T97" s="1">
        <f t="shared" si="11"/>
        <v>7.3762915231640941E-2</v>
      </c>
      <c r="U97">
        <f>SUM($I$2:I97)</f>
        <v>314121.50000000006</v>
      </c>
      <c r="V97" s="1">
        <f>Table1[[#This Row],[Running total ]]/SUM(I:I)</f>
        <v>9.0643651284284713E-2</v>
      </c>
    </row>
    <row r="98" spans="1:22" x14ac:dyDescent="0.3">
      <c r="A98" t="s">
        <v>356</v>
      </c>
      <c r="B98" t="s">
        <v>357</v>
      </c>
      <c r="C98" t="s">
        <v>358</v>
      </c>
      <c r="D98" t="s">
        <v>48</v>
      </c>
      <c r="E98" t="s">
        <v>73</v>
      </c>
      <c r="F98" t="s">
        <v>19</v>
      </c>
      <c r="G98" t="s">
        <v>36</v>
      </c>
      <c r="H98" t="s">
        <v>222</v>
      </c>
      <c r="I98">
        <v>4682</v>
      </c>
      <c r="J98">
        <v>10</v>
      </c>
      <c r="K98" s="1">
        <v>0.15</v>
      </c>
      <c r="L98">
        <v>108.83</v>
      </c>
      <c r="M98" t="s">
        <v>38</v>
      </c>
      <c r="N98" t="s">
        <v>32</v>
      </c>
      <c r="O98" t="str">
        <f t="shared" si="6"/>
        <v>03/11/2025</v>
      </c>
      <c r="P98">
        <f t="shared" si="7"/>
        <v>2025</v>
      </c>
      <c r="Q98">
        <f t="shared" si="8"/>
        <v>11</v>
      </c>
      <c r="R98" t="str">
        <f t="shared" si="9"/>
        <v>November</v>
      </c>
      <c r="S98" t="str">
        <f t="shared" si="10"/>
        <v>Low</v>
      </c>
      <c r="T98" s="1">
        <f t="shared" si="11"/>
        <v>2.3244340025630073E-2</v>
      </c>
      <c r="U98">
        <f>SUM($I$2:I98)</f>
        <v>318803.50000000006</v>
      </c>
      <c r="V98" s="1">
        <f>Table1[[#This Row],[Running total ]]/SUM(I:I)</f>
        <v>9.1994700401626328E-2</v>
      </c>
    </row>
    <row r="99" spans="1:22" x14ac:dyDescent="0.3">
      <c r="A99" t="s">
        <v>359</v>
      </c>
      <c r="B99" t="s">
        <v>360</v>
      </c>
      <c r="C99" t="s">
        <v>120</v>
      </c>
      <c r="D99" t="s">
        <v>137</v>
      </c>
      <c r="E99" t="s">
        <v>142</v>
      </c>
      <c r="F99" t="s">
        <v>19</v>
      </c>
      <c r="G99" t="s">
        <v>20</v>
      </c>
      <c r="H99" t="s">
        <v>21</v>
      </c>
      <c r="I99">
        <v>2116.17</v>
      </c>
      <c r="J99">
        <v>9</v>
      </c>
      <c r="K99" s="1">
        <v>0.15</v>
      </c>
      <c r="L99">
        <v>136.69999999999999</v>
      </c>
      <c r="M99" t="s">
        <v>87</v>
      </c>
      <c r="N99" t="s">
        <v>76</v>
      </c>
      <c r="O99" t="str">
        <f t="shared" si="6"/>
        <v>05/07/2025</v>
      </c>
      <c r="P99">
        <f t="shared" si="7"/>
        <v>2025</v>
      </c>
      <c r="Q99">
        <f t="shared" si="8"/>
        <v>7</v>
      </c>
      <c r="R99" t="str">
        <f t="shared" si="9"/>
        <v>July</v>
      </c>
      <c r="S99" t="str">
        <f t="shared" si="10"/>
        <v>Low</v>
      </c>
      <c r="T99" s="1">
        <f t="shared" si="11"/>
        <v>6.4597834767528117E-2</v>
      </c>
      <c r="U99">
        <f>SUM($I$2:I99)</f>
        <v>320919.67000000004</v>
      </c>
      <c r="V99" s="1">
        <f>Table1[[#This Row],[Running total ]]/SUM(I:I)</f>
        <v>9.2605347477799915E-2</v>
      </c>
    </row>
    <row r="100" spans="1:22" x14ac:dyDescent="0.3">
      <c r="A100" t="s">
        <v>361</v>
      </c>
      <c r="B100" t="s">
        <v>362</v>
      </c>
      <c r="C100" t="s">
        <v>235</v>
      </c>
      <c r="D100" t="s">
        <v>48</v>
      </c>
      <c r="E100" t="s">
        <v>73</v>
      </c>
      <c r="F100" t="s">
        <v>19</v>
      </c>
      <c r="G100" t="s">
        <v>36</v>
      </c>
      <c r="H100" t="s">
        <v>111</v>
      </c>
      <c r="I100">
        <v>635.54</v>
      </c>
      <c r="J100">
        <v>2</v>
      </c>
      <c r="K100" s="1">
        <v>0.2</v>
      </c>
      <c r="L100">
        <v>112.32</v>
      </c>
      <c r="M100" t="s">
        <v>117</v>
      </c>
      <c r="N100" t="s">
        <v>76</v>
      </c>
      <c r="O100" t="str">
        <f t="shared" si="6"/>
        <v>15/02/2025</v>
      </c>
      <c r="P100">
        <f t="shared" si="7"/>
        <v>2025</v>
      </c>
      <c r="Q100">
        <f t="shared" si="8"/>
        <v>2</v>
      </c>
      <c r="R100" t="str">
        <f t="shared" si="9"/>
        <v>February</v>
      </c>
      <c r="S100" t="str">
        <f t="shared" si="10"/>
        <v>Low</v>
      </c>
      <c r="T100" s="1">
        <f t="shared" si="11"/>
        <v>0.17673159832583316</v>
      </c>
      <c r="U100">
        <f>SUM($I$2:I100)</f>
        <v>321555.21000000002</v>
      </c>
      <c r="V100" s="1">
        <f>Table1[[#This Row],[Running total ]]/SUM(I:I)</f>
        <v>9.2788740420139779E-2</v>
      </c>
    </row>
    <row r="101" spans="1:22" x14ac:dyDescent="0.3">
      <c r="A101" t="s">
        <v>363</v>
      </c>
      <c r="B101" t="s">
        <v>364</v>
      </c>
      <c r="C101" t="s">
        <v>268</v>
      </c>
      <c r="D101" t="s">
        <v>17</v>
      </c>
      <c r="E101" t="s">
        <v>54</v>
      </c>
      <c r="F101" t="s">
        <v>19</v>
      </c>
      <c r="G101" t="s">
        <v>29</v>
      </c>
      <c r="H101" t="s">
        <v>30</v>
      </c>
      <c r="I101">
        <v>1950.06</v>
      </c>
      <c r="J101">
        <v>3</v>
      </c>
      <c r="K101" s="1">
        <v>0.05</v>
      </c>
      <c r="L101">
        <v>204.4</v>
      </c>
      <c r="M101" t="s">
        <v>31</v>
      </c>
      <c r="N101" t="s">
        <v>76</v>
      </c>
      <c r="O101" t="str">
        <f t="shared" si="6"/>
        <v>12/02/2024</v>
      </c>
      <c r="P101">
        <f t="shared" si="7"/>
        <v>2024</v>
      </c>
      <c r="Q101">
        <f t="shared" si="8"/>
        <v>2</v>
      </c>
      <c r="R101" t="str">
        <f t="shared" si="9"/>
        <v>February</v>
      </c>
      <c r="S101" t="str">
        <f t="shared" si="10"/>
        <v>High</v>
      </c>
      <c r="T101" s="1">
        <f t="shared" si="11"/>
        <v>0.10481728767319981</v>
      </c>
      <c r="U101">
        <f>SUM($I$2:I101)</f>
        <v>323505.27</v>
      </c>
      <c r="V101" s="1">
        <f>Table1[[#This Row],[Running total ]]/SUM(I:I)</f>
        <v>9.3351454397449296E-2</v>
      </c>
    </row>
    <row r="102" spans="1:22" x14ac:dyDescent="0.3">
      <c r="A102" t="s">
        <v>365</v>
      </c>
      <c r="B102" t="s">
        <v>366</v>
      </c>
      <c r="C102" t="s">
        <v>367</v>
      </c>
      <c r="D102" t="s">
        <v>27</v>
      </c>
      <c r="E102" t="s">
        <v>28</v>
      </c>
      <c r="F102" t="s">
        <v>55</v>
      </c>
      <c r="G102" t="s">
        <v>56</v>
      </c>
      <c r="H102" t="s">
        <v>129</v>
      </c>
      <c r="I102">
        <v>4904.46</v>
      </c>
      <c r="J102">
        <v>6</v>
      </c>
      <c r="K102" s="1">
        <v>0</v>
      </c>
      <c r="L102">
        <v>2115.63</v>
      </c>
      <c r="M102" t="s">
        <v>107</v>
      </c>
      <c r="N102" t="s">
        <v>23</v>
      </c>
      <c r="O102" t="str">
        <f t="shared" si="6"/>
        <v>21/09/2024</v>
      </c>
      <c r="P102">
        <f t="shared" si="7"/>
        <v>2024</v>
      </c>
      <c r="Q102">
        <f t="shared" si="8"/>
        <v>9</v>
      </c>
      <c r="R102" t="str">
        <f t="shared" si="9"/>
        <v>September</v>
      </c>
      <c r="S102" t="str">
        <f t="shared" si="10"/>
        <v>No Discount</v>
      </c>
      <c r="T102" s="1">
        <f t="shared" si="11"/>
        <v>0.43136859103754543</v>
      </c>
      <c r="U102">
        <f>SUM($I$2:I102)</f>
        <v>328409.73000000004</v>
      </c>
      <c r="V102" s="1">
        <f>Table1[[#This Row],[Running total ]]/SUM(I:I)</f>
        <v>9.4766697104420095E-2</v>
      </c>
    </row>
    <row r="103" spans="1:22" x14ac:dyDescent="0.3">
      <c r="A103" t="s">
        <v>368</v>
      </c>
      <c r="B103" t="s">
        <v>369</v>
      </c>
      <c r="C103" t="s">
        <v>370</v>
      </c>
      <c r="D103" t="s">
        <v>48</v>
      </c>
      <c r="E103" t="s">
        <v>110</v>
      </c>
      <c r="F103" t="s">
        <v>55</v>
      </c>
      <c r="G103" t="s">
        <v>98</v>
      </c>
      <c r="H103" t="s">
        <v>150</v>
      </c>
      <c r="I103">
        <v>5038.88</v>
      </c>
      <c r="J103">
        <v>7</v>
      </c>
      <c r="K103" s="1">
        <v>0.25</v>
      </c>
      <c r="L103">
        <v>-690.95</v>
      </c>
      <c r="M103" t="s">
        <v>38</v>
      </c>
      <c r="N103" t="s">
        <v>32</v>
      </c>
      <c r="O103" t="str">
        <f t="shared" si="6"/>
        <v>30/06/2025</v>
      </c>
      <c r="P103">
        <f t="shared" si="7"/>
        <v>2025</v>
      </c>
      <c r="Q103">
        <f t="shared" si="8"/>
        <v>6</v>
      </c>
      <c r="R103" t="str">
        <f t="shared" si="9"/>
        <v>June</v>
      </c>
      <c r="S103" t="str">
        <f t="shared" si="10"/>
        <v>Low</v>
      </c>
      <c r="T103" s="1">
        <f t="shared" si="11"/>
        <v>-0.13712372590734451</v>
      </c>
      <c r="U103">
        <f>SUM($I$2:I103)</f>
        <v>333448.61000000004</v>
      </c>
      <c r="V103" s="1">
        <f>Table1[[#This Row],[Running total ]]/SUM(I:I)</f>
        <v>9.6220728368066027E-2</v>
      </c>
    </row>
    <row r="104" spans="1:22" x14ac:dyDescent="0.3">
      <c r="A104" t="s">
        <v>371</v>
      </c>
      <c r="B104" t="s">
        <v>372</v>
      </c>
      <c r="C104" t="s">
        <v>172</v>
      </c>
      <c r="D104" t="s">
        <v>17</v>
      </c>
      <c r="E104" t="s">
        <v>54</v>
      </c>
      <c r="F104" t="s">
        <v>55</v>
      </c>
      <c r="G104" t="s">
        <v>98</v>
      </c>
      <c r="H104" t="s">
        <v>150</v>
      </c>
      <c r="I104">
        <v>1862.9</v>
      </c>
      <c r="J104">
        <v>10</v>
      </c>
      <c r="K104" s="1">
        <v>0.05</v>
      </c>
      <c r="L104">
        <v>164.13</v>
      </c>
      <c r="M104" t="s">
        <v>63</v>
      </c>
      <c r="N104" t="s">
        <v>76</v>
      </c>
      <c r="O104" t="str">
        <f t="shared" si="6"/>
        <v>28/07/2024</v>
      </c>
      <c r="P104">
        <f t="shared" si="7"/>
        <v>2024</v>
      </c>
      <c r="Q104">
        <f t="shared" si="8"/>
        <v>7</v>
      </c>
      <c r="R104" t="str">
        <f t="shared" si="9"/>
        <v>July</v>
      </c>
      <c r="S104" t="str">
        <f t="shared" si="10"/>
        <v>High</v>
      </c>
      <c r="T104" s="1">
        <f t="shared" si="11"/>
        <v>8.8104568146438342E-2</v>
      </c>
      <c r="U104">
        <f>SUM($I$2:I104)</f>
        <v>335311.51000000007</v>
      </c>
      <c r="V104" s="1">
        <f>Table1[[#This Row],[Running total ]]/SUM(I:I)</f>
        <v>9.6758291247326114E-2</v>
      </c>
    </row>
    <row r="105" spans="1:22" x14ac:dyDescent="0.3">
      <c r="A105" t="s">
        <v>373</v>
      </c>
      <c r="B105" t="s">
        <v>374</v>
      </c>
      <c r="C105" t="s">
        <v>375</v>
      </c>
      <c r="D105" t="s">
        <v>137</v>
      </c>
      <c r="E105" t="s">
        <v>160</v>
      </c>
      <c r="F105" t="s">
        <v>67</v>
      </c>
      <c r="G105" t="s">
        <v>85</v>
      </c>
      <c r="H105" t="s">
        <v>125</v>
      </c>
      <c r="I105">
        <v>5749.47</v>
      </c>
      <c r="J105">
        <v>9</v>
      </c>
      <c r="K105" s="1">
        <v>0.1</v>
      </c>
      <c r="L105">
        <v>-111.31</v>
      </c>
      <c r="M105" t="s">
        <v>87</v>
      </c>
      <c r="N105" t="s">
        <v>32</v>
      </c>
      <c r="O105" t="str">
        <f t="shared" si="6"/>
        <v>07/03/2025</v>
      </c>
      <c r="P105">
        <f t="shared" si="7"/>
        <v>2025</v>
      </c>
      <c r="Q105">
        <f t="shared" si="8"/>
        <v>3</v>
      </c>
      <c r="R105" t="str">
        <f t="shared" si="9"/>
        <v>March</v>
      </c>
      <c r="S105" t="str">
        <f t="shared" si="10"/>
        <v>Low</v>
      </c>
      <c r="T105" s="1">
        <f t="shared" si="11"/>
        <v>-1.9360045360702811E-2</v>
      </c>
      <c r="U105">
        <f>SUM($I$2:I105)</f>
        <v>341060.98000000004</v>
      </c>
      <c r="V105" s="1">
        <f>Table1[[#This Row],[Running total ]]/SUM(I:I)</f>
        <v>9.841737206079941E-2</v>
      </c>
    </row>
    <row r="106" spans="1:22" x14ac:dyDescent="0.3">
      <c r="A106" t="s">
        <v>376</v>
      </c>
      <c r="B106" t="s">
        <v>377</v>
      </c>
      <c r="C106" t="s">
        <v>378</v>
      </c>
      <c r="D106" t="s">
        <v>17</v>
      </c>
      <c r="E106" t="s">
        <v>97</v>
      </c>
      <c r="F106" t="s">
        <v>55</v>
      </c>
      <c r="G106" t="s">
        <v>56</v>
      </c>
      <c r="H106" t="s">
        <v>129</v>
      </c>
      <c r="I106">
        <v>2452.08</v>
      </c>
      <c r="J106">
        <v>3</v>
      </c>
      <c r="K106" s="1">
        <v>0.25</v>
      </c>
      <c r="L106">
        <v>286.58999999999997</v>
      </c>
      <c r="M106" t="s">
        <v>38</v>
      </c>
      <c r="N106" t="s">
        <v>32</v>
      </c>
      <c r="O106" t="str">
        <f t="shared" si="6"/>
        <v>23/04/2024</v>
      </c>
      <c r="P106">
        <f t="shared" si="7"/>
        <v>2024</v>
      </c>
      <c r="Q106">
        <f t="shared" si="8"/>
        <v>4</v>
      </c>
      <c r="R106" t="str">
        <f t="shared" si="9"/>
        <v>April</v>
      </c>
      <c r="S106" t="str">
        <f t="shared" si="10"/>
        <v>Low</v>
      </c>
      <c r="T106" s="1">
        <f t="shared" si="11"/>
        <v>0.11687628462366643</v>
      </c>
      <c r="U106">
        <f>SUM($I$2:I106)</f>
        <v>343513.06000000006</v>
      </c>
      <c r="V106" s="1">
        <f>Table1[[#This Row],[Running total ]]/SUM(I:I)</f>
        <v>9.9124950129926073E-2</v>
      </c>
    </row>
    <row r="107" spans="1:22" x14ac:dyDescent="0.3">
      <c r="A107" t="s">
        <v>379</v>
      </c>
      <c r="B107" t="s">
        <v>380</v>
      </c>
      <c r="C107" t="s">
        <v>381</v>
      </c>
      <c r="D107" t="s">
        <v>48</v>
      </c>
      <c r="E107" t="s">
        <v>84</v>
      </c>
      <c r="F107" t="s">
        <v>67</v>
      </c>
      <c r="G107" t="s">
        <v>68</v>
      </c>
      <c r="H107" t="s">
        <v>382</v>
      </c>
      <c r="I107">
        <v>9498.48</v>
      </c>
      <c r="J107">
        <v>8</v>
      </c>
      <c r="K107" s="1">
        <v>0.15</v>
      </c>
      <c r="L107">
        <v>479.9</v>
      </c>
      <c r="M107" t="s">
        <v>44</v>
      </c>
      <c r="N107" t="s">
        <v>76</v>
      </c>
      <c r="O107" t="str">
        <f t="shared" si="6"/>
        <v>12/11/2025</v>
      </c>
      <c r="P107">
        <f t="shared" si="7"/>
        <v>2025</v>
      </c>
      <c r="Q107">
        <f t="shared" si="8"/>
        <v>11</v>
      </c>
      <c r="R107" t="str">
        <f t="shared" si="9"/>
        <v>November</v>
      </c>
      <c r="S107" t="str">
        <f t="shared" si="10"/>
        <v>Low</v>
      </c>
      <c r="T107" s="1">
        <f t="shared" si="11"/>
        <v>5.0523873293411153E-2</v>
      </c>
      <c r="U107">
        <f>SUM($I$2:I107)</f>
        <v>353011.54000000004</v>
      </c>
      <c r="V107" s="1">
        <f>Table1[[#This Row],[Running total ]]/SUM(I:I)</f>
        <v>0.10186585423502792</v>
      </c>
    </row>
    <row r="108" spans="1:22" x14ac:dyDescent="0.3">
      <c r="A108" t="s">
        <v>383</v>
      </c>
      <c r="B108" t="s">
        <v>384</v>
      </c>
      <c r="C108" t="s">
        <v>308</v>
      </c>
      <c r="D108" t="s">
        <v>27</v>
      </c>
      <c r="E108" t="s">
        <v>124</v>
      </c>
      <c r="F108" t="s">
        <v>55</v>
      </c>
      <c r="G108" t="s">
        <v>98</v>
      </c>
      <c r="H108" t="s">
        <v>99</v>
      </c>
      <c r="I108">
        <v>3163.2</v>
      </c>
      <c r="J108">
        <v>3</v>
      </c>
      <c r="K108" s="1">
        <v>0.3</v>
      </c>
      <c r="L108">
        <v>114.73</v>
      </c>
      <c r="M108" t="s">
        <v>195</v>
      </c>
      <c r="N108" t="s">
        <v>39</v>
      </c>
      <c r="O108" t="str">
        <f t="shared" si="6"/>
        <v>02/06/2025</v>
      </c>
      <c r="P108">
        <f t="shared" si="7"/>
        <v>2025</v>
      </c>
      <c r="Q108">
        <f t="shared" si="8"/>
        <v>6</v>
      </c>
      <c r="R108" t="str">
        <f t="shared" si="9"/>
        <v>June</v>
      </c>
      <c r="S108" t="str">
        <f t="shared" si="10"/>
        <v>Low</v>
      </c>
      <c r="T108" s="1">
        <f t="shared" si="11"/>
        <v>3.6270232675771376E-2</v>
      </c>
      <c r="U108">
        <f>SUM($I$2:I108)</f>
        <v>356174.74000000005</v>
      </c>
      <c r="V108" s="1">
        <f>Table1[[#This Row],[Running total ]]/SUM(I:I)</f>
        <v>0.10277863479204949</v>
      </c>
    </row>
    <row r="109" spans="1:22" x14ac:dyDescent="0.3">
      <c r="A109" t="s">
        <v>385</v>
      </c>
      <c r="B109" t="s">
        <v>105</v>
      </c>
      <c r="C109" t="s">
        <v>386</v>
      </c>
      <c r="D109" t="s">
        <v>137</v>
      </c>
      <c r="E109" t="s">
        <v>142</v>
      </c>
      <c r="F109" t="s">
        <v>67</v>
      </c>
      <c r="G109" t="s">
        <v>115</v>
      </c>
      <c r="H109" t="s">
        <v>116</v>
      </c>
      <c r="I109">
        <v>72.599999999999994</v>
      </c>
      <c r="J109">
        <v>4</v>
      </c>
      <c r="K109" s="1">
        <v>0</v>
      </c>
      <c r="L109">
        <v>4.68</v>
      </c>
      <c r="M109" t="s">
        <v>22</v>
      </c>
      <c r="N109" t="s">
        <v>39</v>
      </c>
      <c r="O109" t="str">
        <f t="shared" si="6"/>
        <v>27/03/2025</v>
      </c>
      <c r="P109">
        <f t="shared" si="7"/>
        <v>2025</v>
      </c>
      <c r="Q109">
        <f t="shared" si="8"/>
        <v>3</v>
      </c>
      <c r="R109" t="str">
        <f t="shared" si="9"/>
        <v>March</v>
      </c>
      <c r="S109" t="str">
        <f t="shared" si="10"/>
        <v>No Discount</v>
      </c>
      <c r="T109" s="1">
        <f t="shared" si="11"/>
        <v>6.4462809917355368E-2</v>
      </c>
      <c r="U109">
        <f>SUM($I$2:I109)</f>
        <v>356247.34</v>
      </c>
      <c r="V109" s="1">
        <f>Table1[[#This Row],[Running total ]]/SUM(I:I)</f>
        <v>0.10279958442167764</v>
      </c>
    </row>
    <row r="110" spans="1:22" x14ac:dyDescent="0.3">
      <c r="A110" t="s">
        <v>387</v>
      </c>
      <c r="B110" t="s">
        <v>388</v>
      </c>
      <c r="C110" t="s">
        <v>305</v>
      </c>
      <c r="D110" t="s">
        <v>48</v>
      </c>
      <c r="E110" t="s">
        <v>110</v>
      </c>
      <c r="F110" t="s">
        <v>67</v>
      </c>
      <c r="G110" t="s">
        <v>115</v>
      </c>
      <c r="H110" t="s">
        <v>116</v>
      </c>
      <c r="I110">
        <v>2205.54</v>
      </c>
      <c r="J110">
        <v>2</v>
      </c>
      <c r="K110" s="1">
        <v>0.3</v>
      </c>
      <c r="L110">
        <v>-424.47</v>
      </c>
      <c r="M110" t="s">
        <v>107</v>
      </c>
      <c r="N110" t="s">
        <v>23</v>
      </c>
      <c r="O110" t="str">
        <f t="shared" si="6"/>
        <v>04/01/2025</v>
      </c>
      <c r="P110">
        <f t="shared" si="7"/>
        <v>2025</v>
      </c>
      <c r="Q110">
        <f t="shared" si="8"/>
        <v>1</v>
      </c>
      <c r="R110" t="str">
        <f t="shared" si="9"/>
        <v>January</v>
      </c>
      <c r="S110" t="str">
        <f t="shared" si="10"/>
        <v>Low</v>
      </c>
      <c r="T110" s="1">
        <f t="shared" si="11"/>
        <v>-0.19245626921298187</v>
      </c>
      <c r="U110">
        <f>SUM($I$2:I110)</f>
        <v>358452.88</v>
      </c>
      <c r="V110" s="1">
        <f>Table1[[#This Row],[Running total ]]/SUM(I:I)</f>
        <v>0.10343602031878604</v>
      </c>
    </row>
    <row r="111" spans="1:22" x14ac:dyDescent="0.3">
      <c r="A111" t="s">
        <v>389</v>
      </c>
      <c r="B111" t="s">
        <v>390</v>
      </c>
      <c r="C111" t="s">
        <v>256</v>
      </c>
      <c r="D111" t="s">
        <v>27</v>
      </c>
      <c r="E111" t="s">
        <v>28</v>
      </c>
      <c r="F111" t="s">
        <v>55</v>
      </c>
      <c r="G111" t="s">
        <v>98</v>
      </c>
      <c r="H111" t="s">
        <v>154</v>
      </c>
      <c r="I111">
        <v>1273.83</v>
      </c>
      <c r="J111">
        <v>3</v>
      </c>
      <c r="K111" s="1">
        <v>0.2</v>
      </c>
      <c r="L111">
        <v>95.16</v>
      </c>
      <c r="M111" t="s">
        <v>117</v>
      </c>
      <c r="N111" t="s">
        <v>76</v>
      </c>
      <c r="O111" t="str">
        <f t="shared" si="6"/>
        <v>21/01/2024</v>
      </c>
      <c r="P111">
        <f t="shared" si="7"/>
        <v>2024</v>
      </c>
      <c r="Q111">
        <f t="shared" si="8"/>
        <v>1</v>
      </c>
      <c r="R111" t="str">
        <f t="shared" si="9"/>
        <v>January</v>
      </c>
      <c r="S111" t="str">
        <f t="shared" si="10"/>
        <v>Low</v>
      </c>
      <c r="T111" s="1">
        <f t="shared" si="11"/>
        <v>7.4703845882103576E-2</v>
      </c>
      <c r="U111">
        <f>SUM($I$2:I111)</f>
        <v>359726.71</v>
      </c>
      <c r="V111" s="1">
        <f>Table1[[#This Row],[Running total ]]/SUM(I:I)</f>
        <v>0.10380359975004262</v>
      </c>
    </row>
    <row r="112" spans="1:22" x14ac:dyDescent="0.3">
      <c r="A112" t="s">
        <v>391</v>
      </c>
      <c r="B112" t="s">
        <v>392</v>
      </c>
      <c r="C112" t="s">
        <v>262</v>
      </c>
      <c r="D112" t="s">
        <v>27</v>
      </c>
      <c r="E112" t="s">
        <v>61</v>
      </c>
      <c r="F112" t="s">
        <v>67</v>
      </c>
      <c r="G112" t="s">
        <v>85</v>
      </c>
      <c r="H112" t="s">
        <v>253</v>
      </c>
      <c r="I112">
        <v>4671.59</v>
      </c>
      <c r="J112">
        <v>7</v>
      </c>
      <c r="K112" s="1">
        <v>0.05</v>
      </c>
      <c r="L112">
        <v>378.52</v>
      </c>
      <c r="M112" t="s">
        <v>107</v>
      </c>
      <c r="N112" t="s">
        <v>76</v>
      </c>
      <c r="O112" t="str">
        <f t="shared" si="6"/>
        <v>02/10/2025</v>
      </c>
      <c r="P112">
        <f t="shared" si="7"/>
        <v>2025</v>
      </c>
      <c r="Q112">
        <f t="shared" si="8"/>
        <v>10</v>
      </c>
      <c r="R112" t="str">
        <f t="shared" si="9"/>
        <v>October</v>
      </c>
      <c r="S112" t="str">
        <f t="shared" si="10"/>
        <v>High</v>
      </c>
      <c r="T112" s="1">
        <f t="shared" si="11"/>
        <v>8.102594619818948E-2</v>
      </c>
      <c r="U112">
        <f>SUM($I$2:I112)</f>
        <v>364398.30000000005</v>
      </c>
      <c r="V112" s="1">
        <f>Table1[[#This Row],[Running total ]]/SUM(I:I)</f>
        <v>0.10515164493288796</v>
      </c>
    </row>
    <row r="113" spans="1:22" x14ac:dyDescent="0.3">
      <c r="A113" t="s">
        <v>393</v>
      </c>
      <c r="B113" t="s">
        <v>394</v>
      </c>
      <c r="C113" t="s">
        <v>395</v>
      </c>
      <c r="D113" t="s">
        <v>27</v>
      </c>
      <c r="E113" t="s">
        <v>61</v>
      </c>
      <c r="F113" t="s">
        <v>67</v>
      </c>
      <c r="G113" t="s">
        <v>85</v>
      </c>
      <c r="H113" t="s">
        <v>253</v>
      </c>
      <c r="I113">
        <v>5792.94</v>
      </c>
      <c r="J113">
        <v>6</v>
      </c>
      <c r="K113" s="1">
        <v>0.15</v>
      </c>
      <c r="L113">
        <v>1438.99</v>
      </c>
      <c r="M113" t="s">
        <v>87</v>
      </c>
      <c r="N113" t="s">
        <v>39</v>
      </c>
      <c r="O113" t="str">
        <f t="shared" si="6"/>
        <v>02/09/2024</v>
      </c>
      <c r="P113">
        <f t="shared" si="7"/>
        <v>2024</v>
      </c>
      <c r="Q113">
        <f t="shared" si="8"/>
        <v>9</v>
      </c>
      <c r="R113" t="str">
        <f t="shared" si="9"/>
        <v>September</v>
      </c>
      <c r="S113" t="str">
        <f t="shared" si="10"/>
        <v>Low</v>
      </c>
      <c r="T113" s="1">
        <f t="shared" si="11"/>
        <v>0.24840409187735418</v>
      </c>
      <c r="U113">
        <f>SUM($I$2:I113)</f>
        <v>370191.24000000005</v>
      </c>
      <c r="V113" s="1">
        <f>Table1[[#This Row],[Running total ]]/SUM(I:I)</f>
        <v>0.10682326955352292</v>
      </c>
    </row>
    <row r="114" spans="1:22" x14ac:dyDescent="0.3">
      <c r="A114" t="s">
        <v>396</v>
      </c>
      <c r="B114" t="s">
        <v>397</v>
      </c>
      <c r="C114" t="s">
        <v>93</v>
      </c>
      <c r="D114" t="s">
        <v>17</v>
      </c>
      <c r="E114" t="s">
        <v>54</v>
      </c>
      <c r="F114" t="s">
        <v>19</v>
      </c>
      <c r="G114" t="s">
        <v>29</v>
      </c>
      <c r="H114" t="s">
        <v>30</v>
      </c>
      <c r="I114">
        <v>879.2</v>
      </c>
      <c r="J114">
        <v>7</v>
      </c>
      <c r="K114" s="1">
        <v>0.15</v>
      </c>
      <c r="L114">
        <v>164.59</v>
      </c>
      <c r="M114" t="s">
        <v>38</v>
      </c>
      <c r="N114" t="s">
        <v>39</v>
      </c>
      <c r="O114" t="str">
        <f t="shared" si="6"/>
        <v>28/07/2025</v>
      </c>
      <c r="P114">
        <f t="shared" si="7"/>
        <v>2025</v>
      </c>
      <c r="Q114">
        <f t="shared" si="8"/>
        <v>7</v>
      </c>
      <c r="R114" t="str">
        <f t="shared" si="9"/>
        <v>July</v>
      </c>
      <c r="S114" t="str">
        <f t="shared" si="10"/>
        <v>Low</v>
      </c>
      <c r="T114" s="1">
        <f t="shared" si="11"/>
        <v>0.18720427661510464</v>
      </c>
      <c r="U114">
        <f>SUM($I$2:I114)</f>
        <v>371070.44000000006</v>
      </c>
      <c r="V114" s="1">
        <f>Table1[[#This Row],[Running total ]]/SUM(I:I)</f>
        <v>0.10707697360819331</v>
      </c>
    </row>
    <row r="115" spans="1:22" x14ac:dyDescent="0.3">
      <c r="A115" t="s">
        <v>398</v>
      </c>
      <c r="B115" t="s">
        <v>399</v>
      </c>
      <c r="C115" t="s">
        <v>343</v>
      </c>
      <c r="D115" t="s">
        <v>17</v>
      </c>
      <c r="E115" t="s">
        <v>54</v>
      </c>
      <c r="F115" t="s">
        <v>19</v>
      </c>
      <c r="G115" t="s">
        <v>20</v>
      </c>
      <c r="H115" t="s">
        <v>347</v>
      </c>
      <c r="I115">
        <v>3731.34</v>
      </c>
      <c r="J115">
        <v>6</v>
      </c>
      <c r="K115" s="1">
        <v>0.2</v>
      </c>
      <c r="L115">
        <v>846.82</v>
      </c>
      <c r="M115" t="s">
        <v>38</v>
      </c>
      <c r="N115" t="s">
        <v>32</v>
      </c>
      <c r="O115" t="str">
        <f t="shared" si="6"/>
        <v>04/07/2024</v>
      </c>
      <c r="P115">
        <f t="shared" si="7"/>
        <v>2024</v>
      </c>
      <c r="Q115">
        <f t="shared" si="8"/>
        <v>7</v>
      </c>
      <c r="R115" t="str">
        <f t="shared" si="9"/>
        <v>July</v>
      </c>
      <c r="S115" t="str">
        <f t="shared" si="10"/>
        <v>Low</v>
      </c>
      <c r="T115" s="1">
        <f t="shared" si="11"/>
        <v>0.22694795971420456</v>
      </c>
      <c r="U115">
        <f>SUM($I$2:I115)</f>
        <v>374801.78000000009</v>
      </c>
      <c r="V115" s="1">
        <f>Table1[[#This Row],[Running total ]]/SUM(I:I)</f>
        <v>0.10815369800236278</v>
      </c>
    </row>
    <row r="116" spans="1:22" x14ac:dyDescent="0.3">
      <c r="A116" t="s">
        <v>400</v>
      </c>
      <c r="B116" t="s">
        <v>401</v>
      </c>
      <c r="C116" t="s">
        <v>402</v>
      </c>
      <c r="D116" t="s">
        <v>137</v>
      </c>
      <c r="E116" t="s">
        <v>160</v>
      </c>
      <c r="F116" t="s">
        <v>55</v>
      </c>
      <c r="G116" t="s">
        <v>56</v>
      </c>
      <c r="H116" t="s">
        <v>57</v>
      </c>
      <c r="I116">
        <v>416.8</v>
      </c>
      <c r="J116">
        <v>10</v>
      </c>
      <c r="K116" s="1">
        <v>0</v>
      </c>
      <c r="L116">
        <v>155.55000000000001</v>
      </c>
      <c r="M116" t="s">
        <v>195</v>
      </c>
      <c r="N116" t="s">
        <v>76</v>
      </c>
      <c r="O116" t="str">
        <f t="shared" si="6"/>
        <v>26/10/2024</v>
      </c>
      <c r="P116">
        <f t="shared" si="7"/>
        <v>2024</v>
      </c>
      <c r="Q116">
        <f t="shared" si="8"/>
        <v>10</v>
      </c>
      <c r="R116" t="str">
        <f t="shared" si="9"/>
        <v>October</v>
      </c>
      <c r="S116" t="str">
        <f t="shared" si="10"/>
        <v>No Discount</v>
      </c>
      <c r="T116" s="1">
        <f t="shared" si="11"/>
        <v>0.37320057581573896</v>
      </c>
      <c r="U116">
        <f>SUM($I$2:I116)</f>
        <v>375218.58000000007</v>
      </c>
      <c r="V116" s="1">
        <f>Table1[[#This Row],[Running total ]]/SUM(I:I)</f>
        <v>0.10827397080717012</v>
      </c>
    </row>
    <row r="117" spans="1:22" x14ac:dyDescent="0.3">
      <c r="A117" t="s">
        <v>403</v>
      </c>
      <c r="B117" t="s">
        <v>188</v>
      </c>
      <c r="C117" t="s">
        <v>343</v>
      </c>
      <c r="D117" t="s">
        <v>17</v>
      </c>
      <c r="E117" t="s">
        <v>18</v>
      </c>
      <c r="F117" t="s">
        <v>19</v>
      </c>
      <c r="G117" t="s">
        <v>29</v>
      </c>
      <c r="H117" t="s">
        <v>50</v>
      </c>
      <c r="I117">
        <v>11511.7</v>
      </c>
      <c r="J117">
        <v>10</v>
      </c>
      <c r="K117" s="1">
        <v>0.2</v>
      </c>
      <c r="L117">
        <v>1606.08</v>
      </c>
      <c r="M117" t="s">
        <v>31</v>
      </c>
      <c r="N117" t="s">
        <v>76</v>
      </c>
      <c r="O117" t="str">
        <f t="shared" si="6"/>
        <v>28/06/2025</v>
      </c>
      <c r="P117">
        <f t="shared" si="7"/>
        <v>2025</v>
      </c>
      <c r="Q117">
        <f t="shared" si="8"/>
        <v>6</v>
      </c>
      <c r="R117" t="str">
        <f t="shared" si="9"/>
        <v>June</v>
      </c>
      <c r="S117" t="str">
        <f t="shared" si="10"/>
        <v>Low</v>
      </c>
      <c r="T117" s="1">
        <f t="shared" si="11"/>
        <v>0.13951718686206205</v>
      </c>
      <c r="U117">
        <f>SUM($I$2:I117)</f>
        <v>386730.28000000009</v>
      </c>
      <c r="V117" s="1">
        <f>Table1[[#This Row],[Running total ]]/SUM(I:I)</f>
        <v>0.1115958144902332</v>
      </c>
    </row>
    <row r="118" spans="1:22" x14ac:dyDescent="0.3">
      <c r="A118" t="s">
        <v>404</v>
      </c>
      <c r="B118" t="s">
        <v>405</v>
      </c>
      <c r="C118" t="s">
        <v>265</v>
      </c>
      <c r="D118" t="s">
        <v>48</v>
      </c>
      <c r="E118" t="s">
        <v>110</v>
      </c>
      <c r="F118" t="s">
        <v>67</v>
      </c>
      <c r="G118" t="s">
        <v>115</v>
      </c>
      <c r="H118" t="s">
        <v>178</v>
      </c>
      <c r="I118">
        <v>4603.12</v>
      </c>
      <c r="J118">
        <v>8</v>
      </c>
      <c r="K118" s="1">
        <v>0.15</v>
      </c>
      <c r="L118">
        <v>292.55</v>
      </c>
      <c r="M118" t="s">
        <v>22</v>
      </c>
      <c r="N118" t="s">
        <v>76</v>
      </c>
      <c r="O118" t="str">
        <f t="shared" si="6"/>
        <v>24/12/2025</v>
      </c>
      <c r="P118">
        <f t="shared" si="7"/>
        <v>2025</v>
      </c>
      <c r="Q118">
        <f t="shared" si="8"/>
        <v>12</v>
      </c>
      <c r="R118" t="str">
        <f t="shared" si="9"/>
        <v>December</v>
      </c>
      <c r="S118" t="str">
        <f t="shared" si="10"/>
        <v>Low</v>
      </c>
      <c r="T118" s="1">
        <f t="shared" si="11"/>
        <v>6.3554719407706087E-2</v>
      </c>
      <c r="U118">
        <f>SUM($I$2:I118)</f>
        <v>391333.40000000008</v>
      </c>
      <c r="V118" s="1">
        <f>Table1[[#This Row],[Running total ]]/SUM(I:I)</f>
        <v>0.11292410180612758</v>
      </c>
    </row>
    <row r="119" spans="1:22" x14ac:dyDescent="0.3">
      <c r="A119" t="s">
        <v>406</v>
      </c>
      <c r="B119" t="s">
        <v>407</v>
      </c>
      <c r="C119" t="s">
        <v>408</v>
      </c>
      <c r="D119" t="s">
        <v>137</v>
      </c>
      <c r="E119" t="s">
        <v>160</v>
      </c>
      <c r="F119" t="s">
        <v>67</v>
      </c>
      <c r="G119" t="s">
        <v>115</v>
      </c>
      <c r="H119" t="s">
        <v>178</v>
      </c>
      <c r="I119">
        <v>4821.6000000000004</v>
      </c>
      <c r="J119">
        <v>8</v>
      </c>
      <c r="K119" s="1">
        <v>0.3</v>
      </c>
      <c r="L119">
        <v>487.62</v>
      </c>
      <c r="M119" t="s">
        <v>143</v>
      </c>
      <c r="N119" t="s">
        <v>39</v>
      </c>
      <c r="O119" t="str">
        <f t="shared" si="6"/>
        <v>21/03/2024</v>
      </c>
      <c r="P119">
        <f t="shared" si="7"/>
        <v>2024</v>
      </c>
      <c r="Q119">
        <f t="shared" si="8"/>
        <v>3</v>
      </c>
      <c r="R119" t="str">
        <f t="shared" si="9"/>
        <v>March</v>
      </c>
      <c r="S119" t="str">
        <f t="shared" si="10"/>
        <v>Low</v>
      </c>
      <c r="T119" s="1">
        <f t="shared" si="11"/>
        <v>0.10113240418118466</v>
      </c>
      <c r="U119">
        <f>SUM($I$2:I119)</f>
        <v>396155.00000000006</v>
      </c>
      <c r="V119" s="1">
        <f>Table1[[#This Row],[Running total ]]/SUM(I:I)</f>
        <v>0.11431543423333268</v>
      </c>
    </row>
    <row r="120" spans="1:22" x14ac:dyDescent="0.3">
      <c r="A120" t="s">
        <v>409</v>
      </c>
      <c r="B120" t="s">
        <v>410</v>
      </c>
      <c r="C120" t="s">
        <v>411</v>
      </c>
      <c r="D120" t="s">
        <v>48</v>
      </c>
      <c r="E120" t="s">
        <v>84</v>
      </c>
      <c r="F120" t="s">
        <v>19</v>
      </c>
      <c r="G120" t="s">
        <v>29</v>
      </c>
      <c r="H120" t="s">
        <v>30</v>
      </c>
      <c r="I120">
        <v>235.08</v>
      </c>
      <c r="J120">
        <v>1</v>
      </c>
      <c r="K120" s="1">
        <v>0</v>
      </c>
      <c r="L120">
        <v>40.97</v>
      </c>
      <c r="M120" t="s">
        <v>87</v>
      </c>
      <c r="N120" t="s">
        <v>76</v>
      </c>
      <c r="O120" t="str">
        <f t="shared" si="6"/>
        <v>24/05/2024</v>
      </c>
      <c r="P120">
        <f t="shared" si="7"/>
        <v>2024</v>
      </c>
      <c r="Q120">
        <f t="shared" si="8"/>
        <v>5</v>
      </c>
      <c r="R120" t="str">
        <f t="shared" si="9"/>
        <v>May</v>
      </c>
      <c r="S120" t="str">
        <f t="shared" si="10"/>
        <v>No Discount</v>
      </c>
      <c r="T120" s="1">
        <f t="shared" si="11"/>
        <v>0.17428109579717541</v>
      </c>
      <c r="U120">
        <f>SUM($I$2:I120)</f>
        <v>396390.08000000007</v>
      </c>
      <c r="V120" s="1">
        <f>Table1[[#This Row],[Running total ]]/SUM(I:I)</f>
        <v>0.1143832694803435</v>
      </c>
    </row>
    <row r="121" spans="1:22" x14ac:dyDescent="0.3">
      <c r="A121" t="s">
        <v>412</v>
      </c>
      <c r="B121" t="s">
        <v>413</v>
      </c>
      <c r="C121" t="s">
        <v>324</v>
      </c>
      <c r="D121" t="s">
        <v>137</v>
      </c>
      <c r="E121" t="s">
        <v>142</v>
      </c>
      <c r="F121" t="s">
        <v>55</v>
      </c>
      <c r="G121" t="s">
        <v>98</v>
      </c>
      <c r="H121" t="s">
        <v>154</v>
      </c>
      <c r="I121">
        <v>6252.24</v>
      </c>
      <c r="J121">
        <v>6</v>
      </c>
      <c r="K121" s="1">
        <v>0.25</v>
      </c>
      <c r="L121">
        <v>607.07000000000005</v>
      </c>
      <c r="M121" t="s">
        <v>87</v>
      </c>
      <c r="N121" t="s">
        <v>32</v>
      </c>
      <c r="O121" t="str">
        <f t="shared" si="6"/>
        <v>14/01/2025</v>
      </c>
      <c r="P121">
        <f t="shared" si="7"/>
        <v>2025</v>
      </c>
      <c r="Q121">
        <f t="shared" si="8"/>
        <v>1</v>
      </c>
      <c r="R121" t="str">
        <f t="shared" si="9"/>
        <v>January</v>
      </c>
      <c r="S121" t="str">
        <f t="shared" si="10"/>
        <v>Low</v>
      </c>
      <c r="T121" s="1">
        <f t="shared" si="11"/>
        <v>9.7096400650007048E-2</v>
      </c>
      <c r="U121">
        <f>SUM($I$2:I121)</f>
        <v>402642.32000000007</v>
      </c>
      <c r="V121" s="1">
        <f>Table1[[#This Row],[Running total ]]/SUM(I:I)</f>
        <v>0.11618743080742762</v>
      </c>
    </row>
    <row r="122" spans="1:22" x14ac:dyDescent="0.3">
      <c r="A122" t="s">
        <v>414</v>
      </c>
      <c r="B122" t="s">
        <v>415</v>
      </c>
      <c r="C122" t="s">
        <v>169</v>
      </c>
      <c r="D122" t="s">
        <v>137</v>
      </c>
      <c r="E122" t="s">
        <v>142</v>
      </c>
      <c r="F122" t="s">
        <v>55</v>
      </c>
      <c r="G122" t="s">
        <v>56</v>
      </c>
      <c r="H122" t="s">
        <v>62</v>
      </c>
      <c r="I122">
        <v>3046.82</v>
      </c>
      <c r="J122">
        <v>7</v>
      </c>
      <c r="K122" s="1">
        <v>0.15</v>
      </c>
      <c r="L122">
        <v>726.68</v>
      </c>
      <c r="M122" t="s">
        <v>117</v>
      </c>
      <c r="N122" t="s">
        <v>39</v>
      </c>
      <c r="O122" t="str">
        <f t="shared" si="6"/>
        <v>10/12/2024</v>
      </c>
      <c r="P122">
        <f t="shared" si="7"/>
        <v>2024</v>
      </c>
      <c r="Q122">
        <f t="shared" si="8"/>
        <v>12</v>
      </c>
      <c r="R122" t="str">
        <f t="shared" si="9"/>
        <v>December</v>
      </c>
      <c r="S122" t="str">
        <f t="shared" si="10"/>
        <v>Low</v>
      </c>
      <c r="T122" s="1">
        <f t="shared" si="11"/>
        <v>0.23850440787443955</v>
      </c>
      <c r="U122">
        <f>SUM($I$2:I122)</f>
        <v>405689.14000000007</v>
      </c>
      <c r="V122" s="1">
        <f>Table1[[#This Row],[Running total ]]/SUM(I:I)</f>
        <v>0.117066628473318</v>
      </c>
    </row>
    <row r="123" spans="1:22" x14ac:dyDescent="0.3">
      <c r="A123" t="s">
        <v>416</v>
      </c>
      <c r="B123" t="s">
        <v>417</v>
      </c>
      <c r="C123" t="s">
        <v>418</v>
      </c>
      <c r="D123" t="s">
        <v>137</v>
      </c>
      <c r="E123" t="s">
        <v>142</v>
      </c>
      <c r="F123" t="s">
        <v>19</v>
      </c>
      <c r="G123" t="s">
        <v>20</v>
      </c>
      <c r="H123" t="s">
        <v>21</v>
      </c>
      <c r="I123">
        <v>7186.88</v>
      </c>
      <c r="J123">
        <v>8</v>
      </c>
      <c r="K123" s="1">
        <v>0.1</v>
      </c>
      <c r="L123">
        <v>248.3</v>
      </c>
      <c r="M123" t="s">
        <v>87</v>
      </c>
      <c r="N123" t="s">
        <v>23</v>
      </c>
      <c r="O123" t="str">
        <f t="shared" si="6"/>
        <v>01/03/2024</v>
      </c>
      <c r="P123">
        <f t="shared" si="7"/>
        <v>2024</v>
      </c>
      <c r="Q123">
        <f t="shared" si="8"/>
        <v>3</v>
      </c>
      <c r="R123" t="str">
        <f t="shared" si="9"/>
        <v>March</v>
      </c>
      <c r="S123" t="str">
        <f t="shared" si="10"/>
        <v>Low</v>
      </c>
      <c r="T123" s="1">
        <f t="shared" si="11"/>
        <v>3.4549067189100141E-2</v>
      </c>
      <c r="U123">
        <f>SUM($I$2:I123)</f>
        <v>412876.02000000008</v>
      </c>
      <c r="V123" s="1">
        <f>Table1[[#This Row],[Running total ]]/SUM(I:I)</f>
        <v>0.11914049175406129</v>
      </c>
    </row>
    <row r="124" spans="1:22" x14ac:dyDescent="0.3">
      <c r="A124" t="s">
        <v>419</v>
      </c>
      <c r="B124" t="s">
        <v>420</v>
      </c>
      <c r="C124" t="s">
        <v>421</v>
      </c>
      <c r="D124" t="s">
        <v>48</v>
      </c>
      <c r="E124" t="s">
        <v>49</v>
      </c>
      <c r="F124" t="s">
        <v>67</v>
      </c>
      <c r="G124" t="s">
        <v>115</v>
      </c>
      <c r="H124" t="s">
        <v>178</v>
      </c>
      <c r="I124">
        <v>7201.2</v>
      </c>
      <c r="J124">
        <v>10</v>
      </c>
      <c r="K124" s="1">
        <v>0.1</v>
      </c>
      <c r="L124">
        <v>-236.61</v>
      </c>
      <c r="M124" t="s">
        <v>117</v>
      </c>
      <c r="N124" t="s">
        <v>39</v>
      </c>
      <c r="O124" t="str">
        <f t="shared" si="6"/>
        <v>26/07/2024</v>
      </c>
      <c r="P124">
        <f t="shared" si="7"/>
        <v>2024</v>
      </c>
      <c r="Q124">
        <f t="shared" si="8"/>
        <v>7</v>
      </c>
      <c r="R124" t="str">
        <f t="shared" si="9"/>
        <v>July</v>
      </c>
      <c r="S124" t="str">
        <f t="shared" si="10"/>
        <v>Low</v>
      </c>
      <c r="T124" s="1">
        <f t="shared" si="11"/>
        <v>-3.2857023829361773E-2</v>
      </c>
      <c r="U124">
        <f>SUM($I$2:I124)</f>
        <v>420077.22000000009</v>
      </c>
      <c r="V124" s="1">
        <f>Table1[[#This Row],[Running total ]]/SUM(I:I)</f>
        <v>0.12121848724825189</v>
      </c>
    </row>
    <row r="125" spans="1:22" x14ac:dyDescent="0.3">
      <c r="A125" t="s">
        <v>422</v>
      </c>
      <c r="B125" t="s">
        <v>423</v>
      </c>
      <c r="C125" t="s">
        <v>26</v>
      </c>
      <c r="D125" t="s">
        <v>48</v>
      </c>
      <c r="E125" t="s">
        <v>84</v>
      </c>
      <c r="F125" t="s">
        <v>19</v>
      </c>
      <c r="G125" t="s">
        <v>29</v>
      </c>
      <c r="H125" t="s">
        <v>199</v>
      </c>
      <c r="I125">
        <v>3163.8</v>
      </c>
      <c r="J125">
        <v>6</v>
      </c>
      <c r="K125" s="1">
        <v>0</v>
      </c>
      <c r="L125">
        <v>428.01</v>
      </c>
      <c r="M125" t="s">
        <v>107</v>
      </c>
      <c r="N125" t="s">
        <v>76</v>
      </c>
      <c r="O125" t="str">
        <f t="shared" si="6"/>
        <v>07/10/2024</v>
      </c>
      <c r="P125">
        <f t="shared" si="7"/>
        <v>2024</v>
      </c>
      <c r="Q125">
        <f t="shared" si="8"/>
        <v>10</v>
      </c>
      <c r="R125" t="str">
        <f t="shared" si="9"/>
        <v>October</v>
      </c>
      <c r="S125" t="str">
        <f t="shared" si="10"/>
        <v>No Discount</v>
      </c>
      <c r="T125" s="1">
        <f t="shared" si="11"/>
        <v>0.13528351981794043</v>
      </c>
      <c r="U125">
        <f>SUM($I$2:I125)</f>
        <v>423241.02000000008</v>
      </c>
      <c r="V125" s="1">
        <f>Table1[[#This Row],[Running total ]]/SUM(I:I)</f>
        <v>0.12213144094270839</v>
      </c>
    </row>
    <row r="126" spans="1:22" x14ac:dyDescent="0.3">
      <c r="A126" t="s">
        <v>424</v>
      </c>
      <c r="B126" t="s">
        <v>425</v>
      </c>
      <c r="C126" t="s">
        <v>16</v>
      </c>
      <c r="D126" t="s">
        <v>27</v>
      </c>
      <c r="E126" t="s">
        <v>28</v>
      </c>
      <c r="F126" t="s">
        <v>55</v>
      </c>
      <c r="G126" t="s">
        <v>56</v>
      </c>
      <c r="H126" t="s">
        <v>57</v>
      </c>
      <c r="I126">
        <v>349.36</v>
      </c>
      <c r="J126">
        <v>1</v>
      </c>
      <c r="K126" s="1">
        <v>0.15</v>
      </c>
      <c r="L126">
        <v>98.56</v>
      </c>
      <c r="M126" t="s">
        <v>22</v>
      </c>
      <c r="N126" t="s">
        <v>23</v>
      </c>
      <c r="O126" t="str">
        <f t="shared" si="6"/>
        <v>11/04/2024</v>
      </c>
      <c r="P126">
        <f t="shared" si="7"/>
        <v>2024</v>
      </c>
      <c r="Q126">
        <f t="shared" si="8"/>
        <v>4</v>
      </c>
      <c r="R126" t="str">
        <f t="shared" si="9"/>
        <v>April</v>
      </c>
      <c r="S126" t="str">
        <f t="shared" si="10"/>
        <v>Low</v>
      </c>
      <c r="T126" s="1">
        <f t="shared" si="11"/>
        <v>0.28211586901763225</v>
      </c>
      <c r="U126">
        <f>SUM($I$2:I126)</f>
        <v>423590.38000000006</v>
      </c>
      <c r="V126" s="1">
        <f>Table1[[#This Row],[Running total ]]/SUM(I:I)</f>
        <v>0.12223225309982809</v>
      </c>
    </row>
    <row r="127" spans="1:22" x14ac:dyDescent="0.3">
      <c r="A127" t="s">
        <v>426</v>
      </c>
      <c r="B127" t="s">
        <v>427</v>
      </c>
      <c r="C127" t="s">
        <v>90</v>
      </c>
      <c r="D127" t="s">
        <v>48</v>
      </c>
      <c r="E127" t="s">
        <v>84</v>
      </c>
      <c r="F127" t="s">
        <v>19</v>
      </c>
      <c r="G127" t="s">
        <v>29</v>
      </c>
      <c r="H127" t="s">
        <v>199</v>
      </c>
      <c r="I127">
        <v>763.62</v>
      </c>
      <c r="J127">
        <v>2</v>
      </c>
      <c r="K127" s="1">
        <v>0.1</v>
      </c>
      <c r="L127">
        <v>198.23</v>
      </c>
      <c r="M127" t="s">
        <v>195</v>
      </c>
      <c r="N127" t="s">
        <v>39</v>
      </c>
      <c r="O127" t="str">
        <f t="shared" si="6"/>
        <v>07/09/2024</v>
      </c>
      <c r="P127">
        <f t="shared" si="7"/>
        <v>2024</v>
      </c>
      <c r="Q127">
        <f t="shared" si="8"/>
        <v>9</v>
      </c>
      <c r="R127" t="str">
        <f t="shared" si="9"/>
        <v>September</v>
      </c>
      <c r="S127" t="str">
        <f t="shared" si="10"/>
        <v>Low</v>
      </c>
      <c r="T127" s="1">
        <f t="shared" si="11"/>
        <v>0.25959246745763598</v>
      </c>
      <c r="U127">
        <f>SUM($I$2:I127)</f>
        <v>424354.00000000006</v>
      </c>
      <c r="V127" s="1">
        <f>Table1[[#This Row],[Running total ]]/SUM(I:I)</f>
        <v>0.12245260511328054</v>
      </c>
    </row>
    <row r="128" spans="1:22" x14ac:dyDescent="0.3">
      <c r="A128" t="s">
        <v>428</v>
      </c>
      <c r="B128" t="s">
        <v>429</v>
      </c>
      <c r="C128" t="s">
        <v>235</v>
      </c>
      <c r="D128" t="s">
        <v>17</v>
      </c>
      <c r="E128" t="s">
        <v>80</v>
      </c>
      <c r="F128" t="s">
        <v>55</v>
      </c>
      <c r="G128" t="s">
        <v>56</v>
      </c>
      <c r="H128" t="s">
        <v>62</v>
      </c>
      <c r="I128">
        <v>1716.88</v>
      </c>
      <c r="J128">
        <v>8</v>
      </c>
      <c r="K128" s="1">
        <v>0.15</v>
      </c>
      <c r="L128">
        <v>186.44</v>
      </c>
      <c r="M128" t="s">
        <v>22</v>
      </c>
      <c r="N128" t="s">
        <v>32</v>
      </c>
      <c r="O128" t="str">
        <f t="shared" si="6"/>
        <v>22/08/2024</v>
      </c>
      <c r="P128">
        <f t="shared" si="7"/>
        <v>2024</v>
      </c>
      <c r="Q128">
        <f t="shared" si="8"/>
        <v>8</v>
      </c>
      <c r="R128" t="str">
        <f t="shared" si="9"/>
        <v>August</v>
      </c>
      <c r="S128" t="str">
        <f t="shared" si="10"/>
        <v>Low</v>
      </c>
      <c r="T128" s="1">
        <f t="shared" si="11"/>
        <v>0.1085923302735194</v>
      </c>
      <c r="U128">
        <f>SUM($I$2:I128)</f>
        <v>426070.88000000006</v>
      </c>
      <c r="V128" s="1">
        <f>Table1[[#This Row],[Running total ]]/SUM(I:I)</f>
        <v>0.12294803211212323</v>
      </c>
    </row>
    <row r="129" spans="1:22" x14ac:dyDescent="0.3">
      <c r="A129" t="s">
        <v>430</v>
      </c>
      <c r="B129" t="s">
        <v>431</v>
      </c>
      <c r="C129" t="s">
        <v>311</v>
      </c>
      <c r="D129" t="s">
        <v>17</v>
      </c>
      <c r="E129" t="s">
        <v>80</v>
      </c>
      <c r="F129" t="s">
        <v>19</v>
      </c>
      <c r="G129" t="s">
        <v>20</v>
      </c>
      <c r="H129" t="s">
        <v>239</v>
      </c>
      <c r="I129">
        <v>1169.3900000000001</v>
      </c>
      <c r="J129">
        <v>1</v>
      </c>
      <c r="K129" s="1">
        <v>0.25</v>
      </c>
      <c r="L129">
        <v>100.02</v>
      </c>
      <c r="M129" t="s">
        <v>63</v>
      </c>
      <c r="N129" t="s">
        <v>39</v>
      </c>
      <c r="O129" t="str">
        <f t="shared" si="6"/>
        <v>05/04/2025</v>
      </c>
      <c r="P129">
        <f t="shared" si="7"/>
        <v>2025</v>
      </c>
      <c r="Q129">
        <f t="shared" si="8"/>
        <v>4</v>
      </c>
      <c r="R129" t="str">
        <f t="shared" si="9"/>
        <v>April</v>
      </c>
      <c r="S129" t="str">
        <f t="shared" si="10"/>
        <v>Low</v>
      </c>
      <c r="T129" s="1">
        <f t="shared" si="11"/>
        <v>8.5531772975653966E-2</v>
      </c>
      <c r="U129">
        <f>SUM($I$2:I129)</f>
        <v>427240.27000000008</v>
      </c>
      <c r="V129" s="1">
        <f>Table1[[#This Row],[Running total ]]/SUM(I:I)</f>
        <v>0.12328547408720399</v>
      </c>
    </row>
    <row r="130" spans="1:22" x14ac:dyDescent="0.3">
      <c r="A130" t="s">
        <v>432</v>
      </c>
      <c r="B130" t="s">
        <v>433</v>
      </c>
      <c r="C130" t="s">
        <v>434</v>
      </c>
      <c r="D130" t="s">
        <v>27</v>
      </c>
      <c r="E130" t="s">
        <v>28</v>
      </c>
      <c r="F130" t="s">
        <v>67</v>
      </c>
      <c r="G130" t="s">
        <v>115</v>
      </c>
      <c r="H130" t="s">
        <v>116</v>
      </c>
      <c r="I130">
        <v>834.76</v>
      </c>
      <c r="J130">
        <v>1</v>
      </c>
      <c r="K130" s="1">
        <v>0.15</v>
      </c>
      <c r="L130">
        <v>-69.47</v>
      </c>
      <c r="M130" t="s">
        <v>195</v>
      </c>
      <c r="N130" t="s">
        <v>76</v>
      </c>
      <c r="O130" t="str">
        <f t="shared" si="6"/>
        <v>28/06/2024</v>
      </c>
      <c r="P130">
        <f t="shared" si="7"/>
        <v>2024</v>
      </c>
      <c r="Q130">
        <f t="shared" si="8"/>
        <v>6</v>
      </c>
      <c r="R130" t="str">
        <f t="shared" si="9"/>
        <v>June</v>
      </c>
      <c r="S130" t="str">
        <f t="shared" si="10"/>
        <v>Low</v>
      </c>
      <c r="T130" s="1">
        <f t="shared" si="11"/>
        <v>-8.3221524749628642E-2</v>
      </c>
      <c r="U130">
        <f>SUM($I$2:I130)</f>
        <v>428075.03000000009</v>
      </c>
      <c r="V130" s="1">
        <f>Table1[[#This Row],[Running total ]]/SUM(I:I)</f>
        <v>0.12352635442919291</v>
      </c>
    </row>
    <row r="131" spans="1:22" x14ac:dyDescent="0.3">
      <c r="A131" t="s">
        <v>435</v>
      </c>
      <c r="B131" t="s">
        <v>436</v>
      </c>
      <c r="C131" t="s">
        <v>370</v>
      </c>
      <c r="D131" t="s">
        <v>48</v>
      </c>
      <c r="E131" t="s">
        <v>49</v>
      </c>
      <c r="F131" t="s">
        <v>55</v>
      </c>
      <c r="G131" t="s">
        <v>56</v>
      </c>
      <c r="H131" t="s">
        <v>57</v>
      </c>
      <c r="I131">
        <v>4253.3</v>
      </c>
      <c r="J131">
        <v>5</v>
      </c>
      <c r="K131" s="1">
        <v>0.25</v>
      </c>
      <c r="L131">
        <v>-466.39</v>
      </c>
      <c r="M131" t="s">
        <v>31</v>
      </c>
      <c r="N131" t="s">
        <v>39</v>
      </c>
      <c r="O131" t="str">
        <f t="shared" ref="O131:O194" si="12">TEXT(B131,"dd/mm/yyyy")</f>
        <v>15/11/2024</v>
      </c>
      <c r="P131">
        <f t="shared" ref="P131:P194" si="13">YEAR(O131)</f>
        <v>2024</v>
      </c>
      <c r="Q131">
        <f t="shared" ref="Q131:Q194" si="14">MONTH(O131)</f>
        <v>11</v>
      </c>
      <c r="R131" t="str">
        <f t="shared" ref="R131:R194" si="15">TEXT(O131,"mmmm")</f>
        <v>November</v>
      </c>
      <c r="S131" t="str">
        <f t="shared" ref="S131:S194" si="16">IF(K131=0,"No Discount",IF(K131&gt;=0.1,"Low",IF(K131&gt;=0.2,"Medium","High")))</f>
        <v>Low</v>
      </c>
      <c r="T131" s="1">
        <f t="shared" ref="T131:T194" si="17">SUM(L131)/SUM(I131)</f>
        <v>-0.10965368067147861</v>
      </c>
      <c r="U131">
        <f>SUM($I$2:I131)</f>
        <v>432328.33000000007</v>
      </c>
      <c r="V131" s="1">
        <f>Table1[[#This Row],[Running total ]]/SUM(I:I)</f>
        <v>0.12475369684926746</v>
      </c>
    </row>
    <row r="132" spans="1:22" x14ac:dyDescent="0.3">
      <c r="A132" t="s">
        <v>437</v>
      </c>
      <c r="B132" t="s">
        <v>438</v>
      </c>
      <c r="C132" t="s">
        <v>439</v>
      </c>
      <c r="D132" t="s">
        <v>27</v>
      </c>
      <c r="E132" t="s">
        <v>61</v>
      </c>
      <c r="F132" t="s">
        <v>19</v>
      </c>
      <c r="G132" t="s">
        <v>29</v>
      </c>
      <c r="H132" t="s">
        <v>30</v>
      </c>
      <c r="I132">
        <v>3478.58</v>
      </c>
      <c r="J132">
        <v>7</v>
      </c>
      <c r="K132" s="1">
        <v>0.3</v>
      </c>
      <c r="L132">
        <v>-431.2</v>
      </c>
      <c r="M132" t="s">
        <v>107</v>
      </c>
      <c r="N132" t="s">
        <v>39</v>
      </c>
      <c r="O132" t="str">
        <f t="shared" si="12"/>
        <v>06/05/2025</v>
      </c>
      <c r="P132">
        <f t="shared" si="13"/>
        <v>2025</v>
      </c>
      <c r="Q132">
        <f t="shared" si="14"/>
        <v>5</v>
      </c>
      <c r="R132" t="str">
        <f t="shared" si="15"/>
        <v>May</v>
      </c>
      <c r="S132" t="str">
        <f t="shared" si="16"/>
        <v>Low</v>
      </c>
      <c r="T132" s="1">
        <f t="shared" si="17"/>
        <v>-0.12395862679599147</v>
      </c>
      <c r="U132">
        <f>SUM($I$2:I132)</f>
        <v>435806.91000000009</v>
      </c>
      <c r="V132" s="1">
        <f>Table1[[#This Row],[Running total ]]/SUM(I:I)</f>
        <v>0.1257574842133431</v>
      </c>
    </row>
    <row r="133" spans="1:22" x14ac:dyDescent="0.3">
      <c r="A133" t="s">
        <v>440</v>
      </c>
      <c r="B133" t="s">
        <v>441</v>
      </c>
      <c r="C133" t="s">
        <v>442</v>
      </c>
      <c r="D133" t="s">
        <v>48</v>
      </c>
      <c r="E133" t="s">
        <v>49</v>
      </c>
      <c r="F133" t="s">
        <v>19</v>
      </c>
      <c r="G133" t="s">
        <v>20</v>
      </c>
      <c r="H133" t="s">
        <v>347</v>
      </c>
      <c r="I133">
        <v>9469.7999999999993</v>
      </c>
      <c r="J133">
        <v>9</v>
      </c>
      <c r="K133" s="1">
        <v>0.1</v>
      </c>
      <c r="L133">
        <v>2534.31</v>
      </c>
      <c r="M133" t="s">
        <v>87</v>
      </c>
      <c r="N133" t="s">
        <v>76</v>
      </c>
      <c r="O133" t="str">
        <f t="shared" si="12"/>
        <v>17/07/2025</v>
      </c>
      <c r="P133">
        <f t="shared" si="13"/>
        <v>2025</v>
      </c>
      <c r="Q133">
        <f t="shared" si="14"/>
        <v>7</v>
      </c>
      <c r="R133" t="str">
        <f t="shared" si="15"/>
        <v>July</v>
      </c>
      <c r="S133" t="str">
        <f t="shared" si="16"/>
        <v>Low</v>
      </c>
      <c r="T133" s="1">
        <f t="shared" si="17"/>
        <v>0.2676202242919597</v>
      </c>
      <c r="U133">
        <f>SUM($I$2:I133)</f>
        <v>445276.71000000008</v>
      </c>
      <c r="V133" s="1">
        <f>Table1[[#This Row],[Running total ]]/SUM(I:I)</f>
        <v>0.12849011234905466</v>
      </c>
    </row>
    <row r="134" spans="1:22" x14ac:dyDescent="0.3">
      <c r="A134" t="s">
        <v>443</v>
      </c>
      <c r="B134" t="s">
        <v>444</v>
      </c>
      <c r="C134" t="s">
        <v>271</v>
      </c>
      <c r="D134" t="s">
        <v>48</v>
      </c>
      <c r="E134" t="s">
        <v>110</v>
      </c>
      <c r="F134" t="s">
        <v>67</v>
      </c>
      <c r="G134" t="s">
        <v>85</v>
      </c>
      <c r="H134" t="s">
        <v>253</v>
      </c>
      <c r="I134">
        <v>4185.93</v>
      </c>
      <c r="J134">
        <v>7</v>
      </c>
      <c r="K134" s="1">
        <v>0.1</v>
      </c>
      <c r="L134">
        <v>181.17</v>
      </c>
      <c r="M134" t="s">
        <v>87</v>
      </c>
      <c r="N134" t="s">
        <v>32</v>
      </c>
      <c r="O134" t="str">
        <f t="shared" si="12"/>
        <v>06/12/2025</v>
      </c>
      <c r="P134">
        <f t="shared" si="13"/>
        <v>2025</v>
      </c>
      <c r="Q134">
        <f t="shared" si="14"/>
        <v>12</v>
      </c>
      <c r="R134" t="str">
        <f t="shared" si="15"/>
        <v>December</v>
      </c>
      <c r="S134" t="str">
        <f t="shared" si="16"/>
        <v>Low</v>
      </c>
      <c r="T134" s="1">
        <f t="shared" si="17"/>
        <v>4.3280704646279318E-2</v>
      </c>
      <c r="U134">
        <f>SUM($I$2:I134)</f>
        <v>449462.64000000007</v>
      </c>
      <c r="V134" s="1">
        <f>Table1[[#This Row],[Running total ]]/SUM(I:I)</f>
        <v>0.12969801432080899</v>
      </c>
    </row>
    <row r="135" spans="1:22" x14ac:dyDescent="0.3">
      <c r="A135" t="s">
        <v>445</v>
      </c>
      <c r="B135" t="s">
        <v>446</v>
      </c>
      <c r="C135" t="s">
        <v>286</v>
      </c>
      <c r="D135" t="s">
        <v>27</v>
      </c>
      <c r="E135" t="s">
        <v>28</v>
      </c>
      <c r="F135" t="s">
        <v>19</v>
      </c>
      <c r="G135" t="s">
        <v>29</v>
      </c>
      <c r="H135" t="s">
        <v>50</v>
      </c>
      <c r="I135">
        <v>4187.82</v>
      </c>
      <c r="J135">
        <v>7</v>
      </c>
      <c r="K135" s="1">
        <v>0.2</v>
      </c>
      <c r="L135">
        <v>155.86000000000001</v>
      </c>
      <c r="M135" t="s">
        <v>38</v>
      </c>
      <c r="N135" t="s">
        <v>32</v>
      </c>
      <c r="O135" t="str">
        <f t="shared" si="12"/>
        <v>08/03/2024</v>
      </c>
      <c r="P135">
        <f t="shared" si="13"/>
        <v>2024</v>
      </c>
      <c r="Q135">
        <f t="shared" si="14"/>
        <v>3</v>
      </c>
      <c r="R135" t="str">
        <f t="shared" si="15"/>
        <v>March</v>
      </c>
      <c r="S135" t="str">
        <f t="shared" si="16"/>
        <v>Low</v>
      </c>
      <c r="T135" s="1">
        <f t="shared" si="17"/>
        <v>3.721745442736317E-2</v>
      </c>
      <c r="U135">
        <f>SUM($I$2:I135)</f>
        <v>453650.46000000008</v>
      </c>
      <c r="V135" s="1">
        <f>Table1[[#This Row],[Running total ]]/SUM(I:I)</f>
        <v>0.13090646167548337</v>
      </c>
    </row>
    <row r="136" spans="1:22" x14ac:dyDescent="0.3">
      <c r="A136" t="s">
        <v>447</v>
      </c>
      <c r="B136" t="s">
        <v>448</v>
      </c>
      <c r="C136" t="s">
        <v>79</v>
      </c>
      <c r="D136" t="s">
        <v>137</v>
      </c>
      <c r="E136" t="s">
        <v>242</v>
      </c>
      <c r="F136" t="s">
        <v>55</v>
      </c>
      <c r="G136" t="s">
        <v>56</v>
      </c>
      <c r="H136" t="s">
        <v>57</v>
      </c>
      <c r="I136">
        <v>7119.06</v>
      </c>
      <c r="J136">
        <v>6</v>
      </c>
      <c r="K136" s="1">
        <v>0.15</v>
      </c>
      <c r="L136">
        <v>-297.89999999999998</v>
      </c>
      <c r="M136" t="s">
        <v>87</v>
      </c>
      <c r="N136" t="s">
        <v>39</v>
      </c>
      <c r="O136" t="str">
        <f t="shared" si="12"/>
        <v>24/01/2025</v>
      </c>
      <c r="P136">
        <f t="shared" si="13"/>
        <v>2025</v>
      </c>
      <c r="Q136">
        <f t="shared" si="14"/>
        <v>1</v>
      </c>
      <c r="R136" t="str">
        <f t="shared" si="15"/>
        <v>January</v>
      </c>
      <c r="S136" t="str">
        <f t="shared" si="16"/>
        <v>Low</v>
      </c>
      <c r="T136" s="1">
        <f t="shared" si="17"/>
        <v>-4.1845412175202899E-2</v>
      </c>
      <c r="U136">
        <f>SUM($I$2:I136)</f>
        <v>460769.52000000008</v>
      </c>
      <c r="V136" s="1">
        <f>Table1[[#This Row],[Running total ]]/SUM(I:I)</f>
        <v>0.13296075465483023</v>
      </c>
    </row>
    <row r="137" spans="1:22" x14ac:dyDescent="0.3">
      <c r="A137" t="s">
        <v>449</v>
      </c>
      <c r="B137" t="s">
        <v>185</v>
      </c>
      <c r="C137" t="s">
        <v>450</v>
      </c>
      <c r="D137" t="s">
        <v>17</v>
      </c>
      <c r="E137" t="s">
        <v>97</v>
      </c>
      <c r="F137" t="s">
        <v>19</v>
      </c>
      <c r="G137" t="s">
        <v>29</v>
      </c>
      <c r="H137" t="s">
        <v>50</v>
      </c>
      <c r="I137">
        <v>3328.2</v>
      </c>
      <c r="J137">
        <v>4</v>
      </c>
      <c r="K137" s="1">
        <v>0</v>
      </c>
      <c r="L137">
        <v>588.05999999999995</v>
      </c>
      <c r="M137" t="s">
        <v>63</v>
      </c>
      <c r="N137" t="s">
        <v>32</v>
      </c>
      <c r="O137" t="str">
        <f t="shared" si="12"/>
        <v>27/09/2025</v>
      </c>
      <c r="P137">
        <f t="shared" si="13"/>
        <v>2025</v>
      </c>
      <c r="Q137">
        <f t="shared" si="14"/>
        <v>9</v>
      </c>
      <c r="R137" t="str">
        <f t="shared" si="15"/>
        <v>September</v>
      </c>
      <c r="S137" t="str">
        <f t="shared" si="16"/>
        <v>No Discount</v>
      </c>
      <c r="T137" s="1">
        <f t="shared" si="17"/>
        <v>0.1766901027582477</v>
      </c>
      <c r="U137">
        <f>SUM($I$2:I137)</f>
        <v>464097.72000000009</v>
      </c>
      <c r="V137" s="1">
        <f>Table1[[#This Row],[Running total ]]/SUM(I:I)</f>
        <v>0.13392114800646121</v>
      </c>
    </row>
    <row r="138" spans="1:22" x14ac:dyDescent="0.3">
      <c r="A138" t="s">
        <v>451</v>
      </c>
      <c r="B138" t="s">
        <v>438</v>
      </c>
      <c r="C138" t="s">
        <v>452</v>
      </c>
      <c r="D138" t="s">
        <v>27</v>
      </c>
      <c r="E138" t="s">
        <v>61</v>
      </c>
      <c r="F138" t="s">
        <v>19</v>
      </c>
      <c r="G138" t="s">
        <v>29</v>
      </c>
      <c r="H138" t="s">
        <v>50</v>
      </c>
      <c r="I138">
        <v>627.6</v>
      </c>
      <c r="J138">
        <v>10</v>
      </c>
      <c r="K138" s="1">
        <v>0.15</v>
      </c>
      <c r="L138">
        <v>-27.08</v>
      </c>
      <c r="M138" t="s">
        <v>117</v>
      </c>
      <c r="N138" t="s">
        <v>32</v>
      </c>
      <c r="O138" t="str">
        <f t="shared" si="12"/>
        <v>06/05/2025</v>
      </c>
      <c r="P138">
        <f t="shared" si="13"/>
        <v>2025</v>
      </c>
      <c r="Q138">
        <f t="shared" si="14"/>
        <v>5</v>
      </c>
      <c r="R138" t="str">
        <f t="shared" si="15"/>
        <v>May</v>
      </c>
      <c r="S138" t="str">
        <f t="shared" si="16"/>
        <v>Low</v>
      </c>
      <c r="T138" s="1">
        <f t="shared" si="17"/>
        <v>-4.3148502230720198E-2</v>
      </c>
      <c r="U138">
        <f>SUM($I$2:I138)</f>
        <v>464725.32000000007</v>
      </c>
      <c r="V138" s="1">
        <f>Table1[[#This Row],[Running total ]]/SUM(I:I)</f>
        <v>0.13410224976341201</v>
      </c>
    </row>
    <row r="139" spans="1:22" x14ac:dyDescent="0.3">
      <c r="A139" t="s">
        <v>453</v>
      </c>
      <c r="B139" t="s">
        <v>454</v>
      </c>
      <c r="C139" t="s">
        <v>455</v>
      </c>
      <c r="D139" t="s">
        <v>137</v>
      </c>
      <c r="E139" t="s">
        <v>142</v>
      </c>
      <c r="F139" t="s">
        <v>19</v>
      </c>
      <c r="G139" t="s">
        <v>20</v>
      </c>
      <c r="H139" t="s">
        <v>21</v>
      </c>
      <c r="I139">
        <v>609.55999999999995</v>
      </c>
      <c r="J139">
        <v>1</v>
      </c>
      <c r="K139" s="1">
        <v>0.2</v>
      </c>
      <c r="L139">
        <v>43.11</v>
      </c>
      <c r="M139" t="s">
        <v>22</v>
      </c>
      <c r="N139" t="s">
        <v>39</v>
      </c>
      <c r="O139" t="str">
        <f t="shared" si="12"/>
        <v>21/06/2025</v>
      </c>
      <c r="P139">
        <f t="shared" si="13"/>
        <v>2025</v>
      </c>
      <c r="Q139">
        <f t="shared" si="14"/>
        <v>6</v>
      </c>
      <c r="R139" t="str">
        <f t="shared" si="15"/>
        <v>June</v>
      </c>
      <c r="S139" t="str">
        <f t="shared" si="16"/>
        <v>Low</v>
      </c>
      <c r="T139" s="1">
        <f t="shared" si="17"/>
        <v>7.0723144563291554E-2</v>
      </c>
      <c r="U139">
        <f>SUM($I$2:I139)</f>
        <v>465334.88000000006</v>
      </c>
      <c r="V139" s="1">
        <f>Table1[[#This Row],[Running total ]]/SUM(I:I)</f>
        <v>0.13427814585481881</v>
      </c>
    </row>
    <row r="140" spans="1:22" x14ac:dyDescent="0.3">
      <c r="A140" t="s">
        <v>456</v>
      </c>
      <c r="B140" t="s">
        <v>457</v>
      </c>
      <c r="C140" t="s">
        <v>402</v>
      </c>
      <c r="D140" t="s">
        <v>27</v>
      </c>
      <c r="E140" t="s">
        <v>43</v>
      </c>
      <c r="F140" t="s">
        <v>67</v>
      </c>
      <c r="G140" t="s">
        <v>115</v>
      </c>
      <c r="H140" t="s">
        <v>212</v>
      </c>
      <c r="I140">
        <v>4031.91</v>
      </c>
      <c r="J140">
        <v>9</v>
      </c>
      <c r="K140" s="1">
        <v>0.1</v>
      </c>
      <c r="L140">
        <v>527.72</v>
      </c>
      <c r="M140" t="s">
        <v>44</v>
      </c>
      <c r="N140" t="s">
        <v>76</v>
      </c>
      <c r="O140" t="str">
        <f t="shared" si="12"/>
        <v>26/04/2025</v>
      </c>
      <c r="P140">
        <f t="shared" si="13"/>
        <v>2025</v>
      </c>
      <c r="Q140">
        <f t="shared" si="14"/>
        <v>4</v>
      </c>
      <c r="R140" t="str">
        <f t="shared" si="15"/>
        <v>April</v>
      </c>
      <c r="S140" t="str">
        <f t="shared" si="16"/>
        <v>Low</v>
      </c>
      <c r="T140" s="1">
        <f t="shared" si="17"/>
        <v>0.13088585806726838</v>
      </c>
      <c r="U140">
        <f>SUM($I$2:I140)</f>
        <v>469366.79000000004</v>
      </c>
      <c r="V140" s="1">
        <f>Table1[[#This Row],[Running total ]]/SUM(I:I)</f>
        <v>0.13544160344702316</v>
      </c>
    </row>
    <row r="141" spans="1:22" x14ac:dyDescent="0.3">
      <c r="A141" t="s">
        <v>458</v>
      </c>
      <c r="B141" t="s">
        <v>459</v>
      </c>
      <c r="C141" t="s">
        <v>460</v>
      </c>
      <c r="D141" t="s">
        <v>48</v>
      </c>
      <c r="E141" t="s">
        <v>110</v>
      </c>
      <c r="F141" t="s">
        <v>55</v>
      </c>
      <c r="G141" t="s">
        <v>56</v>
      </c>
      <c r="H141" t="s">
        <v>129</v>
      </c>
      <c r="I141">
        <v>1161.08</v>
      </c>
      <c r="J141">
        <v>2</v>
      </c>
      <c r="K141" s="1">
        <v>0.1</v>
      </c>
      <c r="L141">
        <v>62.78</v>
      </c>
      <c r="M141" t="s">
        <v>87</v>
      </c>
      <c r="N141" t="s">
        <v>32</v>
      </c>
      <c r="O141" t="str">
        <f t="shared" si="12"/>
        <v>19/10/2025</v>
      </c>
      <c r="P141">
        <f t="shared" si="13"/>
        <v>2025</v>
      </c>
      <c r="Q141">
        <f t="shared" si="14"/>
        <v>10</v>
      </c>
      <c r="R141" t="str">
        <f t="shared" si="15"/>
        <v>October</v>
      </c>
      <c r="S141" t="str">
        <f t="shared" si="16"/>
        <v>Low</v>
      </c>
      <c r="T141" s="1">
        <f t="shared" si="17"/>
        <v>5.4070348296413689E-2</v>
      </c>
      <c r="U141">
        <f>SUM($I$2:I141)</f>
        <v>470527.87000000005</v>
      </c>
      <c r="V141" s="1">
        <f>Table1[[#This Row],[Running total ]]/SUM(I:I)</f>
        <v>0.13577664746862997</v>
      </c>
    </row>
    <row r="142" spans="1:22" x14ac:dyDescent="0.3">
      <c r="A142" t="s">
        <v>461</v>
      </c>
      <c r="B142" t="s">
        <v>462</v>
      </c>
      <c r="C142" t="s">
        <v>141</v>
      </c>
      <c r="D142" t="s">
        <v>27</v>
      </c>
      <c r="E142" t="s">
        <v>43</v>
      </c>
      <c r="F142" t="s">
        <v>55</v>
      </c>
      <c r="G142" t="s">
        <v>74</v>
      </c>
      <c r="H142" t="s">
        <v>75</v>
      </c>
      <c r="I142">
        <v>1835.2</v>
      </c>
      <c r="J142">
        <v>4</v>
      </c>
      <c r="K142" s="1">
        <v>0</v>
      </c>
      <c r="L142">
        <v>619.04</v>
      </c>
      <c r="M142" t="s">
        <v>107</v>
      </c>
      <c r="N142" t="s">
        <v>32</v>
      </c>
      <c r="O142" t="str">
        <f t="shared" si="12"/>
        <v>26/12/2024</v>
      </c>
      <c r="P142">
        <f t="shared" si="13"/>
        <v>2024</v>
      </c>
      <c r="Q142">
        <f t="shared" si="14"/>
        <v>12</v>
      </c>
      <c r="R142" t="str">
        <f t="shared" si="15"/>
        <v>December</v>
      </c>
      <c r="S142" t="str">
        <f t="shared" si="16"/>
        <v>No Discount</v>
      </c>
      <c r="T142" s="1">
        <f t="shared" si="17"/>
        <v>0.33731473408892759</v>
      </c>
      <c r="U142">
        <f>SUM($I$2:I142)</f>
        <v>472363.07000000007</v>
      </c>
      <c r="V142" s="1">
        <f>Table1[[#This Row],[Running total ]]/SUM(I:I)</f>
        <v>0.1363062171696435</v>
      </c>
    </row>
    <row r="143" spans="1:22" x14ac:dyDescent="0.3">
      <c r="A143" t="s">
        <v>463</v>
      </c>
      <c r="B143" t="s">
        <v>299</v>
      </c>
      <c r="C143" t="s">
        <v>464</v>
      </c>
      <c r="D143" t="s">
        <v>137</v>
      </c>
      <c r="E143" t="s">
        <v>242</v>
      </c>
      <c r="F143" t="s">
        <v>55</v>
      </c>
      <c r="G143" t="s">
        <v>56</v>
      </c>
      <c r="H143" t="s">
        <v>62</v>
      </c>
      <c r="I143">
        <v>1715.06</v>
      </c>
      <c r="J143">
        <v>2</v>
      </c>
      <c r="K143" s="1">
        <v>0.1</v>
      </c>
      <c r="L143">
        <v>-80.569999999999993</v>
      </c>
      <c r="M143" t="s">
        <v>63</v>
      </c>
      <c r="N143" t="s">
        <v>39</v>
      </c>
      <c r="O143" t="str">
        <f t="shared" si="12"/>
        <v>27/04/2024</v>
      </c>
      <c r="P143">
        <f t="shared" si="13"/>
        <v>2024</v>
      </c>
      <c r="Q143">
        <f t="shared" si="14"/>
        <v>4</v>
      </c>
      <c r="R143" t="str">
        <f t="shared" si="15"/>
        <v>April</v>
      </c>
      <c r="S143" t="str">
        <f t="shared" si="16"/>
        <v>Low</v>
      </c>
      <c r="T143" s="1">
        <f t="shared" si="17"/>
        <v>-4.6977948293354166E-2</v>
      </c>
      <c r="U143">
        <f>SUM($I$2:I143)</f>
        <v>474078.13000000006</v>
      </c>
      <c r="V143" s="1">
        <f>Table1[[#This Row],[Running total ]]/SUM(I:I)</f>
        <v>0.13680111898493352</v>
      </c>
    </row>
    <row r="144" spans="1:22" x14ac:dyDescent="0.3">
      <c r="A144" t="s">
        <v>465</v>
      </c>
      <c r="B144" t="s">
        <v>310</v>
      </c>
      <c r="C144" t="s">
        <v>450</v>
      </c>
      <c r="D144" t="s">
        <v>137</v>
      </c>
      <c r="E144" t="s">
        <v>138</v>
      </c>
      <c r="F144" t="s">
        <v>55</v>
      </c>
      <c r="G144" t="s">
        <v>56</v>
      </c>
      <c r="H144" t="s">
        <v>129</v>
      </c>
      <c r="I144">
        <v>1575.3</v>
      </c>
      <c r="J144">
        <v>5</v>
      </c>
      <c r="K144" s="1">
        <v>0.2</v>
      </c>
      <c r="L144">
        <v>-82.11</v>
      </c>
      <c r="M144" t="s">
        <v>38</v>
      </c>
      <c r="N144" t="s">
        <v>76</v>
      </c>
      <c r="O144" t="str">
        <f t="shared" si="12"/>
        <v>07/09/2025</v>
      </c>
      <c r="P144">
        <f t="shared" si="13"/>
        <v>2025</v>
      </c>
      <c r="Q144">
        <f t="shared" si="14"/>
        <v>9</v>
      </c>
      <c r="R144" t="str">
        <f t="shared" si="15"/>
        <v>September</v>
      </c>
      <c r="S144" t="str">
        <f t="shared" si="16"/>
        <v>Low</v>
      </c>
      <c r="T144" s="1">
        <f t="shared" si="17"/>
        <v>-5.2123405065701775E-2</v>
      </c>
      <c r="U144">
        <f>SUM($I$2:I144)</f>
        <v>475653.43000000005</v>
      </c>
      <c r="V144" s="1">
        <f>Table1[[#This Row],[Running total ]]/SUM(I:I)</f>
        <v>0.1372556913203774</v>
      </c>
    </row>
    <row r="145" spans="1:22" x14ac:dyDescent="0.3">
      <c r="A145" t="s">
        <v>466</v>
      </c>
      <c r="B145" t="s">
        <v>467</v>
      </c>
      <c r="C145" t="s">
        <v>468</v>
      </c>
      <c r="D145" t="s">
        <v>17</v>
      </c>
      <c r="E145" t="s">
        <v>18</v>
      </c>
      <c r="F145" t="s">
        <v>55</v>
      </c>
      <c r="G145" t="s">
        <v>98</v>
      </c>
      <c r="H145" t="s">
        <v>154</v>
      </c>
      <c r="I145">
        <v>3372.48</v>
      </c>
      <c r="J145">
        <v>8</v>
      </c>
      <c r="K145" s="1">
        <v>0.1</v>
      </c>
      <c r="L145">
        <v>1170.46</v>
      </c>
      <c r="M145" t="s">
        <v>22</v>
      </c>
      <c r="N145" t="s">
        <v>32</v>
      </c>
      <c r="O145" t="str">
        <f t="shared" si="12"/>
        <v>25/12/2024</v>
      </c>
      <c r="P145">
        <f t="shared" si="13"/>
        <v>2024</v>
      </c>
      <c r="Q145">
        <f t="shared" si="14"/>
        <v>12</v>
      </c>
      <c r="R145" t="str">
        <f t="shared" si="15"/>
        <v>December</v>
      </c>
      <c r="S145" t="str">
        <f t="shared" si="16"/>
        <v>Low</v>
      </c>
      <c r="T145" s="1">
        <f t="shared" si="17"/>
        <v>0.34706210266628712</v>
      </c>
      <c r="U145">
        <f>SUM($I$2:I145)</f>
        <v>479025.91000000003</v>
      </c>
      <c r="V145" s="1">
        <f>Table1[[#This Row],[Running total ]]/SUM(I:I)</f>
        <v>0.1382288622147072</v>
      </c>
    </row>
    <row r="146" spans="1:22" x14ac:dyDescent="0.3">
      <c r="A146" t="s">
        <v>469</v>
      </c>
      <c r="B146" t="s">
        <v>470</v>
      </c>
      <c r="C146" t="s">
        <v>308</v>
      </c>
      <c r="D146" t="s">
        <v>17</v>
      </c>
      <c r="E146" t="s">
        <v>54</v>
      </c>
      <c r="F146" t="s">
        <v>55</v>
      </c>
      <c r="G146" t="s">
        <v>56</v>
      </c>
      <c r="H146" t="s">
        <v>129</v>
      </c>
      <c r="I146">
        <v>333.53</v>
      </c>
      <c r="J146">
        <v>1</v>
      </c>
      <c r="K146" s="1">
        <v>0</v>
      </c>
      <c r="L146">
        <v>32.479999999999997</v>
      </c>
      <c r="M146" t="s">
        <v>22</v>
      </c>
      <c r="N146" t="s">
        <v>23</v>
      </c>
      <c r="O146" t="str">
        <f t="shared" si="12"/>
        <v>23/07/2024</v>
      </c>
      <c r="P146">
        <f t="shared" si="13"/>
        <v>2024</v>
      </c>
      <c r="Q146">
        <f t="shared" si="14"/>
        <v>7</v>
      </c>
      <c r="R146" t="str">
        <f t="shared" si="15"/>
        <v>July</v>
      </c>
      <c r="S146" t="str">
        <f t="shared" si="16"/>
        <v>No Discount</v>
      </c>
      <c r="T146" s="1">
        <f t="shared" si="17"/>
        <v>9.7382544298863671E-2</v>
      </c>
      <c r="U146">
        <f>SUM($I$2:I146)</f>
        <v>479359.44000000006</v>
      </c>
      <c r="V146" s="1">
        <f>Table1[[#This Row],[Running total ]]/SUM(I:I)</f>
        <v>0.13832510642916834</v>
      </c>
    </row>
    <row r="147" spans="1:22" x14ac:dyDescent="0.3">
      <c r="A147" t="s">
        <v>471</v>
      </c>
      <c r="B147" t="s">
        <v>472</v>
      </c>
      <c r="C147" t="s">
        <v>473</v>
      </c>
      <c r="D147" t="s">
        <v>137</v>
      </c>
      <c r="E147" t="s">
        <v>138</v>
      </c>
      <c r="F147" t="s">
        <v>67</v>
      </c>
      <c r="G147" t="s">
        <v>115</v>
      </c>
      <c r="H147" t="s">
        <v>212</v>
      </c>
      <c r="I147">
        <v>1596.92</v>
      </c>
      <c r="J147">
        <v>4</v>
      </c>
      <c r="K147" s="1">
        <v>0</v>
      </c>
      <c r="L147">
        <v>702.25</v>
      </c>
      <c r="M147" t="s">
        <v>22</v>
      </c>
      <c r="N147" t="s">
        <v>39</v>
      </c>
      <c r="O147" t="str">
        <f t="shared" si="12"/>
        <v>07/08/2025</v>
      </c>
      <c r="P147">
        <f t="shared" si="13"/>
        <v>2025</v>
      </c>
      <c r="Q147">
        <f t="shared" si="14"/>
        <v>8</v>
      </c>
      <c r="R147" t="str">
        <f t="shared" si="15"/>
        <v>August</v>
      </c>
      <c r="S147" t="str">
        <f t="shared" si="16"/>
        <v>No Discount</v>
      </c>
      <c r="T147" s="1">
        <f t="shared" si="17"/>
        <v>0.43975277409012348</v>
      </c>
      <c r="U147">
        <f>SUM($I$2:I147)</f>
        <v>480956.36000000004</v>
      </c>
      <c r="V147" s="1">
        <f>Table1[[#This Row],[Running total ]]/SUM(I:I)</f>
        <v>0.13878591748351798</v>
      </c>
    </row>
    <row r="148" spans="1:22" x14ac:dyDescent="0.3">
      <c r="A148" t="s">
        <v>474</v>
      </c>
      <c r="B148" t="s">
        <v>475</v>
      </c>
      <c r="C148" t="s">
        <v>292</v>
      </c>
      <c r="D148" t="s">
        <v>137</v>
      </c>
      <c r="E148" t="s">
        <v>160</v>
      </c>
      <c r="F148" t="s">
        <v>67</v>
      </c>
      <c r="G148" t="s">
        <v>68</v>
      </c>
      <c r="H148" t="s">
        <v>382</v>
      </c>
      <c r="I148">
        <v>2489.64</v>
      </c>
      <c r="J148">
        <v>4</v>
      </c>
      <c r="K148" s="1">
        <v>0.2</v>
      </c>
      <c r="L148">
        <v>-81.53</v>
      </c>
      <c r="M148" t="s">
        <v>38</v>
      </c>
      <c r="N148" t="s">
        <v>32</v>
      </c>
      <c r="O148" t="str">
        <f t="shared" si="12"/>
        <v>07/02/2024</v>
      </c>
      <c r="P148">
        <f t="shared" si="13"/>
        <v>2024</v>
      </c>
      <c r="Q148">
        <f t="shared" si="14"/>
        <v>2</v>
      </c>
      <c r="R148" t="str">
        <f t="shared" si="15"/>
        <v>February</v>
      </c>
      <c r="S148" t="str">
        <f t="shared" si="16"/>
        <v>Low</v>
      </c>
      <c r="T148" s="1">
        <f t="shared" si="17"/>
        <v>-3.274770649571826E-2</v>
      </c>
      <c r="U148">
        <f>SUM($I$2:I148)</f>
        <v>483446.00000000006</v>
      </c>
      <c r="V148" s="1">
        <f>Table1[[#This Row],[Running total ]]/SUM(I:I)</f>
        <v>0.13950433395607212</v>
      </c>
    </row>
    <row r="149" spans="1:22" x14ac:dyDescent="0.3">
      <c r="A149" t="s">
        <v>476</v>
      </c>
      <c r="B149" t="s">
        <v>477</v>
      </c>
      <c r="C149" t="s">
        <v>311</v>
      </c>
      <c r="D149" t="s">
        <v>27</v>
      </c>
      <c r="E149" t="s">
        <v>124</v>
      </c>
      <c r="F149" t="s">
        <v>67</v>
      </c>
      <c r="G149" t="s">
        <v>68</v>
      </c>
      <c r="H149" t="s">
        <v>103</v>
      </c>
      <c r="I149">
        <v>2902.6</v>
      </c>
      <c r="J149">
        <v>5</v>
      </c>
      <c r="K149" s="1">
        <v>0.2</v>
      </c>
      <c r="L149">
        <v>260.75</v>
      </c>
      <c r="M149" t="s">
        <v>117</v>
      </c>
      <c r="N149" t="s">
        <v>39</v>
      </c>
      <c r="O149" t="str">
        <f t="shared" si="12"/>
        <v>29/12/2024</v>
      </c>
      <c r="P149">
        <f t="shared" si="13"/>
        <v>2024</v>
      </c>
      <c r="Q149">
        <f t="shared" si="14"/>
        <v>12</v>
      </c>
      <c r="R149" t="str">
        <f t="shared" si="15"/>
        <v>December</v>
      </c>
      <c r="S149" t="str">
        <f t="shared" si="16"/>
        <v>Low</v>
      </c>
      <c r="T149" s="1">
        <f t="shared" si="17"/>
        <v>8.9833252945634948E-2</v>
      </c>
      <c r="U149">
        <f>SUM($I$2:I149)</f>
        <v>486348.60000000003</v>
      </c>
      <c r="V149" s="1">
        <f>Table1[[#This Row],[Running total ]]/SUM(I:I)</f>
        <v>0.14034191515384992</v>
      </c>
    </row>
    <row r="150" spans="1:22" x14ac:dyDescent="0.3">
      <c r="A150" t="s">
        <v>478</v>
      </c>
      <c r="B150" t="s">
        <v>479</v>
      </c>
      <c r="C150" t="s">
        <v>480</v>
      </c>
      <c r="D150" t="s">
        <v>27</v>
      </c>
      <c r="E150" t="s">
        <v>61</v>
      </c>
      <c r="F150" t="s">
        <v>67</v>
      </c>
      <c r="G150" t="s">
        <v>85</v>
      </c>
      <c r="H150" t="s">
        <v>86</v>
      </c>
      <c r="I150">
        <v>3480.18</v>
      </c>
      <c r="J150">
        <v>6</v>
      </c>
      <c r="K150" s="1">
        <v>0.3</v>
      </c>
      <c r="L150">
        <v>-254.39</v>
      </c>
      <c r="M150" t="s">
        <v>117</v>
      </c>
      <c r="N150" t="s">
        <v>76</v>
      </c>
      <c r="O150" t="str">
        <f t="shared" si="12"/>
        <v>03/02/2024</v>
      </c>
      <c r="P150">
        <f t="shared" si="13"/>
        <v>2024</v>
      </c>
      <c r="Q150">
        <f t="shared" si="14"/>
        <v>2</v>
      </c>
      <c r="R150" t="str">
        <f t="shared" si="15"/>
        <v>February</v>
      </c>
      <c r="S150" t="str">
        <f t="shared" si="16"/>
        <v>Low</v>
      </c>
      <c r="T150" s="1">
        <f t="shared" si="17"/>
        <v>-7.3096793843996574E-2</v>
      </c>
      <c r="U150">
        <f>SUM($I$2:I150)</f>
        <v>489828.78</v>
      </c>
      <c r="V150" s="1">
        <f>Table1[[#This Row],[Running total ]]/SUM(I:I)</f>
        <v>0.14134616421775209</v>
      </c>
    </row>
    <row r="151" spans="1:22" x14ac:dyDescent="0.3">
      <c r="A151" t="s">
        <v>481</v>
      </c>
      <c r="B151" t="s">
        <v>482</v>
      </c>
      <c r="C151" t="s">
        <v>194</v>
      </c>
      <c r="D151" t="s">
        <v>137</v>
      </c>
      <c r="E151" t="s">
        <v>160</v>
      </c>
      <c r="F151" t="s">
        <v>67</v>
      </c>
      <c r="G151" t="s">
        <v>115</v>
      </c>
      <c r="H151" t="s">
        <v>178</v>
      </c>
      <c r="I151">
        <v>156</v>
      </c>
      <c r="J151">
        <v>10</v>
      </c>
      <c r="K151" s="1">
        <v>0.3</v>
      </c>
      <c r="L151">
        <v>10.88</v>
      </c>
      <c r="M151" t="s">
        <v>63</v>
      </c>
      <c r="N151" t="s">
        <v>39</v>
      </c>
      <c r="O151" t="str">
        <f t="shared" si="12"/>
        <v>07/08/2024</v>
      </c>
      <c r="P151">
        <f t="shared" si="13"/>
        <v>2024</v>
      </c>
      <c r="Q151">
        <f t="shared" si="14"/>
        <v>8</v>
      </c>
      <c r="R151" t="str">
        <f t="shared" si="15"/>
        <v>August</v>
      </c>
      <c r="S151" t="str">
        <f t="shared" si="16"/>
        <v>Low</v>
      </c>
      <c r="T151" s="1">
        <f t="shared" si="17"/>
        <v>6.9743589743589754E-2</v>
      </c>
      <c r="U151">
        <f>SUM($I$2:I151)</f>
        <v>489984.78</v>
      </c>
      <c r="V151" s="1">
        <f>Table1[[#This Row],[Running total ]]/SUM(I:I)</f>
        <v>0.14139117995083736</v>
      </c>
    </row>
    <row r="152" spans="1:22" x14ac:dyDescent="0.3">
      <c r="A152" t="s">
        <v>483</v>
      </c>
      <c r="B152" t="s">
        <v>484</v>
      </c>
      <c r="C152" t="s">
        <v>418</v>
      </c>
      <c r="D152" t="s">
        <v>137</v>
      </c>
      <c r="E152" t="s">
        <v>160</v>
      </c>
      <c r="F152" t="s">
        <v>67</v>
      </c>
      <c r="G152" t="s">
        <v>85</v>
      </c>
      <c r="H152" t="s">
        <v>253</v>
      </c>
      <c r="I152">
        <v>1035.04</v>
      </c>
      <c r="J152">
        <v>8</v>
      </c>
      <c r="K152" s="1">
        <v>0.2</v>
      </c>
      <c r="L152">
        <v>86.22</v>
      </c>
      <c r="M152" t="s">
        <v>31</v>
      </c>
      <c r="N152" t="s">
        <v>23</v>
      </c>
      <c r="O152" t="str">
        <f t="shared" si="12"/>
        <v>03/03/2024</v>
      </c>
      <c r="P152">
        <f t="shared" si="13"/>
        <v>2024</v>
      </c>
      <c r="Q152">
        <f t="shared" si="14"/>
        <v>3</v>
      </c>
      <c r="R152" t="str">
        <f t="shared" si="15"/>
        <v>March</v>
      </c>
      <c r="S152" t="str">
        <f t="shared" si="16"/>
        <v>Low</v>
      </c>
      <c r="T152" s="1">
        <f t="shared" si="17"/>
        <v>8.3301128458803525E-2</v>
      </c>
      <c r="U152">
        <f>SUM($I$2:I152)</f>
        <v>491019.82</v>
      </c>
      <c r="V152" s="1">
        <f>Table1[[#This Row],[Running total ]]/SUM(I:I)</f>
        <v>0.14168985356861036</v>
      </c>
    </row>
    <row r="153" spans="1:22" x14ac:dyDescent="0.3">
      <c r="A153" t="s">
        <v>485</v>
      </c>
      <c r="B153" t="s">
        <v>486</v>
      </c>
      <c r="C153" t="s">
        <v>395</v>
      </c>
      <c r="D153" t="s">
        <v>137</v>
      </c>
      <c r="E153" t="s">
        <v>160</v>
      </c>
      <c r="F153" t="s">
        <v>67</v>
      </c>
      <c r="G153" t="s">
        <v>85</v>
      </c>
      <c r="H153" t="s">
        <v>86</v>
      </c>
      <c r="I153">
        <v>9928.35</v>
      </c>
      <c r="J153">
        <v>9</v>
      </c>
      <c r="K153" s="1">
        <v>0</v>
      </c>
      <c r="L153">
        <v>3932.76</v>
      </c>
      <c r="M153" t="s">
        <v>107</v>
      </c>
      <c r="N153" t="s">
        <v>76</v>
      </c>
      <c r="O153" t="str">
        <f t="shared" si="12"/>
        <v>20/09/2025</v>
      </c>
      <c r="P153">
        <f t="shared" si="13"/>
        <v>2025</v>
      </c>
      <c r="Q153">
        <f t="shared" si="14"/>
        <v>9</v>
      </c>
      <c r="R153" t="str">
        <f t="shared" si="15"/>
        <v>September</v>
      </c>
      <c r="S153" t="str">
        <f t="shared" si="16"/>
        <v>No Discount</v>
      </c>
      <c r="T153" s="1">
        <f t="shared" si="17"/>
        <v>0.39611415794165195</v>
      </c>
      <c r="U153">
        <f>SUM($I$2:I153)</f>
        <v>500948.17</v>
      </c>
      <c r="V153" s="1">
        <f>Table1[[#This Row],[Running total ]]/SUM(I:I)</f>
        <v>0.14455480198897741</v>
      </c>
    </row>
    <row r="154" spans="1:22" x14ac:dyDescent="0.3">
      <c r="A154" t="s">
        <v>487</v>
      </c>
      <c r="B154" t="s">
        <v>488</v>
      </c>
      <c r="C154" t="s">
        <v>192</v>
      </c>
      <c r="D154" t="s">
        <v>17</v>
      </c>
      <c r="E154" t="s">
        <v>18</v>
      </c>
      <c r="F154" t="s">
        <v>55</v>
      </c>
      <c r="G154" t="s">
        <v>98</v>
      </c>
      <c r="H154" t="s">
        <v>99</v>
      </c>
      <c r="I154">
        <v>1606.99</v>
      </c>
      <c r="J154">
        <v>7</v>
      </c>
      <c r="K154" s="1">
        <v>0</v>
      </c>
      <c r="L154">
        <v>693.4</v>
      </c>
      <c r="M154" t="s">
        <v>63</v>
      </c>
      <c r="N154" t="s">
        <v>39</v>
      </c>
      <c r="O154" t="str">
        <f t="shared" si="12"/>
        <v>16/06/2025</v>
      </c>
      <c r="P154">
        <f t="shared" si="13"/>
        <v>2025</v>
      </c>
      <c r="Q154">
        <f t="shared" si="14"/>
        <v>6</v>
      </c>
      <c r="R154" t="str">
        <f t="shared" si="15"/>
        <v>June</v>
      </c>
      <c r="S154" t="str">
        <f t="shared" si="16"/>
        <v>No Discount</v>
      </c>
      <c r="T154" s="1">
        <f t="shared" si="17"/>
        <v>0.43148992837540989</v>
      </c>
      <c r="U154">
        <f>SUM($I$2:I154)</f>
        <v>502555.16</v>
      </c>
      <c r="V154" s="1">
        <f>Table1[[#This Row],[Running total ]]/SUM(I:I)</f>
        <v>0.14501851886661021</v>
      </c>
    </row>
    <row r="155" spans="1:22" x14ac:dyDescent="0.3">
      <c r="A155" t="s">
        <v>489</v>
      </c>
      <c r="B155" t="s">
        <v>472</v>
      </c>
      <c r="C155" t="s">
        <v>183</v>
      </c>
      <c r="D155" t="s">
        <v>17</v>
      </c>
      <c r="E155" t="s">
        <v>97</v>
      </c>
      <c r="F155" t="s">
        <v>19</v>
      </c>
      <c r="G155" t="s">
        <v>29</v>
      </c>
      <c r="H155" t="s">
        <v>199</v>
      </c>
      <c r="I155">
        <v>887.48</v>
      </c>
      <c r="J155">
        <v>2</v>
      </c>
      <c r="K155" s="1">
        <v>0.05</v>
      </c>
      <c r="L155">
        <v>219.49</v>
      </c>
      <c r="M155" t="s">
        <v>143</v>
      </c>
      <c r="N155" t="s">
        <v>76</v>
      </c>
      <c r="O155" t="str">
        <f t="shared" si="12"/>
        <v>07/08/2025</v>
      </c>
      <c r="P155">
        <f t="shared" si="13"/>
        <v>2025</v>
      </c>
      <c r="Q155">
        <f t="shared" si="14"/>
        <v>8</v>
      </c>
      <c r="R155" t="str">
        <f t="shared" si="15"/>
        <v>August</v>
      </c>
      <c r="S155" t="str">
        <f t="shared" si="16"/>
        <v>High</v>
      </c>
      <c r="T155" s="1">
        <f t="shared" si="17"/>
        <v>0.24731824942533917</v>
      </c>
      <c r="U155">
        <f>SUM($I$2:I155)</f>
        <v>503442.63999999996</v>
      </c>
      <c r="V155" s="1">
        <f>Table1[[#This Row],[Running total ]]/SUM(I:I)</f>
        <v>0.14527461221788282</v>
      </c>
    </row>
    <row r="156" spans="1:22" x14ac:dyDescent="0.3">
      <c r="A156" t="s">
        <v>490</v>
      </c>
      <c r="B156" t="s">
        <v>210</v>
      </c>
      <c r="C156" t="s">
        <v>491</v>
      </c>
      <c r="D156" t="s">
        <v>27</v>
      </c>
      <c r="E156" t="s">
        <v>28</v>
      </c>
      <c r="F156" t="s">
        <v>67</v>
      </c>
      <c r="G156" t="s">
        <v>85</v>
      </c>
      <c r="H156" t="s">
        <v>125</v>
      </c>
      <c r="I156">
        <v>11943.3</v>
      </c>
      <c r="J156">
        <v>10</v>
      </c>
      <c r="K156" s="1">
        <v>0.15</v>
      </c>
      <c r="L156">
        <v>3101.36</v>
      </c>
      <c r="M156" t="s">
        <v>143</v>
      </c>
      <c r="N156" t="s">
        <v>32</v>
      </c>
      <c r="O156" t="str">
        <f t="shared" si="12"/>
        <v>04/03/2024</v>
      </c>
      <c r="P156">
        <f t="shared" si="13"/>
        <v>2024</v>
      </c>
      <c r="Q156">
        <f t="shared" si="14"/>
        <v>3</v>
      </c>
      <c r="R156" t="str">
        <f t="shared" si="15"/>
        <v>March</v>
      </c>
      <c r="S156" t="str">
        <f t="shared" si="16"/>
        <v>Low</v>
      </c>
      <c r="T156" s="1">
        <f t="shared" si="17"/>
        <v>0.2596736245426306</v>
      </c>
      <c r="U156">
        <f>SUM($I$2:I156)</f>
        <v>515385.93999999994</v>
      </c>
      <c r="V156" s="1">
        <f>Table1[[#This Row],[Running total ]]/SUM(I:I)</f>
        <v>0.14872099942914851</v>
      </c>
    </row>
    <row r="157" spans="1:22" x14ac:dyDescent="0.3">
      <c r="A157" t="s">
        <v>492</v>
      </c>
      <c r="B157" t="s">
        <v>493</v>
      </c>
      <c r="C157" t="s">
        <v>343</v>
      </c>
      <c r="D157" t="s">
        <v>137</v>
      </c>
      <c r="E157" t="s">
        <v>242</v>
      </c>
      <c r="F157" t="s">
        <v>19</v>
      </c>
      <c r="G157" t="s">
        <v>20</v>
      </c>
      <c r="H157" t="s">
        <v>239</v>
      </c>
      <c r="I157">
        <v>2836.64</v>
      </c>
      <c r="J157">
        <v>4</v>
      </c>
      <c r="K157" s="1">
        <v>0.15</v>
      </c>
      <c r="L157">
        <v>659.63</v>
      </c>
      <c r="M157" t="s">
        <v>87</v>
      </c>
      <c r="N157" t="s">
        <v>39</v>
      </c>
      <c r="O157" t="str">
        <f t="shared" si="12"/>
        <v>19/05/2025</v>
      </c>
      <c r="P157">
        <f t="shared" si="13"/>
        <v>2025</v>
      </c>
      <c r="Q157">
        <f t="shared" si="14"/>
        <v>5</v>
      </c>
      <c r="R157" t="str">
        <f t="shared" si="15"/>
        <v>May</v>
      </c>
      <c r="S157" t="str">
        <f t="shared" si="16"/>
        <v>Low</v>
      </c>
      <c r="T157" s="1">
        <f t="shared" si="17"/>
        <v>0.23253920130859046</v>
      </c>
      <c r="U157">
        <f>SUM($I$2:I157)</f>
        <v>518222.57999999996</v>
      </c>
      <c r="V157" s="1">
        <f>Table1[[#This Row],[Running total ]]/SUM(I:I)</f>
        <v>0.14953954705157821</v>
      </c>
    </row>
    <row r="158" spans="1:22" x14ac:dyDescent="0.3">
      <c r="A158" t="s">
        <v>494</v>
      </c>
      <c r="B158" t="s">
        <v>495</v>
      </c>
      <c r="C158" t="s">
        <v>35</v>
      </c>
      <c r="D158" t="s">
        <v>27</v>
      </c>
      <c r="E158" t="s">
        <v>61</v>
      </c>
      <c r="F158" t="s">
        <v>19</v>
      </c>
      <c r="G158" t="s">
        <v>36</v>
      </c>
      <c r="H158" t="s">
        <v>37</v>
      </c>
      <c r="I158">
        <v>2362.5</v>
      </c>
      <c r="J158">
        <v>2</v>
      </c>
      <c r="K158" s="1">
        <v>0.25</v>
      </c>
      <c r="L158">
        <v>453.05</v>
      </c>
      <c r="M158" t="s">
        <v>87</v>
      </c>
      <c r="N158" t="s">
        <v>76</v>
      </c>
      <c r="O158" t="str">
        <f t="shared" si="12"/>
        <v>29/11/2024</v>
      </c>
      <c r="P158">
        <f t="shared" si="13"/>
        <v>2024</v>
      </c>
      <c r="Q158">
        <f t="shared" si="14"/>
        <v>11</v>
      </c>
      <c r="R158" t="str">
        <f t="shared" si="15"/>
        <v>November</v>
      </c>
      <c r="S158" t="str">
        <f t="shared" si="16"/>
        <v>Low</v>
      </c>
      <c r="T158" s="1">
        <f t="shared" si="17"/>
        <v>0.19176719576719578</v>
      </c>
      <c r="U158">
        <f>SUM($I$2:I158)</f>
        <v>520585.07999999996</v>
      </c>
      <c r="V158" s="1">
        <f>Table1[[#This Row],[Running total ]]/SUM(I:I)</f>
        <v>0.15022127570166782</v>
      </c>
    </row>
    <row r="159" spans="1:22" x14ac:dyDescent="0.3">
      <c r="A159" t="s">
        <v>496</v>
      </c>
      <c r="B159" t="s">
        <v>497</v>
      </c>
      <c r="C159" t="s">
        <v>498</v>
      </c>
      <c r="D159" t="s">
        <v>27</v>
      </c>
      <c r="E159" t="s">
        <v>43</v>
      </c>
      <c r="F159" t="s">
        <v>67</v>
      </c>
      <c r="G159" t="s">
        <v>68</v>
      </c>
      <c r="H159" t="s">
        <v>103</v>
      </c>
      <c r="I159">
        <v>6022.66</v>
      </c>
      <c r="J159">
        <v>7</v>
      </c>
      <c r="K159" s="1">
        <v>0</v>
      </c>
      <c r="L159">
        <v>1913.54</v>
      </c>
      <c r="M159" t="s">
        <v>38</v>
      </c>
      <c r="N159" t="s">
        <v>23</v>
      </c>
      <c r="O159" t="str">
        <f t="shared" si="12"/>
        <v>17/12/2025</v>
      </c>
      <c r="P159">
        <f t="shared" si="13"/>
        <v>2025</v>
      </c>
      <c r="Q159">
        <f t="shared" si="14"/>
        <v>12</v>
      </c>
      <c r="R159" t="str">
        <f t="shared" si="15"/>
        <v>December</v>
      </c>
      <c r="S159" t="str">
        <f t="shared" si="16"/>
        <v>No Discount</v>
      </c>
      <c r="T159" s="1">
        <f t="shared" si="17"/>
        <v>0.31772339796701127</v>
      </c>
      <c r="U159">
        <f>SUM($I$2:I159)</f>
        <v>526607.74</v>
      </c>
      <c r="V159" s="1">
        <f>Table1[[#This Row],[Running total ]]/SUM(I:I)</f>
        <v>0.15195918887489479</v>
      </c>
    </row>
    <row r="160" spans="1:22" x14ac:dyDescent="0.3">
      <c r="A160" t="s">
        <v>499</v>
      </c>
      <c r="B160" t="s">
        <v>500</v>
      </c>
      <c r="C160" t="s">
        <v>501</v>
      </c>
      <c r="D160" t="s">
        <v>27</v>
      </c>
      <c r="E160" t="s">
        <v>43</v>
      </c>
      <c r="F160" t="s">
        <v>55</v>
      </c>
      <c r="G160" t="s">
        <v>74</v>
      </c>
      <c r="H160" t="s">
        <v>133</v>
      </c>
      <c r="I160">
        <v>47.06</v>
      </c>
      <c r="J160">
        <v>1</v>
      </c>
      <c r="K160" s="1">
        <v>0.1</v>
      </c>
      <c r="L160">
        <v>8.56</v>
      </c>
      <c r="M160" t="s">
        <v>143</v>
      </c>
      <c r="N160" t="s">
        <v>23</v>
      </c>
      <c r="O160" t="str">
        <f t="shared" si="12"/>
        <v>13/04/2024</v>
      </c>
      <c r="P160">
        <f t="shared" si="13"/>
        <v>2024</v>
      </c>
      <c r="Q160">
        <f t="shared" si="14"/>
        <v>4</v>
      </c>
      <c r="R160" t="str">
        <f t="shared" si="15"/>
        <v>April</v>
      </c>
      <c r="S160" t="str">
        <f t="shared" si="16"/>
        <v>Low</v>
      </c>
      <c r="T160" s="1">
        <f t="shared" si="17"/>
        <v>0.18189545261368467</v>
      </c>
      <c r="U160">
        <f>SUM($I$2:I160)</f>
        <v>526654.80000000005</v>
      </c>
      <c r="V160" s="1">
        <f>Table1[[#This Row],[Running total ]]/SUM(I:I)</f>
        <v>0.1519727686210422</v>
      </c>
    </row>
    <row r="161" spans="1:22" x14ac:dyDescent="0.3">
      <c r="A161" t="s">
        <v>502</v>
      </c>
      <c r="B161" t="s">
        <v>503</v>
      </c>
      <c r="C161" t="s">
        <v>504</v>
      </c>
      <c r="D161" t="s">
        <v>27</v>
      </c>
      <c r="E161" t="s">
        <v>43</v>
      </c>
      <c r="F161" t="s">
        <v>19</v>
      </c>
      <c r="G161" t="s">
        <v>29</v>
      </c>
      <c r="H161" t="s">
        <v>199</v>
      </c>
      <c r="I161">
        <v>1635.8</v>
      </c>
      <c r="J161">
        <v>4</v>
      </c>
      <c r="K161" s="1">
        <v>0.05</v>
      </c>
      <c r="L161">
        <v>105.83</v>
      </c>
      <c r="M161" t="s">
        <v>22</v>
      </c>
      <c r="N161" t="s">
        <v>32</v>
      </c>
      <c r="O161" t="str">
        <f t="shared" si="12"/>
        <v>07/01/2025</v>
      </c>
      <c r="P161">
        <f t="shared" si="13"/>
        <v>2025</v>
      </c>
      <c r="Q161">
        <f t="shared" si="14"/>
        <v>1</v>
      </c>
      <c r="R161" t="str">
        <f t="shared" si="15"/>
        <v>January</v>
      </c>
      <c r="S161" t="str">
        <f t="shared" si="16"/>
        <v>High</v>
      </c>
      <c r="T161" s="1">
        <f t="shared" si="17"/>
        <v>6.4696173126299064E-2</v>
      </c>
      <c r="U161">
        <f>SUM($I$2:I161)</f>
        <v>528290.60000000009</v>
      </c>
      <c r="V161" s="1">
        <f>Table1[[#This Row],[Running total ]]/SUM(I:I)</f>
        <v>0.15244479898117622</v>
      </c>
    </row>
    <row r="162" spans="1:22" x14ac:dyDescent="0.3">
      <c r="A162" t="s">
        <v>505</v>
      </c>
      <c r="B162" t="s">
        <v>506</v>
      </c>
      <c r="C162" t="s">
        <v>442</v>
      </c>
      <c r="D162" t="s">
        <v>48</v>
      </c>
      <c r="E162" t="s">
        <v>84</v>
      </c>
      <c r="F162" t="s">
        <v>67</v>
      </c>
      <c r="G162" t="s">
        <v>85</v>
      </c>
      <c r="H162" t="s">
        <v>125</v>
      </c>
      <c r="I162">
        <v>7148.61</v>
      </c>
      <c r="J162">
        <v>9</v>
      </c>
      <c r="K162" s="1">
        <v>0.1</v>
      </c>
      <c r="L162">
        <v>1277.8</v>
      </c>
      <c r="M162" t="s">
        <v>117</v>
      </c>
      <c r="N162" t="s">
        <v>76</v>
      </c>
      <c r="O162" t="str">
        <f t="shared" si="12"/>
        <v>05/03/2024</v>
      </c>
      <c r="P162">
        <f t="shared" si="13"/>
        <v>2024</v>
      </c>
      <c r="Q162">
        <f t="shared" si="14"/>
        <v>3</v>
      </c>
      <c r="R162" t="str">
        <f t="shared" si="15"/>
        <v>March</v>
      </c>
      <c r="S162" t="str">
        <f t="shared" si="16"/>
        <v>Low</v>
      </c>
      <c r="T162" s="1">
        <f t="shared" si="17"/>
        <v>0.17874803633153857</v>
      </c>
      <c r="U162">
        <f>SUM($I$2:I162)</f>
        <v>535439.21000000008</v>
      </c>
      <c r="V162" s="1">
        <f>Table1[[#This Row],[Running total ]]/SUM(I:I)</f>
        <v>0.15450761897919402</v>
      </c>
    </row>
    <row r="163" spans="1:22" x14ac:dyDescent="0.3">
      <c r="A163" t="s">
        <v>507</v>
      </c>
      <c r="B163" t="s">
        <v>508</v>
      </c>
      <c r="C163" t="s">
        <v>442</v>
      </c>
      <c r="D163" t="s">
        <v>137</v>
      </c>
      <c r="E163" t="s">
        <v>142</v>
      </c>
      <c r="F163" t="s">
        <v>19</v>
      </c>
      <c r="G163" t="s">
        <v>36</v>
      </c>
      <c r="H163" t="s">
        <v>222</v>
      </c>
      <c r="I163">
        <v>3459.3</v>
      </c>
      <c r="J163">
        <v>10</v>
      </c>
      <c r="K163" s="1">
        <v>0.15</v>
      </c>
      <c r="L163">
        <v>-168.83</v>
      </c>
      <c r="M163" t="s">
        <v>195</v>
      </c>
      <c r="N163" t="s">
        <v>23</v>
      </c>
      <c r="O163" t="str">
        <f t="shared" si="12"/>
        <v>08/01/2025</v>
      </c>
      <c r="P163">
        <f t="shared" si="13"/>
        <v>2025</v>
      </c>
      <c r="Q163">
        <f t="shared" si="14"/>
        <v>1</v>
      </c>
      <c r="R163" t="str">
        <f t="shared" si="15"/>
        <v>January</v>
      </c>
      <c r="S163" t="str">
        <f t="shared" si="16"/>
        <v>Low</v>
      </c>
      <c r="T163" s="1">
        <f t="shared" si="17"/>
        <v>-4.8804671465325355E-2</v>
      </c>
      <c r="U163">
        <f>SUM($I$2:I163)</f>
        <v>538898.51000000013</v>
      </c>
      <c r="V163" s="1">
        <f>Table1[[#This Row],[Running total ]]/SUM(I:I)</f>
        <v>0.15550584286036015</v>
      </c>
    </row>
    <row r="164" spans="1:22" x14ac:dyDescent="0.3">
      <c r="A164" t="s">
        <v>509</v>
      </c>
      <c r="B164" t="s">
        <v>510</v>
      </c>
      <c r="C164" t="s">
        <v>271</v>
      </c>
      <c r="D164" t="s">
        <v>137</v>
      </c>
      <c r="E164" t="s">
        <v>142</v>
      </c>
      <c r="F164" t="s">
        <v>19</v>
      </c>
      <c r="G164" t="s">
        <v>36</v>
      </c>
      <c r="H164" t="s">
        <v>37</v>
      </c>
      <c r="I164">
        <v>1569.72</v>
      </c>
      <c r="J164">
        <v>3</v>
      </c>
      <c r="K164" s="1">
        <v>0.05</v>
      </c>
      <c r="L164">
        <v>544.54</v>
      </c>
      <c r="M164" t="s">
        <v>87</v>
      </c>
      <c r="N164" t="s">
        <v>76</v>
      </c>
      <c r="O164" t="str">
        <f t="shared" si="12"/>
        <v>22/06/2025</v>
      </c>
      <c r="P164">
        <f t="shared" si="13"/>
        <v>2025</v>
      </c>
      <c r="Q164">
        <f t="shared" si="14"/>
        <v>6</v>
      </c>
      <c r="R164" t="str">
        <f t="shared" si="15"/>
        <v>June</v>
      </c>
      <c r="S164" t="str">
        <f t="shared" si="16"/>
        <v>High</v>
      </c>
      <c r="T164" s="1">
        <f t="shared" si="17"/>
        <v>0.34690263231659146</v>
      </c>
      <c r="U164">
        <f>SUM($I$2:I164)</f>
        <v>540468.2300000001</v>
      </c>
      <c r="V164" s="1">
        <f>Table1[[#This Row],[Running total ]]/SUM(I:I)</f>
        <v>0.15595880501765905</v>
      </c>
    </row>
    <row r="165" spans="1:22" x14ac:dyDescent="0.3">
      <c r="A165" t="s">
        <v>511</v>
      </c>
      <c r="B165" t="s">
        <v>512</v>
      </c>
      <c r="C165" t="s">
        <v>175</v>
      </c>
      <c r="D165" t="s">
        <v>137</v>
      </c>
      <c r="E165" t="s">
        <v>242</v>
      </c>
      <c r="F165" t="s">
        <v>19</v>
      </c>
      <c r="G165" t="s">
        <v>36</v>
      </c>
      <c r="H165" t="s">
        <v>111</v>
      </c>
      <c r="I165">
        <v>2354.88</v>
      </c>
      <c r="J165">
        <v>4</v>
      </c>
      <c r="K165" s="1">
        <v>0.05</v>
      </c>
      <c r="L165">
        <v>28.57</v>
      </c>
      <c r="M165" t="s">
        <v>44</v>
      </c>
      <c r="N165" t="s">
        <v>76</v>
      </c>
      <c r="O165" t="str">
        <f t="shared" si="12"/>
        <v>02/01/2024</v>
      </c>
      <c r="P165">
        <f t="shared" si="13"/>
        <v>2024</v>
      </c>
      <c r="Q165">
        <f t="shared" si="14"/>
        <v>1</v>
      </c>
      <c r="R165" t="str">
        <f t="shared" si="15"/>
        <v>January</v>
      </c>
      <c r="S165" t="str">
        <f t="shared" si="16"/>
        <v>High</v>
      </c>
      <c r="T165" s="1">
        <f t="shared" si="17"/>
        <v>1.2132253023508628E-2</v>
      </c>
      <c r="U165">
        <f>SUM($I$2:I165)</f>
        <v>542823.1100000001</v>
      </c>
      <c r="V165" s="1">
        <f>Table1[[#This Row],[Running total ]]/SUM(I:I)</f>
        <v>0.15663833482232487</v>
      </c>
    </row>
    <row r="166" spans="1:22" x14ac:dyDescent="0.3">
      <c r="A166" t="s">
        <v>513</v>
      </c>
      <c r="B166" t="s">
        <v>514</v>
      </c>
      <c r="C166" t="s">
        <v>343</v>
      </c>
      <c r="D166" t="s">
        <v>17</v>
      </c>
      <c r="E166" t="s">
        <v>80</v>
      </c>
      <c r="F166" t="s">
        <v>67</v>
      </c>
      <c r="G166" t="s">
        <v>85</v>
      </c>
      <c r="H166" t="s">
        <v>86</v>
      </c>
      <c r="I166">
        <v>6649.74</v>
      </c>
      <c r="J166">
        <v>6</v>
      </c>
      <c r="K166" s="1">
        <v>0</v>
      </c>
      <c r="L166">
        <v>1583.53</v>
      </c>
      <c r="M166" t="s">
        <v>107</v>
      </c>
      <c r="N166" t="s">
        <v>23</v>
      </c>
      <c r="O166" t="str">
        <f t="shared" si="12"/>
        <v>08/07/2024</v>
      </c>
      <c r="P166">
        <f t="shared" si="13"/>
        <v>2024</v>
      </c>
      <c r="Q166">
        <f t="shared" si="14"/>
        <v>7</v>
      </c>
      <c r="R166" t="str">
        <f t="shared" si="15"/>
        <v>July</v>
      </c>
      <c r="S166" t="str">
        <f t="shared" si="16"/>
        <v>No Discount</v>
      </c>
      <c r="T166" s="1">
        <f t="shared" si="17"/>
        <v>0.23813412253712177</v>
      </c>
      <c r="U166">
        <f>SUM($I$2:I166)</f>
        <v>549472.85000000009</v>
      </c>
      <c r="V166" s="1">
        <f>Table1[[#This Row],[Running total ]]/SUM(I:I)</f>
        <v>0.15855719970005899</v>
      </c>
    </row>
    <row r="167" spans="1:22" x14ac:dyDescent="0.3">
      <c r="A167" t="s">
        <v>515</v>
      </c>
      <c r="B167" t="s">
        <v>188</v>
      </c>
      <c r="C167" t="s">
        <v>516</v>
      </c>
      <c r="D167" t="s">
        <v>48</v>
      </c>
      <c r="E167" t="s">
        <v>110</v>
      </c>
      <c r="F167" t="s">
        <v>55</v>
      </c>
      <c r="G167" t="s">
        <v>74</v>
      </c>
      <c r="H167" t="s">
        <v>75</v>
      </c>
      <c r="I167">
        <v>5817.04</v>
      </c>
      <c r="J167">
        <v>8</v>
      </c>
      <c r="K167" s="1">
        <v>0.3</v>
      </c>
      <c r="L167">
        <v>-345.02</v>
      </c>
      <c r="M167" t="s">
        <v>22</v>
      </c>
      <c r="N167" t="s">
        <v>23</v>
      </c>
      <c r="O167" t="str">
        <f t="shared" si="12"/>
        <v>28/06/2025</v>
      </c>
      <c r="P167">
        <f t="shared" si="13"/>
        <v>2025</v>
      </c>
      <c r="Q167">
        <f t="shared" si="14"/>
        <v>6</v>
      </c>
      <c r="R167" t="str">
        <f t="shared" si="15"/>
        <v>June</v>
      </c>
      <c r="S167" t="str">
        <f t="shared" si="16"/>
        <v>Low</v>
      </c>
      <c r="T167" s="1">
        <f t="shared" si="17"/>
        <v>-5.9311952470672363E-2</v>
      </c>
      <c r="U167">
        <f>SUM($I$2:I167)</f>
        <v>555289.89000000013</v>
      </c>
      <c r="V167" s="1">
        <f>Table1[[#This Row],[Running total ]]/SUM(I:I)</f>
        <v>0.16023577867433086</v>
      </c>
    </row>
    <row r="168" spans="1:22" x14ac:dyDescent="0.3">
      <c r="A168" t="s">
        <v>517</v>
      </c>
      <c r="B168" t="s">
        <v>518</v>
      </c>
      <c r="C168" t="s">
        <v>519</v>
      </c>
      <c r="D168" t="s">
        <v>137</v>
      </c>
      <c r="E168" t="s">
        <v>160</v>
      </c>
      <c r="F168" t="s">
        <v>67</v>
      </c>
      <c r="G168" t="s">
        <v>85</v>
      </c>
      <c r="H168" t="s">
        <v>125</v>
      </c>
      <c r="I168">
        <v>3937.05</v>
      </c>
      <c r="J168">
        <v>9</v>
      </c>
      <c r="K168" s="1">
        <v>0.15</v>
      </c>
      <c r="L168">
        <v>674.62</v>
      </c>
      <c r="M168" t="s">
        <v>31</v>
      </c>
      <c r="N168" t="s">
        <v>32</v>
      </c>
      <c r="O168" t="str">
        <f t="shared" si="12"/>
        <v>28/01/2025</v>
      </c>
      <c r="P168">
        <f t="shared" si="13"/>
        <v>2025</v>
      </c>
      <c r="Q168">
        <f t="shared" si="14"/>
        <v>1</v>
      </c>
      <c r="R168" t="str">
        <f t="shared" si="15"/>
        <v>January</v>
      </c>
      <c r="S168" t="str">
        <f t="shared" si="16"/>
        <v>Low</v>
      </c>
      <c r="T168" s="1">
        <f t="shared" si="17"/>
        <v>0.17135164653738205</v>
      </c>
      <c r="U168">
        <f>SUM($I$2:I168)</f>
        <v>559226.94000000018</v>
      </c>
      <c r="V168" s="1">
        <f>Table1[[#This Row],[Running total ]]/SUM(I:I)</f>
        <v>0.16137186323807068</v>
      </c>
    </row>
    <row r="169" spans="1:22" x14ac:dyDescent="0.3">
      <c r="A169" t="s">
        <v>520</v>
      </c>
      <c r="B169" t="s">
        <v>521</v>
      </c>
      <c r="C169" t="s">
        <v>302</v>
      </c>
      <c r="D169" t="s">
        <v>17</v>
      </c>
      <c r="E169" t="s">
        <v>18</v>
      </c>
      <c r="F169" t="s">
        <v>67</v>
      </c>
      <c r="G169" t="s">
        <v>68</v>
      </c>
      <c r="H169" t="s">
        <v>103</v>
      </c>
      <c r="I169">
        <v>1089.8599999999999</v>
      </c>
      <c r="J169">
        <v>1</v>
      </c>
      <c r="K169" s="1">
        <v>0.1</v>
      </c>
      <c r="L169">
        <v>236.69</v>
      </c>
      <c r="M169" t="s">
        <v>31</v>
      </c>
      <c r="N169" t="s">
        <v>32</v>
      </c>
      <c r="O169" t="str">
        <f t="shared" si="12"/>
        <v>07/03/2024</v>
      </c>
      <c r="P169">
        <f t="shared" si="13"/>
        <v>2024</v>
      </c>
      <c r="Q169">
        <f t="shared" si="14"/>
        <v>3</v>
      </c>
      <c r="R169" t="str">
        <f t="shared" si="15"/>
        <v>March</v>
      </c>
      <c r="S169" t="str">
        <f t="shared" si="16"/>
        <v>Low</v>
      </c>
      <c r="T169" s="1">
        <f t="shared" si="17"/>
        <v>0.21717468298680567</v>
      </c>
      <c r="U169">
        <f>SUM($I$2:I169)</f>
        <v>560316.80000000016</v>
      </c>
      <c r="V169" s="1">
        <f>Table1[[#This Row],[Running total ]]/SUM(I:I)</f>
        <v>0.16168635584614968</v>
      </c>
    </row>
    <row r="170" spans="1:22" x14ac:dyDescent="0.3">
      <c r="A170" t="s">
        <v>522</v>
      </c>
      <c r="B170" t="s">
        <v>523</v>
      </c>
      <c r="C170" t="s">
        <v>281</v>
      </c>
      <c r="D170" t="s">
        <v>17</v>
      </c>
      <c r="E170" t="s">
        <v>18</v>
      </c>
      <c r="F170" t="s">
        <v>19</v>
      </c>
      <c r="G170" t="s">
        <v>36</v>
      </c>
      <c r="H170" t="s">
        <v>37</v>
      </c>
      <c r="I170">
        <v>1886.8</v>
      </c>
      <c r="J170">
        <v>5</v>
      </c>
      <c r="K170" s="1">
        <v>0</v>
      </c>
      <c r="L170">
        <v>614.41</v>
      </c>
      <c r="M170" t="s">
        <v>44</v>
      </c>
      <c r="N170" t="s">
        <v>76</v>
      </c>
      <c r="O170" t="str">
        <f t="shared" si="12"/>
        <v>12/08/2025</v>
      </c>
      <c r="P170">
        <f t="shared" si="13"/>
        <v>2025</v>
      </c>
      <c r="Q170">
        <f t="shared" si="14"/>
        <v>8</v>
      </c>
      <c r="R170" t="str">
        <f t="shared" si="15"/>
        <v>August</v>
      </c>
      <c r="S170" t="str">
        <f t="shared" si="16"/>
        <v>No Discount</v>
      </c>
      <c r="T170" s="1">
        <f t="shared" si="17"/>
        <v>0.32563599745601018</v>
      </c>
      <c r="U170">
        <f>SUM($I$2:I170)</f>
        <v>562203.60000000021</v>
      </c>
      <c r="V170" s="1">
        <f>Table1[[#This Row],[Running total ]]/SUM(I:I)</f>
        <v>0.16223081536656836</v>
      </c>
    </row>
    <row r="171" spans="1:22" x14ac:dyDescent="0.3">
      <c r="A171" t="s">
        <v>524</v>
      </c>
      <c r="B171" t="s">
        <v>525</v>
      </c>
      <c r="C171" t="s">
        <v>340</v>
      </c>
      <c r="D171" t="s">
        <v>17</v>
      </c>
      <c r="E171" t="s">
        <v>80</v>
      </c>
      <c r="F171" t="s">
        <v>55</v>
      </c>
      <c r="G171" t="s">
        <v>74</v>
      </c>
      <c r="H171" t="s">
        <v>75</v>
      </c>
      <c r="I171">
        <v>1496.16</v>
      </c>
      <c r="J171">
        <v>8</v>
      </c>
      <c r="K171" s="1">
        <v>0.2</v>
      </c>
      <c r="L171">
        <v>47.51</v>
      </c>
      <c r="M171" t="s">
        <v>44</v>
      </c>
      <c r="N171" t="s">
        <v>32</v>
      </c>
      <c r="O171" t="str">
        <f t="shared" si="12"/>
        <v>27/10/2024</v>
      </c>
      <c r="P171">
        <f t="shared" si="13"/>
        <v>2024</v>
      </c>
      <c r="Q171">
        <f t="shared" si="14"/>
        <v>10</v>
      </c>
      <c r="R171" t="str">
        <f t="shared" si="15"/>
        <v>October</v>
      </c>
      <c r="S171" t="str">
        <f t="shared" si="16"/>
        <v>Low</v>
      </c>
      <c r="T171" s="1">
        <f t="shared" si="17"/>
        <v>3.1754625173778202E-2</v>
      </c>
      <c r="U171">
        <f>SUM($I$2:I171)</f>
        <v>563699.76000000024</v>
      </c>
      <c r="V171" s="1">
        <f>Table1[[#This Row],[Running total ]]/SUM(I:I)</f>
        <v>0.1626625508743432</v>
      </c>
    </row>
    <row r="172" spans="1:22" x14ac:dyDescent="0.3">
      <c r="A172" t="s">
        <v>526</v>
      </c>
      <c r="B172" t="s">
        <v>527</v>
      </c>
      <c r="C172" t="s">
        <v>252</v>
      </c>
      <c r="D172" t="s">
        <v>27</v>
      </c>
      <c r="E172" t="s">
        <v>28</v>
      </c>
      <c r="F172" t="s">
        <v>55</v>
      </c>
      <c r="G172" t="s">
        <v>98</v>
      </c>
      <c r="H172" t="s">
        <v>154</v>
      </c>
      <c r="I172">
        <v>1068.7</v>
      </c>
      <c r="J172">
        <v>2</v>
      </c>
      <c r="K172" s="1">
        <v>0.3</v>
      </c>
      <c r="L172">
        <v>-141.44999999999999</v>
      </c>
      <c r="M172" t="s">
        <v>38</v>
      </c>
      <c r="N172" t="s">
        <v>32</v>
      </c>
      <c r="O172" t="str">
        <f t="shared" si="12"/>
        <v>02/05/2025</v>
      </c>
      <c r="P172">
        <f t="shared" si="13"/>
        <v>2025</v>
      </c>
      <c r="Q172">
        <f t="shared" si="14"/>
        <v>5</v>
      </c>
      <c r="R172" t="str">
        <f t="shared" si="15"/>
        <v>May</v>
      </c>
      <c r="S172" t="str">
        <f t="shared" si="16"/>
        <v>Low</v>
      </c>
      <c r="T172" s="1">
        <f t="shared" si="17"/>
        <v>-0.13235706933657712</v>
      </c>
      <c r="U172">
        <f>SUM($I$2:I172)</f>
        <v>564768.4600000002</v>
      </c>
      <c r="V172" s="1">
        <f>Table1[[#This Row],[Running total ]]/SUM(I:I)</f>
        <v>0.16297093750221653</v>
      </c>
    </row>
    <row r="173" spans="1:22" x14ac:dyDescent="0.3">
      <c r="A173" t="s">
        <v>528</v>
      </c>
      <c r="B173" t="s">
        <v>529</v>
      </c>
      <c r="C173" t="s">
        <v>530</v>
      </c>
      <c r="D173" t="s">
        <v>27</v>
      </c>
      <c r="E173" t="s">
        <v>28</v>
      </c>
      <c r="F173" t="s">
        <v>55</v>
      </c>
      <c r="G173" t="s">
        <v>56</v>
      </c>
      <c r="H173" t="s">
        <v>129</v>
      </c>
      <c r="I173">
        <v>9736.4699999999993</v>
      </c>
      <c r="J173">
        <v>9</v>
      </c>
      <c r="K173" s="1">
        <v>0.1</v>
      </c>
      <c r="L173">
        <v>3382.16</v>
      </c>
      <c r="M173" t="s">
        <v>143</v>
      </c>
      <c r="N173" t="s">
        <v>76</v>
      </c>
      <c r="O173" t="str">
        <f t="shared" si="12"/>
        <v>05/06/2024</v>
      </c>
      <c r="P173">
        <f t="shared" si="13"/>
        <v>2024</v>
      </c>
      <c r="Q173">
        <f t="shared" si="14"/>
        <v>6</v>
      </c>
      <c r="R173" t="str">
        <f t="shared" si="15"/>
        <v>June</v>
      </c>
      <c r="S173" t="str">
        <f t="shared" si="16"/>
        <v>Low</v>
      </c>
      <c r="T173" s="1">
        <f t="shared" si="17"/>
        <v>0.34737024814948336</v>
      </c>
      <c r="U173">
        <f>SUM($I$2:I173)</f>
        <v>574504.93000000017</v>
      </c>
      <c r="V173" s="1">
        <f>Table1[[#This Row],[Running total ]]/SUM(I:I)</f>
        <v>0.16578051657088869</v>
      </c>
    </row>
    <row r="174" spans="1:22" x14ac:dyDescent="0.3">
      <c r="A174" t="s">
        <v>531</v>
      </c>
      <c r="B174" t="s">
        <v>135</v>
      </c>
      <c r="C174" t="s">
        <v>532</v>
      </c>
      <c r="D174" t="s">
        <v>27</v>
      </c>
      <c r="E174" t="s">
        <v>28</v>
      </c>
      <c r="F174" t="s">
        <v>67</v>
      </c>
      <c r="G174" t="s">
        <v>68</v>
      </c>
      <c r="H174" t="s">
        <v>103</v>
      </c>
      <c r="I174">
        <v>3686.67</v>
      </c>
      <c r="J174">
        <v>9</v>
      </c>
      <c r="K174" s="1">
        <v>0.2</v>
      </c>
      <c r="L174">
        <v>386.4</v>
      </c>
      <c r="M174" t="s">
        <v>107</v>
      </c>
      <c r="N174" t="s">
        <v>32</v>
      </c>
      <c r="O174" t="str">
        <f t="shared" si="12"/>
        <v>24/07/2025</v>
      </c>
      <c r="P174">
        <f t="shared" si="13"/>
        <v>2025</v>
      </c>
      <c r="Q174">
        <f t="shared" si="14"/>
        <v>7</v>
      </c>
      <c r="R174" t="str">
        <f t="shared" si="15"/>
        <v>July</v>
      </c>
      <c r="S174" t="str">
        <f t="shared" si="16"/>
        <v>Low</v>
      </c>
      <c r="T174" s="1">
        <f t="shared" si="17"/>
        <v>0.10481003181733108</v>
      </c>
      <c r="U174">
        <f>SUM($I$2:I174)</f>
        <v>578191.60000000021</v>
      </c>
      <c r="V174" s="1">
        <f>Table1[[#This Row],[Running total ]]/SUM(I:I)</f>
        <v>0.16684435088302663</v>
      </c>
    </row>
    <row r="175" spans="1:22" x14ac:dyDescent="0.3">
      <c r="A175" t="s">
        <v>533</v>
      </c>
      <c r="B175" t="s">
        <v>534</v>
      </c>
      <c r="C175" t="s">
        <v>535</v>
      </c>
      <c r="D175" t="s">
        <v>17</v>
      </c>
      <c r="E175" t="s">
        <v>80</v>
      </c>
      <c r="F175" t="s">
        <v>55</v>
      </c>
      <c r="G175" t="s">
        <v>98</v>
      </c>
      <c r="H175" t="s">
        <v>99</v>
      </c>
      <c r="I175">
        <v>5429.7</v>
      </c>
      <c r="J175">
        <v>5</v>
      </c>
      <c r="K175" s="1">
        <v>0</v>
      </c>
      <c r="L175">
        <v>2335.9699999999998</v>
      </c>
      <c r="M175" t="s">
        <v>38</v>
      </c>
      <c r="N175" t="s">
        <v>23</v>
      </c>
      <c r="O175" t="str">
        <f t="shared" si="12"/>
        <v>17/11/2024</v>
      </c>
      <c r="P175">
        <f t="shared" si="13"/>
        <v>2024</v>
      </c>
      <c r="Q175">
        <f t="shared" si="14"/>
        <v>11</v>
      </c>
      <c r="R175" t="str">
        <f t="shared" si="15"/>
        <v>November</v>
      </c>
      <c r="S175" t="str">
        <f t="shared" si="16"/>
        <v>No Discount</v>
      </c>
      <c r="T175" s="1">
        <f t="shared" si="17"/>
        <v>0.43022082251321436</v>
      </c>
      <c r="U175">
        <f>SUM($I$2:I175)</f>
        <v>583621.30000000016</v>
      </c>
      <c r="V175" s="1">
        <f>Table1[[#This Row],[Running total ]]/SUM(I:I)</f>
        <v>0.16841115810054683</v>
      </c>
    </row>
    <row r="176" spans="1:22" x14ac:dyDescent="0.3">
      <c r="A176" t="s">
        <v>536</v>
      </c>
      <c r="B176" t="s">
        <v>537</v>
      </c>
      <c r="C176" t="s">
        <v>235</v>
      </c>
      <c r="D176" t="s">
        <v>27</v>
      </c>
      <c r="E176" t="s">
        <v>61</v>
      </c>
      <c r="F176" t="s">
        <v>67</v>
      </c>
      <c r="G176" t="s">
        <v>115</v>
      </c>
      <c r="H176" t="s">
        <v>116</v>
      </c>
      <c r="I176">
        <v>2408.6</v>
      </c>
      <c r="J176">
        <v>4</v>
      </c>
      <c r="K176" s="1">
        <v>0.15</v>
      </c>
      <c r="L176">
        <v>-176.91</v>
      </c>
      <c r="M176" t="s">
        <v>63</v>
      </c>
      <c r="N176" t="s">
        <v>39</v>
      </c>
      <c r="O176" t="str">
        <f t="shared" si="12"/>
        <v>05/12/2024</v>
      </c>
      <c r="P176">
        <f t="shared" si="13"/>
        <v>2024</v>
      </c>
      <c r="Q176">
        <f t="shared" si="14"/>
        <v>12</v>
      </c>
      <c r="R176" t="str">
        <f t="shared" si="15"/>
        <v>December</v>
      </c>
      <c r="S176" t="str">
        <f t="shared" si="16"/>
        <v>Low</v>
      </c>
      <c r="T176" s="1">
        <f t="shared" si="17"/>
        <v>-7.3449306651166654E-2</v>
      </c>
      <c r="U176">
        <f>SUM($I$2:I176)</f>
        <v>586029.90000000014</v>
      </c>
      <c r="V176" s="1">
        <f>Table1[[#This Row],[Running total ]]/SUM(I:I)</f>
        <v>0.16910618947688791</v>
      </c>
    </row>
    <row r="177" spans="1:22" x14ac:dyDescent="0.3">
      <c r="A177" t="s">
        <v>538</v>
      </c>
      <c r="B177" t="s">
        <v>539</v>
      </c>
      <c r="C177" t="s">
        <v>540</v>
      </c>
      <c r="D177" t="s">
        <v>17</v>
      </c>
      <c r="E177" t="s">
        <v>54</v>
      </c>
      <c r="F177" t="s">
        <v>19</v>
      </c>
      <c r="G177" t="s">
        <v>36</v>
      </c>
      <c r="H177" t="s">
        <v>37</v>
      </c>
      <c r="I177">
        <v>3156.6</v>
      </c>
      <c r="J177">
        <v>6</v>
      </c>
      <c r="K177" s="1">
        <v>0.3</v>
      </c>
      <c r="L177">
        <v>-250.52</v>
      </c>
      <c r="M177" t="s">
        <v>117</v>
      </c>
      <c r="N177" t="s">
        <v>39</v>
      </c>
      <c r="O177" t="str">
        <f t="shared" si="12"/>
        <v>12/02/2025</v>
      </c>
      <c r="P177">
        <f t="shared" si="13"/>
        <v>2025</v>
      </c>
      <c r="Q177">
        <f t="shared" si="14"/>
        <v>2</v>
      </c>
      <c r="R177" t="str">
        <f t="shared" si="15"/>
        <v>February</v>
      </c>
      <c r="S177" t="str">
        <f t="shared" si="16"/>
        <v>Low</v>
      </c>
      <c r="T177" s="1">
        <f t="shared" si="17"/>
        <v>-7.9363872521066983E-2</v>
      </c>
      <c r="U177">
        <f>SUM($I$2:I177)</f>
        <v>589186.50000000012</v>
      </c>
      <c r="V177" s="1">
        <f>Table1[[#This Row],[Running total ]]/SUM(I:I)</f>
        <v>0.17001706552212509</v>
      </c>
    </row>
    <row r="178" spans="1:22" x14ac:dyDescent="0.3">
      <c r="A178" t="s">
        <v>541</v>
      </c>
      <c r="B178" t="s">
        <v>542</v>
      </c>
      <c r="C178" t="s">
        <v>543</v>
      </c>
      <c r="D178" t="s">
        <v>48</v>
      </c>
      <c r="E178" t="s">
        <v>110</v>
      </c>
      <c r="F178" t="s">
        <v>67</v>
      </c>
      <c r="G178" t="s">
        <v>85</v>
      </c>
      <c r="H178" t="s">
        <v>86</v>
      </c>
      <c r="I178">
        <v>2552.9699999999998</v>
      </c>
      <c r="J178">
        <v>7</v>
      </c>
      <c r="K178" s="1">
        <v>0.25</v>
      </c>
      <c r="L178">
        <v>-165.64</v>
      </c>
      <c r="M178" t="s">
        <v>195</v>
      </c>
      <c r="N178" t="s">
        <v>39</v>
      </c>
      <c r="O178" t="str">
        <f t="shared" si="12"/>
        <v>20/06/2024</v>
      </c>
      <c r="P178">
        <f t="shared" si="13"/>
        <v>2024</v>
      </c>
      <c r="Q178">
        <f t="shared" si="14"/>
        <v>6</v>
      </c>
      <c r="R178" t="str">
        <f t="shared" si="15"/>
        <v>June</v>
      </c>
      <c r="S178" t="str">
        <f t="shared" si="16"/>
        <v>Low</v>
      </c>
      <c r="T178" s="1">
        <f t="shared" si="17"/>
        <v>-6.4881295119018245E-2</v>
      </c>
      <c r="U178">
        <f>SUM($I$2:I178)</f>
        <v>591739.47000000009</v>
      </c>
      <c r="V178" s="1">
        <f>Table1[[#This Row],[Running total ]]/SUM(I:I)</f>
        <v>0.17075375665093748</v>
      </c>
    </row>
    <row r="179" spans="1:22" x14ac:dyDescent="0.3">
      <c r="A179" t="s">
        <v>544</v>
      </c>
      <c r="B179" t="s">
        <v>545</v>
      </c>
      <c r="C179" t="s">
        <v>408</v>
      </c>
      <c r="D179" t="s">
        <v>17</v>
      </c>
      <c r="E179" t="s">
        <v>97</v>
      </c>
      <c r="F179" t="s">
        <v>55</v>
      </c>
      <c r="G179" t="s">
        <v>74</v>
      </c>
      <c r="H179" t="s">
        <v>133</v>
      </c>
      <c r="I179">
        <v>3325.12</v>
      </c>
      <c r="J179">
        <v>8</v>
      </c>
      <c r="K179" s="1">
        <v>0.3</v>
      </c>
      <c r="L179">
        <v>-209.61</v>
      </c>
      <c r="M179" t="s">
        <v>195</v>
      </c>
      <c r="N179" t="s">
        <v>32</v>
      </c>
      <c r="O179" t="str">
        <f t="shared" si="12"/>
        <v>16/04/2025</v>
      </c>
      <c r="P179">
        <f t="shared" si="13"/>
        <v>2025</v>
      </c>
      <c r="Q179">
        <f t="shared" si="14"/>
        <v>4</v>
      </c>
      <c r="R179" t="str">
        <f t="shared" si="15"/>
        <v>April</v>
      </c>
      <c r="S179" t="str">
        <f t="shared" si="16"/>
        <v>Low</v>
      </c>
      <c r="T179" s="1">
        <f t="shared" si="17"/>
        <v>-6.3038326436339151E-2</v>
      </c>
      <c r="U179">
        <f>SUM($I$2:I179)</f>
        <v>595064.59000000008</v>
      </c>
      <c r="V179" s="1">
        <f>Table1[[#This Row],[Running total ]]/SUM(I:I)</f>
        <v>0.17171326123040243</v>
      </c>
    </row>
    <row r="180" spans="1:22" x14ac:dyDescent="0.3">
      <c r="A180" t="s">
        <v>546</v>
      </c>
      <c r="B180" t="s">
        <v>547</v>
      </c>
      <c r="C180" t="s">
        <v>548</v>
      </c>
      <c r="D180" t="s">
        <v>17</v>
      </c>
      <c r="E180" t="s">
        <v>80</v>
      </c>
      <c r="F180" t="s">
        <v>55</v>
      </c>
      <c r="G180" t="s">
        <v>56</v>
      </c>
      <c r="H180" t="s">
        <v>62</v>
      </c>
      <c r="I180">
        <v>4594.38</v>
      </c>
      <c r="J180">
        <v>6</v>
      </c>
      <c r="K180" s="1">
        <v>0</v>
      </c>
      <c r="L180">
        <v>929.1</v>
      </c>
      <c r="M180" t="s">
        <v>87</v>
      </c>
      <c r="N180" t="s">
        <v>32</v>
      </c>
      <c r="O180" t="str">
        <f t="shared" si="12"/>
        <v>02/12/2024</v>
      </c>
      <c r="P180">
        <f t="shared" si="13"/>
        <v>2024</v>
      </c>
      <c r="Q180">
        <f t="shared" si="14"/>
        <v>12</v>
      </c>
      <c r="R180" t="str">
        <f t="shared" si="15"/>
        <v>December</v>
      </c>
      <c r="S180" t="str">
        <f t="shared" si="16"/>
        <v>No Discount</v>
      </c>
      <c r="T180" s="1">
        <f t="shared" si="17"/>
        <v>0.20222532746529456</v>
      </c>
      <c r="U180">
        <f>SUM($I$2:I180)</f>
        <v>599658.97000000009</v>
      </c>
      <c r="V180" s="1">
        <f>Table1[[#This Row],[Running total ]]/SUM(I:I)</f>
        <v>0.17303902651099445</v>
      </c>
    </row>
    <row r="181" spans="1:22" x14ac:dyDescent="0.3">
      <c r="A181" t="s">
        <v>549</v>
      </c>
      <c r="B181" t="s">
        <v>550</v>
      </c>
      <c r="C181" t="s">
        <v>551</v>
      </c>
      <c r="D181" t="s">
        <v>17</v>
      </c>
      <c r="E181" t="s">
        <v>80</v>
      </c>
      <c r="F181" t="s">
        <v>19</v>
      </c>
      <c r="G181" t="s">
        <v>20</v>
      </c>
      <c r="H181" t="s">
        <v>347</v>
      </c>
      <c r="I181">
        <v>5388.95</v>
      </c>
      <c r="J181">
        <v>5</v>
      </c>
      <c r="K181" s="1">
        <v>0.25</v>
      </c>
      <c r="L181">
        <v>-620.64</v>
      </c>
      <c r="M181" t="s">
        <v>107</v>
      </c>
      <c r="N181" t="s">
        <v>23</v>
      </c>
      <c r="O181" t="str">
        <f t="shared" si="12"/>
        <v>15/06/2024</v>
      </c>
      <c r="P181">
        <f t="shared" si="13"/>
        <v>2024</v>
      </c>
      <c r="Q181">
        <f t="shared" si="14"/>
        <v>6</v>
      </c>
      <c r="R181" t="str">
        <f t="shared" si="15"/>
        <v>June</v>
      </c>
      <c r="S181" t="str">
        <f t="shared" si="16"/>
        <v>Low</v>
      </c>
      <c r="T181" s="1">
        <f t="shared" si="17"/>
        <v>-0.11516900323810761</v>
      </c>
      <c r="U181">
        <f>SUM($I$2:I181)</f>
        <v>605047.92000000004</v>
      </c>
      <c r="V181" s="1">
        <f>Table1[[#This Row],[Running total ]]/SUM(I:I)</f>
        <v>0.1745940748110581</v>
      </c>
    </row>
    <row r="182" spans="1:22" x14ac:dyDescent="0.3">
      <c r="A182" t="s">
        <v>552</v>
      </c>
      <c r="B182" t="s">
        <v>553</v>
      </c>
      <c r="C182" t="s">
        <v>324</v>
      </c>
      <c r="D182" t="s">
        <v>137</v>
      </c>
      <c r="E182" t="s">
        <v>138</v>
      </c>
      <c r="F182" t="s">
        <v>67</v>
      </c>
      <c r="G182" t="s">
        <v>115</v>
      </c>
      <c r="H182" t="s">
        <v>116</v>
      </c>
      <c r="I182">
        <v>6670.44</v>
      </c>
      <c r="J182">
        <v>9</v>
      </c>
      <c r="K182" s="1">
        <v>0.15</v>
      </c>
      <c r="L182">
        <v>1023.16</v>
      </c>
      <c r="M182" t="s">
        <v>22</v>
      </c>
      <c r="N182" t="s">
        <v>76</v>
      </c>
      <c r="O182" t="str">
        <f t="shared" si="12"/>
        <v>25/04/2024</v>
      </c>
      <c r="P182">
        <f t="shared" si="13"/>
        <v>2024</v>
      </c>
      <c r="Q182">
        <f t="shared" si="14"/>
        <v>4</v>
      </c>
      <c r="R182" t="str">
        <f t="shared" si="15"/>
        <v>April</v>
      </c>
      <c r="S182" t="str">
        <f t="shared" si="16"/>
        <v>Low</v>
      </c>
      <c r="T182" s="1">
        <f t="shared" si="17"/>
        <v>0.15338718285450437</v>
      </c>
      <c r="U182">
        <f>SUM($I$2:I182)</f>
        <v>611718.36</v>
      </c>
      <c r="V182" s="1">
        <f>Table1[[#This Row],[Running total ]]/SUM(I:I)</f>
        <v>0.17651891293029776</v>
      </c>
    </row>
    <row r="183" spans="1:22" x14ac:dyDescent="0.3">
      <c r="A183" t="s">
        <v>554</v>
      </c>
      <c r="B183" t="s">
        <v>555</v>
      </c>
      <c r="C183" t="s">
        <v>556</v>
      </c>
      <c r="D183" t="s">
        <v>27</v>
      </c>
      <c r="E183" t="s">
        <v>124</v>
      </c>
      <c r="F183" t="s">
        <v>67</v>
      </c>
      <c r="G183" t="s">
        <v>85</v>
      </c>
      <c r="H183" t="s">
        <v>125</v>
      </c>
      <c r="I183">
        <v>1529.28</v>
      </c>
      <c r="J183">
        <v>9</v>
      </c>
      <c r="K183" s="1">
        <v>0.25</v>
      </c>
      <c r="L183">
        <v>27.86</v>
      </c>
      <c r="M183" t="s">
        <v>107</v>
      </c>
      <c r="N183" t="s">
        <v>76</v>
      </c>
      <c r="O183" t="str">
        <f t="shared" si="12"/>
        <v>18/03/2025</v>
      </c>
      <c r="P183">
        <f t="shared" si="13"/>
        <v>2025</v>
      </c>
      <c r="Q183">
        <f t="shared" si="14"/>
        <v>3</v>
      </c>
      <c r="R183" t="str">
        <f t="shared" si="15"/>
        <v>March</v>
      </c>
      <c r="S183" t="str">
        <f t="shared" si="16"/>
        <v>Low</v>
      </c>
      <c r="T183" s="1">
        <f t="shared" si="17"/>
        <v>1.8217723373090605E-2</v>
      </c>
      <c r="U183">
        <f>SUM($I$2:I183)</f>
        <v>613247.64</v>
      </c>
      <c r="V183" s="1">
        <f>Table1[[#This Row],[Running total ]]/SUM(I:I)</f>
        <v>0.1769602056244815</v>
      </c>
    </row>
    <row r="184" spans="1:22" x14ac:dyDescent="0.3">
      <c r="A184" t="s">
        <v>557</v>
      </c>
      <c r="B184" t="s">
        <v>558</v>
      </c>
      <c r="C184" t="s">
        <v>421</v>
      </c>
      <c r="D184" t="s">
        <v>137</v>
      </c>
      <c r="E184" t="s">
        <v>242</v>
      </c>
      <c r="F184" t="s">
        <v>55</v>
      </c>
      <c r="G184" t="s">
        <v>56</v>
      </c>
      <c r="H184" t="s">
        <v>57</v>
      </c>
      <c r="I184">
        <v>8058.4</v>
      </c>
      <c r="J184">
        <v>8</v>
      </c>
      <c r="K184" s="1">
        <v>0.05</v>
      </c>
      <c r="L184">
        <v>1420.47</v>
      </c>
      <c r="M184" t="s">
        <v>117</v>
      </c>
      <c r="N184" t="s">
        <v>39</v>
      </c>
      <c r="O184" t="str">
        <f t="shared" si="12"/>
        <v>21/03/2025</v>
      </c>
      <c r="P184">
        <f t="shared" si="13"/>
        <v>2025</v>
      </c>
      <c r="Q184">
        <f t="shared" si="14"/>
        <v>3</v>
      </c>
      <c r="R184" t="str">
        <f t="shared" si="15"/>
        <v>March</v>
      </c>
      <c r="S184" t="str">
        <f t="shared" si="16"/>
        <v>High</v>
      </c>
      <c r="T184" s="1">
        <f t="shared" si="17"/>
        <v>0.17627196465799663</v>
      </c>
      <c r="U184">
        <f>SUM($I$2:I184)</f>
        <v>621306.04</v>
      </c>
      <c r="V184" s="1">
        <f>Table1[[#This Row],[Running total ]]/SUM(I:I)</f>
        <v>0.17928555680072789</v>
      </c>
    </row>
    <row r="185" spans="1:22" x14ac:dyDescent="0.3">
      <c r="A185" t="s">
        <v>559</v>
      </c>
      <c r="B185" t="s">
        <v>560</v>
      </c>
      <c r="C185" t="s">
        <v>340</v>
      </c>
      <c r="D185" t="s">
        <v>27</v>
      </c>
      <c r="E185" t="s">
        <v>28</v>
      </c>
      <c r="F185" t="s">
        <v>19</v>
      </c>
      <c r="G185" t="s">
        <v>29</v>
      </c>
      <c r="H185" t="s">
        <v>50</v>
      </c>
      <c r="I185">
        <v>7951.6</v>
      </c>
      <c r="J185">
        <v>8</v>
      </c>
      <c r="K185" s="1">
        <v>0.3</v>
      </c>
      <c r="L185">
        <v>531.36</v>
      </c>
      <c r="M185" t="s">
        <v>38</v>
      </c>
      <c r="N185" t="s">
        <v>23</v>
      </c>
      <c r="O185" t="str">
        <f t="shared" si="12"/>
        <v>15/04/2025</v>
      </c>
      <c r="P185">
        <f t="shared" si="13"/>
        <v>2025</v>
      </c>
      <c r="Q185">
        <f t="shared" si="14"/>
        <v>4</v>
      </c>
      <c r="R185" t="str">
        <f t="shared" si="15"/>
        <v>April</v>
      </c>
      <c r="S185" t="str">
        <f t="shared" si="16"/>
        <v>Low</v>
      </c>
      <c r="T185" s="1">
        <f t="shared" si="17"/>
        <v>6.6824286935962568E-2</v>
      </c>
      <c r="U185">
        <f>SUM($I$2:I185)</f>
        <v>629257.64</v>
      </c>
      <c r="V185" s="1">
        <f>Table1[[#This Row],[Running total ]]/SUM(I:I)</f>
        <v>0.18158008951355434</v>
      </c>
    </row>
    <row r="186" spans="1:22" x14ac:dyDescent="0.3">
      <c r="A186" t="s">
        <v>561</v>
      </c>
      <c r="B186" t="s">
        <v>562</v>
      </c>
      <c r="C186" t="s">
        <v>350</v>
      </c>
      <c r="D186" t="s">
        <v>48</v>
      </c>
      <c r="E186" t="s">
        <v>73</v>
      </c>
      <c r="F186" t="s">
        <v>55</v>
      </c>
      <c r="G186" t="s">
        <v>98</v>
      </c>
      <c r="H186" t="s">
        <v>154</v>
      </c>
      <c r="I186">
        <v>6223</v>
      </c>
      <c r="J186">
        <v>7</v>
      </c>
      <c r="K186" s="1">
        <v>0.25</v>
      </c>
      <c r="L186">
        <v>112.66</v>
      </c>
      <c r="M186" t="s">
        <v>38</v>
      </c>
      <c r="N186" t="s">
        <v>23</v>
      </c>
      <c r="O186" t="str">
        <f t="shared" si="12"/>
        <v>17/02/2024</v>
      </c>
      <c r="P186">
        <f t="shared" si="13"/>
        <v>2024</v>
      </c>
      <c r="Q186">
        <f t="shared" si="14"/>
        <v>2</v>
      </c>
      <c r="R186" t="str">
        <f t="shared" si="15"/>
        <v>February</v>
      </c>
      <c r="S186" t="str">
        <f t="shared" si="16"/>
        <v>Low</v>
      </c>
      <c r="T186" s="1">
        <f t="shared" si="17"/>
        <v>1.8103808452514865E-2</v>
      </c>
      <c r="U186">
        <f>SUM($I$2:I186)</f>
        <v>635480.64</v>
      </c>
      <c r="V186" s="1">
        <f>Table1[[#This Row],[Running total ]]/SUM(I:I)</f>
        <v>0.18337581327630889</v>
      </c>
    </row>
    <row r="187" spans="1:22" x14ac:dyDescent="0.3">
      <c r="A187" t="s">
        <v>563</v>
      </c>
      <c r="B187" t="s">
        <v>105</v>
      </c>
      <c r="C187" t="s">
        <v>60</v>
      </c>
      <c r="D187" t="s">
        <v>137</v>
      </c>
      <c r="E187" t="s">
        <v>160</v>
      </c>
      <c r="F187" t="s">
        <v>55</v>
      </c>
      <c r="G187" t="s">
        <v>56</v>
      </c>
      <c r="H187" t="s">
        <v>57</v>
      </c>
      <c r="I187">
        <v>9335.34</v>
      </c>
      <c r="J187">
        <v>9</v>
      </c>
      <c r="K187" s="1">
        <v>0.3</v>
      </c>
      <c r="L187">
        <v>-1121.1300000000001</v>
      </c>
      <c r="M187" t="s">
        <v>22</v>
      </c>
      <c r="N187" t="s">
        <v>39</v>
      </c>
      <c r="O187" t="str">
        <f t="shared" si="12"/>
        <v>27/03/2025</v>
      </c>
      <c r="P187">
        <f t="shared" si="13"/>
        <v>2025</v>
      </c>
      <c r="Q187">
        <f t="shared" si="14"/>
        <v>3</v>
      </c>
      <c r="R187" t="str">
        <f t="shared" si="15"/>
        <v>March</v>
      </c>
      <c r="S187" t="str">
        <f t="shared" si="16"/>
        <v>Low</v>
      </c>
      <c r="T187" s="1">
        <f t="shared" si="17"/>
        <v>-0.12009525094961727</v>
      </c>
      <c r="U187">
        <f>SUM($I$2:I187)</f>
        <v>644815.98</v>
      </c>
      <c r="V187" s="1">
        <f>Table1[[#This Row],[Running total ]]/SUM(I:I)</f>
        <v>0.18606964131284964</v>
      </c>
    </row>
    <row r="188" spans="1:22" x14ac:dyDescent="0.3">
      <c r="A188" t="s">
        <v>564</v>
      </c>
      <c r="B188" t="s">
        <v>565</v>
      </c>
      <c r="C188" t="s">
        <v>566</v>
      </c>
      <c r="D188" t="s">
        <v>137</v>
      </c>
      <c r="E188" t="s">
        <v>138</v>
      </c>
      <c r="F188" t="s">
        <v>55</v>
      </c>
      <c r="G188" t="s">
        <v>56</v>
      </c>
      <c r="H188" t="s">
        <v>129</v>
      </c>
      <c r="I188">
        <v>7320.95</v>
      </c>
      <c r="J188">
        <v>7</v>
      </c>
      <c r="K188" s="1">
        <v>0.25</v>
      </c>
      <c r="L188">
        <v>-1208.1600000000001</v>
      </c>
      <c r="M188" t="s">
        <v>87</v>
      </c>
      <c r="N188" t="s">
        <v>39</v>
      </c>
      <c r="O188" t="str">
        <f t="shared" si="12"/>
        <v>15/01/2025</v>
      </c>
      <c r="P188">
        <f t="shared" si="13"/>
        <v>2025</v>
      </c>
      <c r="Q188">
        <f t="shared" si="14"/>
        <v>1</v>
      </c>
      <c r="R188" t="str">
        <f t="shared" si="15"/>
        <v>January</v>
      </c>
      <c r="S188" t="str">
        <f t="shared" si="16"/>
        <v>Low</v>
      </c>
      <c r="T188" s="1">
        <f t="shared" si="17"/>
        <v>-0.16502776279034825</v>
      </c>
      <c r="U188">
        <f>SUM($I$2:I188)</f>
        <v>652136.92999999993</v>
      </c>
      <c r="V188" s="1">
        <f>Table1[[#This Row],[Running total ]]/SUM(I:I)</f>
        <v>0.18818219215343099</v>
      </c>
    </row>
    <row r="189" spans="1:22" x14ac:dyDescent="0.3">
      <c r="A189" t="s">
        <v>567</v>
      </c>
      <c r="B189" t="s">
        <v>568</v>
      </c>
      <c r="C189" t="s">
        <v>286</v>
      </c>
      <c r="D189" t="s">
        <v>27</v>
      </c>
      <c r="E189" t="s">
        <v>124</v>
      </c>
      <c r="F189" t="s">
        <v>67</v>
      </c>
      <c r="G189" t="s">
        <v>115</v>
      </c>
      <c r="H189" t="s">
        <v>212</v>
      </c>
      <c r="I189">
        <v>1060.55</v>
      </c>
      <c r="J189">
        <v>5</v>
      </c>
      <c r="K189" s="1">
        <v>0.2</v>
      </c>
      <c r="L189">
        <v>-80.930000000000007</v>
      </c>
      <c r="M189" t="s">
        <v>107</v>
      </c>
      <c r="N189" t="s">
        <v>76</v>
      </c>
      <c r="O189" t="str">
        <f t="shared" si="12"/>
        <v>19/12/2025</v>
      </c>
      <c r="P189">
        <f t="shared" si="13"/>
        <v>2025</v>
      </c>
      <c r="Q189">
        <f t="shared" si="14"/>
        <v>12</v>
      </c>
      <c r="R189" t="str">
        <f t="shared" si="15"/>
        <v>December</v>
      </c>
      <c r="S189" t="str">
        <f t="shared" si="16"/>
        <v>Low</v>
      </c>
      <c r="T189" s="1">
        <f t="shared" si="17"/>
        <v>-7.630946207156665E-2</v>
      </c>
      <c r="U189">
        <f>SUM($I$2:I189)</f>
        <v>653197.48</v>
      </c>
      <c r="V189" s="1">
        <f>Table1[[#This Row],[Running total ]]/SUM(I:I)</f>
        <v>0.18848822699781304</v>
      </c>
    </row>
    <row r="190" spans="1:22" x14ac:dyDescent="0.3">
      <c r="A190" t="s">
        <v>569</v>
      </c>
      <c r="B190" t="s">
        <v>570</v>
      </c>
      <c r="C190" t="s">
        <v>571</v>
      </c>
      <c r="D190" t="s">
        <v>48</v>
      </c>
      <c r="E190" t="s">
        <v>73</v>
      </c>
      <c r="F190" t="s">
        <v>55</v>
      </c>
      <c r="G190" t="s">
        <v>56</v>
      </c>
      <c r="H190" t="s">
        <v>129</v>
      </c>
      <c r="I190">
        <v>2568.7199999999998</v>
      </c>
      <c r="J190">
        <v>8</v>
      </c>
      <c r="K190" s="1">
        <v>0.05</v>
      </c>
      <c r="L190">
        <v>668.07</v>
      </c>
      <c r="M190" t="s">
        <v>22</v>
      </c>
      <c r="N190" t="s">
        <v>32</v>
      </c>
      <c r="O190" t="str">
        <f t="shared" si="12"/>
        <v>09/03/2025</v>
      </c>
      <c r="P190">
        <f t="shared" si="13"/>
        <v>2025</v>
      </c>
      <c r="Q190">
        <f t="shared" si="14"/>
        <v>3</v>
      </c>
      <c r="R190" t="str">
        <f t="shared" si="15"/>
        <v>March</v>
      </c>
      <c r="S190" t="str">
        <f t="shared" si="16"/>
        <v>High</v>
      </c>
      <c r="T190" s="1">
        <f t="shared" si="17"/>
        <v>0.2600789498271513</v>
      </c>
      <c r="U190">
        <f>SUM($I$2:I190)</f>
        <v>655766.19999999995</v>
      </c>
      <c r="V190" s="1">
        <f>Table1[[#This Row],[Running total ]]/SUM(I:I)</f>
        <v>0.18922946298429269</v>
      </c>
    </row>
    <row r="191" spans="1:22" x14ac:dyDescent="0.3">
      <c r="A191" t="s">
        <v>572</v>
      </c>
      <c r="B191" t="s">
        <v>573</v>
      </c>
      <c r="C191" t="s">
        <v>47</v>
      </c>
      <c r="D191" t="s">
        <v>17</v>
      </c>
      <c r="E191" t="s">
        <v>80</v>
      </c>
      <c r="F191" t="s">
        <v>55</v>
      </c>
      <c r="G191" t="s">
        <v>74</v>
      </c>
      <c r="H191" t="s">
        <v>75</v>
      </c>
      <c r="I191">
        <v>5028.7</v>
      </c>
      <c r="J191">
        <v>10</v>
      </c>
      <c r="K191" s="1">
        <v>0.3</v>
      </c>
      <c r="L191">
        <v>668.52</v>
      </c>
      <c r="M191" t="s">
        <v>117</v>
      </c>
      <c r="N191" t="s">
        <v>39</v>
      </c>
      <c r="O191" t="str">
        <f t="shared" si="12"/>
        <v>13/01/2024</v>
      </c>
      <c r="P191">
        <f t="shared" si="13"/>
        <v>2024</v>
      </c>
      <c r="Q191">
        <f t="shared" si="14"/>
        <v>1</v>
      </c>
      <c r="R191" t="str">
        <f t="shared" si="15"/>
        <v>January</v>
      </c>
      <c r="S191" t="str">
        <f t="shared" si="16"/>
        <v>Low</v>
      </c>
      <c r="T191" s="1">
        <f t="shared" si="17"/>
        <v>0.13294091912422693</v>
      </c>
      <c r="U191">
        <f>SUM($I$2:I191)</f>
        <v>660794.89999999991</v>
      </c>
      <c r="V191" s="1">
        <f>Table1[[#This Row],[Running total ]]/SUM(I:I)</f>
        <v>0.19068055668279241</v>
      </c>
    </row>
    <row r="192" spans="1:22" x14ac:dyDescent="0.3">
      <c r="A192" t="s">
        <v>574</v>
      </c>
      <c r="B192" t="s">
        <v>131</v>
      </c>
      <c r="C192" t="s">
        <v>268</v>
      </c>
      <c r="D192" t="s">
        <v>48</v>
      </c>
      <c r="E192" t="s">
        <v>110</v>
      </c>
      <c r="F192" t="s">
        <v>19</v>
      </c>
      <c r="G192" t="s">
        <v>20</v>
      </c>
      <c r="H192" t="s">
        <v>347</v>
      </c>
      <c r="I192">
        <v>7182</v>
      </c>
      <c r="J192">
        <v>7</v>
      </c>
      <c r="K192" s="1">
        <v>0.1</v>
      </c>
      <c r="L192">
        <v>1619.83</v>
      </c>
      <c r="M192" t="s">
        <v>44</v>
      </c>
      <c r="N192" t="s">
        <v>32</v>
      </c>
      <c r="O192" t="str">
        <f t="shared" si="12"/>
        <v>14/01/2024</v>
      </c>
      <c r="P192">
        <f t="shared" si="13"/>
        <v>2024</v>
      </c>
      <c r="Q192">
        <f t="shared" si="14"/>
        <v>1</v>
      </c>
      <c r="R192" t="str">
        <f t="shared" si="15"/>
        <v>January</v>
      </c>
      <c r="S192" t="str">
        <f t="shared" si="16"/>
        <v>Low</v>
      </c>
      <c r="T192" s="1">
        <f t="shared" si="17"/>
        <v>0.2255402394876079</v>
      </c>
      <c r="U192">
        <f>SUM($I$2:I192)</f>
        <v>667976.89999999991</v>
      </c>
      <c r="V192" s="1">
        <f>Table1[[#This Row],[Running total ]]/SUM(I:I)</f>
        <v>0.19275301177906481</v>
      </c>
    </row>
    <row r="193" spans="1:22" x14ac:dyDescent="0.3">
      <c r="A193" t="s">
        <v>575</v>
      </c>
      <c r="B193" t="s">
        <v>576</v>
      </c>
      <c r="C193" t="s">
        <v>286</v>
      </c>
      <c r="D193" t="s">
        <v>137</v>
      </c>
      <c r="E193" t="s">
        <v>138</v>
      </c>
      <c r="F193" t="s">
        <v>19</v>
      </c>
      <c r="G193" t="s">
        <v>20</v>
      </c>
      <c r="H193" t="s">
        <v>21</v>
      </c>
      <c r="I193">
        <v>4739.8999999999996</v>
      </c>
      <c r="J193">
        <v>10</v>
      </c>
      <c r="K193" s="1">
        <v>0.05</v>
      </c>
      <c r="L193">
        <v>405.97</v>
      </c>
      <c r="M193" t="s">
        <v>117</v>
      </c>
      <c r="N193" t="s">
        <v>76</v>
      </c>
      <c r="O193" t="str">
        <f t="shared" si="12"/>
        <v>10/10/2024</v>
      </c>
      <c r="P193">
        <f t="shared" si="13"/>
        <v>2024</v>
      </c>
      <c r="Q193">
        <f t="shared" si="14"/>
        <v>10</v>
      </c>
      <c r="R193" t="str">
        <f t="shared" si="15"/>
        <v>October</v>
      </c>
      <c r="S193" t="str">
        <f t="shared" si="16"/>
        <v>High</v>
      </c>
      <c r="T193" s="1">
        <f t="shared" si="17"/>
        <v>8.5649486276081779E-2</v>
      </c>
      <c r="U193">
        <f>SUM($I$2:I193)</f>
        <v>672716.79999999993</v>
      </c>
      <c r="V193" s="1">
        <f>Table1[[#This Row],[Running total ]]/SUM(I:I)</f>
        <v>0.19412076865887845</v>
      </c>
    </row>
    <row r="194" spans="1:22" x14ac:dyDescent="0.3">
      <c r="A194" t="s">
        <v>577</v>
      </c>
      <c r="B194" t="s">
        <v>578</v>
      </c>
      <c r="C194" t="s">
        <v>464</v>
      </c>
      <c r="D194" t="s">
        <v>48</v>
      </c>
      <c r="E194" t="s">
        <v>110</v>
      </c>
      <c r="F194" t="s">
        <v>55</v>
      </c>
      <c r="G194" t="s">
        <v>98</v>
      </c>
      <c r="H194" t="s">
        <v>99</v>
      </c>
      <c r="I194">
        <v>2480.6999999999998</v>
      </c>
      <c r="J194">
        <v>10</v>
      </c>
      <c r="K194" s="1">
        <v>0</v>
      </c>
      <c r="L194">
        <v>772.79</v>
      </c>
      <c r="M194" t="s">
        <v>195</v>
      </c>
      <c r="N194" t="s">
        <v>39</v>
      </c>
      <c r="O194" t="str">
        <f t="shared" si="12"/>
        <v>25/02/2025</v>
      </c>
      <c r="P194">
        <f t="shared" si="13"/>
        <v>2025</v>
      </c>
      <c r="Q194">
        <f t="shared" si="14"/>
        <v>2</v>
      </c>
      <c r="R194" t="str">
        <f t="shared" si="15"/>
        <v>February</v>
      </c>
      <c r="S194" t="str">
        <f t="shared" si="16"/>
        <v>No Discount</v>
      </c>
      <c r="T194" s="1">
        <f t="shared" si="17"/>
        <v>0.31152094166969002</v>
      </c>
      <c r="U194">
        <f>SUM($I$2:I194)</f>
        <v>675197.49999999988</v>
      </c>
      <c r="V194" s="1">
        <f>Table1[[#This Row],[Running total ]]/SUM(I:I)</f>
        <v>0.19483660538365188</v>
      </c>
    </row>
    <row r="195" spans="1:22" x14ac:dyDescent="0.3">
      <c r="A195" t="s">
        <v>579</v>
      </c>
      <c r="B195" t="s">
        <v>580</v>
      </c>
      <c r="C195" t="s">
        <v>332</v>
      </c>
      <c r="D195" t="s">
        <v>137</v>
      </c>
      <c r="E195" t="s">
        <v>242</v>
      </c>
      <c r="F195" t="s">
        <v>55</v>
      </c>
      <c r="G195" t="s">
        <v>98</v>
      </c>
      <c r="H195" t="s">
        <v>154</v>
      </c>
      <c r="I195">
        <v>9379.7000000000007</v>
      </c>
      <c r="J195">
        <v>10</v>
      </c>
      <c r="K195" s="1">
        <v>0.05</v>
      </c>
      <c r="L195">
        <v>1304.29</v>
      </c>
      <c r="M195" t="s">
        <v>107</v>
      </c>
      <c r="N195" t="s">
        <v>76</v>
      </c>
      <c r="O195" t="str">
        <f t="shared" ref="O195:O258" si="18">TEXT(B195,"dd/mm/yyyy")</f>
        <v>26/12/2025</v>
      </c>
      <c r="P195">
        <f t="shared" ref="P195:P258" si="19">YEAR(O195)</f>
        <v>2025</v>
      </c>
      <c r="Q195">
        <f t="shared" ref="Q195:Q258" si="20">MONTH(O195)</f>
        <v>12</v>
      </c>
      <c r="R195" t="str">
        <f t="shared" ref="R195:R258" si="21">TEXT(O195,"mmmm")</f>
        <v>December</v>
      </c>
      <c r="S195" t="str">
        <f t="shared" ref="S195:S258" si="22">IF(K195=0,"No Discount",IF(K195&gt;=0.1,"Low",IF(K195&gt;=0.2,"Medium","High")))</f>
        <v>High</v>
      </c>
      <c r="T195" s="1">
        <f t="shared" ref="T195:T258" si="23">SUM(L195)/SUM(I195)</f>
        <v>0.13905455398360286</v>
      </c>
      <c r="U195">
        <f>SUM($I$2:I195)</f>
        <v>684577.19999999984</v>
      </c>
      <c r="V195" s="1">
        <f>Table1[[#This Row],[Running total ]]/SUM(I:I)</f>
        <v>0.19754323404788277</v>
      </c>
    </row>
    <row r="196" spans="1:22" x14ac:dyDescent="0.3">
      <c r="A196" t="s">
        <v>581</v>
      </c>
      <c r="B196" t="s">
        <v>582</v>
      </c>
      <c r="C196" t="s">
        <v>583</v>
      </c>
      <c r="D196" t="s">
        <v>48</v>
      </c>
      <c r="E196" t="s">
        <v>49</v>
      </c>
      <c r="F196" t="s">
        <v>19</v>
      </c>
      <c r="G196" t="s">
        <v>36</v>
      </c>
      <c r="H196" t="s">
        <v>37</v>
      </c>
      <c r="I196">
        <v>1119.22</v>
      </c>
      <c r="J196">
        <v>2</v>
      </c>
      <c r="K196" s="1">
        <v>0.05</v>
      </c>
      <c r="L196">
        <v>46.92</v>
      </c>
      <c r="M196" t="s">
        <v>195</v>
      </c>
      <c r="N196" t="s">
        <v>32</v>
      </c>
      <c r="O196" t="str">
        <f t="shared" si="18"/>
        <v>28/09/2025</v>
      </c>
      <c r="P196">
        <f t="shared" si="19"/>
        <v>2025</v>
      </c>
      <c r="Q196">
        <f t="shared" si="20"/>
        <v>9</v>
      </c>
      <c r="R196" t="str">
        <f t="shared" si="21"/>
        <v>September</v>
      </c>
      <c r="S196" t="str">
        <f t="shared" si="22"/>
        <v>High</v>
      </c>
      <c r="T196" s="1">
        <f t="shared" si="23"/>
        <v>4.1922052858240563E-2</v>
      </c>
      <c r="U196">
        <f>SUM($I$2:I196)</f>
        <v>685696.41999999981</v>
      </c>
      <c r="V196" s="1">
        <f>Table1[[#This Row],[Running total ]]/SUM(I:I)</f>
        <v>0.19786619884777834</v>
      </c>
    </row>
    <row r="197" spans="1:22" x14ac:dyDescent="0.3">
      <c r="A197" t="s">
        <v>584</v>
      </c>
      <c r="B197" t="s">
        <v>585</v>
      </c>
      <c r="C197" t="s">
        <v>275</v>
      </c>
      <c r="D197" t="s">
        <v>48</v>
      </c>
      <c r="E197" t="s">
        <v>110</v>
      </c>
      <c r="F197" t="s">
        <v>67</v>
      </c>
      <c r="G197" t="s">
        <v>115</v>
      </c>
      <c r="H197" t="s">
        <v>178</v>
      </c>
      <c r="I197">
        <v>1180.08</v>
      </c>
      <c r="J197">
        <v>3</v>
      </c>
      <c r="K197" s="1">
        <v>0.15</v>
      </c>
      <c r="L197">
        <v>-97.91</v>
      </c>
      <c r="M197" t="s">
        <v>44</v>
      </c>
      <c r="N197" t="s">
        <v>23</v>
      </c>
      <c r="O197" t="str">
        <f t="shared" si="18"/>
        <v>17/06/2025</v>
      </c>
      <c r="P197">
        <f t="shared" si="19"/>
        <v>2025</v>
      </c>
      <c r="Q197">
        <f t="shared" si="20"/>
        <v>6</v>
      </c>
      <c r="R197" t="str">
        <f t="shared" si="21"/>
        <v>June</v>
      </c>
      <c r="S197" t="str">
        <f t="shared" si="22"/>
        <v>Low</v>
      </c>
      <c r="T197" s="1">
        <f t="shared" si="23"/>
        <v>-8.2968951257541862E-2</v>
      </c>
      <c r="U197">
        <f>SUM($I$2:I197)</f>
        <v>686876.49999999977</v>
      </c>
      <c r="V197" s="1">
        <f>Table1[[#This Row],[Running total ]]/SUM(I:I)</f>
        <v>0.19820672555482499</v>
      </c>
    </row>
    <row r="198" spans="1:22" x14ac:dyDescent="0.3">
      <c r="A198" t="s">
        <v>586</v>
      </c>
      <c r="B198" t="s">
        <v>587</v>
      </c>
      <c r="C198" t="s">
        <v>588</v>
      </c>
      <c r="D198" t="s">
        <v>48</v>
      </c>
      <c r="E198" t="s">
        <v>49</v>
      </c>
      <c r="F198" t="s">
        <v>19</v>
      </c>
      <c r="G198" t="s">
        <v>29</v>
      </c>
      <c r="H198" t="s">
        <v>199</v>
      </c>
      <c r="I198">
        <v>4608.08</v>
      </c>
      <c r="J198">
        <v>4</v>
      </c>
      <c r="K198" s="1">
        <v>0.3</v>
      </c>
      <c r="L198">
        <v>-1022.6</v>
      </c>
      <c r="M198" t="s">
        <v>107</v>
      </c>
      <c r="N198" t="s">
        <v>76</v>
      </c>
      <c r="O198" t="str">
        <f t="shared" si="18"/>
        <v>20/10/2024</v>
      </c>
      <c r="P198">
        <f t="shared" si="19"/>
        <v>2024</v>
      </c>
      <c r="Q198">
        <f t="shared" si="20"/>
        <v>10</v>
      </c>
      <c r="R198" t="str">
        <f t="shared" si="21"/>
        <v>October</v>
      </c>
      <c r="S198" t="str">
        <f t="shared" si="22"/>
        <v>Low</v>
      </c>
      <c r="T198" s="1">
        <f t="shared" si="23"/>
        <v>-0.22191455009461641</v>
      </c>
      <c r="U198">
        <f>SUM($I$2:I198)</f>
        <v>691484.57999999973</v>
      </c>
      <c r="V198" s="1">
        <f>Table1[[#This Row],[Running total ]]/SUM(I:I)</f>
        <v>0.19953644414018157</v>
      </c>
    </row>
    <row r="199" spans="1:22" x14ac:dyDescent="0.3">
      <c r="A199" t="s">
        <v>589</v>
      </c>
      <c r="B199" t="s">
        <v>590</v>
      </c>
      <c r="C199" t="s">
        <v>355</v>
      </c>
      <c r="D199" t="s">
        <v>27</v>
      </c>
      <c r="E199" t="s">
        <v>43</v>
      </c>
      <c r="F199" t="s">
        <v>19</v>
      </c>
      <c r="G199" t="s">
        <v>29</v>
      </c>
      <c r="H199" t="s">
        <v>30</v>
      </c>
      <c r="I199">
        <v>778.4</v>
      </c>
      <c r="J199">
        <v>5</v>
      </c>
      <c r="K199" s="1">
        <v>0.15</v>
      </c>
      <c r="L199">
        <v>83.4</v>
      </c>
      <c r="M199" t="s">
        <v>143</v>
      </c>
      <c r="N199" t="s">
        <v>39</v>
      </c>
      <c r="O199" t="str">
        <f t="shared" si="18"/>
        <v>14/07/2024</v>
      </c>
      <c r="P199">
        <f t="shared" si="19"/>
        <v>2024</v>
      </c>
      <c r="Q199">
        <f t="shared" si="20"/>
        <v>7</v>
      </c>
      <c r="R199" t="str">
        <f t="shared" si="21"/>
        <v>July</v>
      </c>
      <c r="S199" t="str">
        <f t="shared" si="22"/>
        <v>Low</v>
      </c>
      <c r="T199" s="1">
        <f t="shared" si="23"/>
        <v>0.10714285714285715</v>
      </c>
      <c r="U199">
        <f>SUM($I$2:I199)</f>
        <v>692262.97999999975</v>
      </c>
      <c r="V199" s="1">
        <f>Table1[[#This Row],[Running total ]]/SUM(I:I)</f>
        <v>0.19976106110578146</v>
      </c>
    </row>
    <row r="200" spans="1:22" x14ac:dyDescent="0.3">
      <c r="A200" t="s">
        <v>591</v>
      </c>
      <c r="B200" t="s">
        <v>592</v>
      </c>
      <c r="C200" t="s">
        <v>215</v>
      </c>
      <c r="D200" t="s">
        <v>27</v>
      </c>
      <c r="E200" t="s">
        <v>124</v>
      </c>
      <c r="F200" t="s">
        <v>67</v>
      </c>
      <c r="G200" t="s">
        <v>85</v>
      </c>
      <c r="H200" t="s">
        <v>253</v>
      </c>
      <c r="I200">
        <v>1090.32</v>
      </c>
      <c r="J200">
        <v>2</v>
      </c>
      <c r="K200" s="1">
        <v>0.25</v>
      </c>
      <c r="L200">
        <v>-211.67</v>
      </c>
      <c r="M200" t="s">
        <v>143</v>
      </c>
      <c r="N200" t="s">
        <v>39</v>
      </c>
      <c r="O200" t="str">
        <f t="shared" si="18"/>
        <v>31/08/2024</v>
      </c>
      <c r="P200">
        <f t="shared" si="19"/>
        <v>2024</v>
      </c>
      <c r="Q200">
        <f t="shared" si="20"/>
        <v>8</v>
      </c>
      <c r="R200" t="str">
        <f t="shared" si="21"/>
        <v>August</v>
      </c>
      <c r="S200" t="str">
        <f t="shared" si="22"/>
        <v>Low</v>
      </c>
      <c r="T200" s="1">
        <f t="shared" si="23"/>
        <v>-0.1941356665932937</v>
      </c>
      <c r="U200">
        <f>SUM($I$2:I200)</f>
        <v>693353.2999999997</v>
      </c>
      <c r="V200" s="1">
        <f>Table1[[#This Row],[Running total ]]/SUM(I:I)</f>
        <v>0.20007568645256057</v>
      </c>
    </row>
    <row r="201" spans="1:22" x14ac:dyDescent="0.3">
      <c r="A201" t="s">
        <v>593</v>
      </c>
      <c r="B201" t="s">
        <v>594</v>
      </c>
      <c r="C201" t="s">
        <v>411</v>
      </c>
      <c r="D201" t="s">
        <v>17</v>
      </c>
      <c r="E201" t="s">
        <v>97</v>
      </c>
      <c r="F201" t="s">
        <v>19</v>
      </c>
      <c r="G201" t="s">
        <v>36</v>
      </c>
      <c r="H201" t="s">
        <v>111</v>
      </c>
      <c r="I201">
        <v>5014.26</v>
      </c>
      <c r="J201">
        <v>6</v>
      </c>
      <c r="K201" s="1">
        <v>0.1</v>
      </c>
      <c r="L201">
        <v>362.96</v>
      </c>
      <c r="M201" t="s">
        <v>63</v>
      </c>
      <c r="N201" t="s">
        <v>32</v>
      </c>
      <c r="O201" t="str">
        <f t="shared" si="18"/>
        <v>24/02/2024</v>
      </c>
      <c r="P201">
        <f t="shared" si="19"/>
        <v>2024</v>
      </c>
      <c r="Q201">
        <f t="shared" si="20"/>
        <v>2</v>
      </c>
      <c r="R201" t="str">
        <f t="shared" si="21"/>
        <v>February</v>
      </c>
      <c r="S201" t="str">
        <f t="shared" si="22"/>
        <v>Low</v>
      </c>
      <c r="T201" s="1">
        <f t="shared" si="23"/>
        <v>7.2385556393166683E-2</v>
      </c>
      <c r="U201">
        <f>SUM($I$2:I201)</f>
        <v>698367.55999999971</v>
      </c>
      <c r="V201" s="1">
        <f>Table1[[#This Row],[Running total ]]/SUM(I:I)</f>
        <v>0.201522613310126</v>
      </c>
    </row>
    <row r="202" spans="1:22" x14ac:dyDescent="0.3">
      <c r="A202" t="s">
        <v>595</v>
      </c>
      <c r="B202" t="s">
        <v>596</v>
      </c>
      <c r="C202" t="s">
        <v>408</v>
      </c>
      <c r="D202" t="s">
        <v>137</v>
      </c>
      <c r="E202" t="s">
        <v>142</v>
      </c>
      <c r="F202" t="s">
        <v>19</v>
      </c>
      <c r="G202" t="s">
        <v>36</v>
      </c>
      <c r="H202" t="s">
        <v>111</v>
      </c>
      <c r="I202">
        <v>1381.56</v>
      </c>
      <c r="J202">
        <v>6</v>
      </c>
      <c r="K202" s="1">
        <v>0.2</v>
      </c>
      <c r="L202">
        <v>185.05</v>
      </c>
      <c r="M202" t="s">
        <v>143</v>
      </c>
      <c r="N202" t="s">
        <v>39</v>
      </c>
      <c r="O202" t="str">
        <f t="shared" si="18"/>
        <v>21/11/2024</v>
      </c>
      <c r="P202">
        <f t="shared" si="19"/>
        <v>2024</v>
      </c>
      <c r="Q202">
        <f t="shared" si="20"/>
        <v>11</v>
      </c>
      <c r="R202" t="str">
        <f t="shared" si="21"/>
        <v>November</v>
      </c>
      <c r="S202" t="str">
        <f t="shared" si="22"/>
        <v>Low</v>
      </c>
      <c r="T202" s="1">
        <f t="shared" si="23"/>
        <v>0.13394278931063436</v>
      </c>
      <c r="U202">
        <f>SUM($I$2:I202)</f>
        <v>699749.11999999976</v>
      </c>
      <c r="V202" s="1">
        <f>Table1[[#This Row],[Running total ]]/SUM(I:I)</f>
        <v>0.20192127956782668</v>
      </c>
    </row>
    <row r="203" spans="1:22" x14ac:dyDescent="0.3">
      <c r="A203" t="s">
        <v>597</v>
      </c>
      <c r="B203" t="s">
        <v>598</v>
      </c>
      <c r="C203" t="s">
        <v>305</v>
      </c>
      <c r="D203" t="s">
        <v>27</v>
      </c>
      <c r="E203" t="s">
        <v>124</v>
      </c>
      <c r="F203" t="s">
        <v>55</v>
      </c>
      <c r="G203" t="s">
        <v>74</v>
      </c>
      <c r="H203" t="s">
        <v>75</v>
      </c>
      <c r="I203">
        <v>4907.76</v>
      </c>
      <c r="J203">
        <v>6</v>
      </c>
      <c r="K203" s="1">
        <v>0</v>
      </c>
      <c r="L203">
        <v>2072.31</v>
      </c>
      <c r="M203" t="s">
        <v>87</v>
      </c>
      <c r="N203" t="s">
        <v>32</v>
      </c>
      <c r="O203" t="str">
        <f t="shared" si="18"/>
        <v>05/09/2025</v>
      </c>
      <c r="P203">
        <f t="shared" si="19"/>
        <v>2025</v>
      </c>
      <c r="Q203">
        <f t="shared" si="20"/>
        <v>9</v>
      </c>
      <c r="R203" t="str">
        <f t="shared" si="21"/>
        <v>September</v>
      </c>
      <c r="S203" t="str">
        <f t="shared" si="22"/>
        <v>No Discount</v>
      </c>
      <c r="T203" s="1">
        <f t="shared" si="23"/>
        <v>0.42225169934960144</v>
      </c>
      <c r="U203">
        <f>SUM($I$2:I203)</f>
        <v>704656.87999999977</v>
      </c>
      <c r="V203" s="1">
        <f>Table1[[#This Row],[Running total ]]/SUM(I:I)</f>
        <v>0.20333747453068965</v>
      </c>
    </row>
    <row r="204" spans="1:22" x14ac:dyDescent="0.3">
      <c r="A204" t="s">
        <v>599</v>
      </c>
      <c r="B204" t="s">
        <v>600</v>
      </c>
      <c r="C204" t="s">
        <v>601</v>
      </c>
      <c r="D204" t="s">
        <v>17</v>
      </c>
      <c r="E204" t="s">
        <v>97</v>
      </c>
      <c r="F204" t="s">
        <v>67</v>
      </c>
      <c r="G204" t="s">
        <v>115</v>
      </c>
      <c r="H204" t="s">
        <v>178</v>
      </c>
      <c r="I204">
        <v>1263.28</v>
      </c>
      <c r="J204">
        <v>8</v>
      </c>
      <c r="K204" s="1">
        <v>0.15</v>
      </c>
      <c r="L204">
        <v>-44.37</v>
      </c>
      <c r="M204" t="s">
        <v>107</v>
      </c>
      <c r="N204" t="s">
        <v>76</v>
      </c>
      <c r="O204" t="str">
        <f t="shared" si="18"/>
        <v>27/10/2025</v>
      </c>
      <c r="P204">
        <f t="shared" si="19"/>
        <v>2025</v>
      </c>
      <c r="Q204">
        <f t="shared" si="20"/>
        <v>10</v>
      </c>
      <c r="R204" t="str">
        <f t="shared" si="21"/>
        <v>October</v>
      </c>
      <c r="S204" t="str">
        <f t="shared" si="22"/>
        <v>Low</v>
      </c>
      <c r="T204" s="1">
        <f t="shared" si="23"/>
        <v>-3.5122854790703567E-2</v>
      </c>
      <c r="U204">
        <f>SUM($I$2:I204)</f>
        <v>705920.1599999998</v>
      </c>
      <c r="V204" s="1">
        <f>Table1[[#This Row],[Running total ]]/SUM(I:I)</f>
        <v>0.20370200962871512</v>
      </c>
    </row>
    <row r="205" spans="1:22" x14ac:dyDescent="0.3">
      <c r="A205" t="s">
        <v>602</v>
      </c>
      <c r="B205" t="s">
        <v>603</v>
      </c>
      <c r="C205" t="s">
        <v>358</v>
      </c>
      <c r="D205" t="s">
        <v>137</v>
      </c>
      <c r="E205" t="s">
        <v>160</v>
      </c>
      <c r="F205" t="s">
        <v>55</v>
      </c>
      <c r="G205" t="s">
        <v>74</v>
      </c>
      <c r="H205" t="s">
        <v>75</v>
      </c>
      <c r="I205">
        <v>1046.53</v>
      </c>
      <c r="J205">
        <v>1</v>
      </c>
      <c r="K205" s="1">
        <v>0.25</v>
      </c>
      <c r="L205">
        <v>75.069999999999993</v>
      </c>
      <c r="M205" t="s">
        <v>143</v>
      </c>
      <c r="N205" t="s">
        <v>32</v>
      </c>
      <c r="O205" t="str">
        <f t="shared" si="18"/>
        <v>02/01/2025</v>
      </c>
      <c r="P205">
        <f t="shared" si="19"/>
        <v>2025</v>
      </c>
      <c r="Q205">
        <f t="shared" si="20"/>
        <v>1</v>
      </c>
      <c r="R205" t="str">
        <f t="shared" si="21"/>
        <v>January</v>
      </c>
      <c r="S205" t="str">
        <f t="shared" si="22"/>
        <v>Low</v>
      </c>
      <c r="T205" s="1">
        <f t="shared" si="23"/>
        <v>7.1732296255243508E-2</v>
      </c>
      <c r="U205">
        <f>SUM($I$2:I205)</f>
        <v>706966.68999999983</v>
      </c>
      <c r="V205" s="1">
        <f>Table1[[#This Row],[Running total ]]/SUM(I:I)</f>
        <v>0.20400399882836734</v>
      </c>
    </row>
    <row r="206" spans="1:22" x14ac:dyDescent="0.3">
      <c r="A206" t="s">
        <v>604</v>
      </c>
      <c r="B206" t="s">
        <v>605</v>
      </c>
      <c r="C206" t="s">
        <v>149</v>
      </c>
      <c r="D206" t="s">
        <v>17</v>
      </c>
      <c r="E206" t="s">
        <v>97</v>
      </c>
      <c r="F206" t="s">
        <v>67</v>
      </c>
      <c r="G206" t="s">
        <v>115</v>
      </c>
      <c r="H206" t="s">
        <v>178</v>
      </c>
      <c r="I206">
        <v>8416.24</v>
      </c>
      <c r="J206">
        <v>8</v>
      </c>
      <c r="K206" s="1">
        <v>0.25</v>
      </c>
      <c r="L206">
        <v>-1112.45</v>
      </c>
      <c r="M206" t="s">
        <v>31</v>
      </c>
      <c r="N206" t="s">
        <v>32</v>
      </c>
      <c r="O206" t="str">
        <f t="shared" si="18"/>
        <v>23/11/2025</v>
      </c>
      <c r="P206">
        <f t="shared" si="19"/>
        <v>2025</v>
      </c>
      <c r="Q206">
        <f t="shared" si="20"/>
        <v>11</v>
      </c>
      <c r="R206" t="str">
        <f t="shared" si="21"/>
        <v>November</v>
      </c>
      <c r="S206" t="str">
        <f t="shared" si="22"/>
        <v>Low</v>
      </c>
      <c r="T206" s="1">
        <f t="shared" si="23"/>
        <v>-0.13217897778580459</v>
      </c>
      <c r="U206">
        <f>SUM($I$2:I206)</f>
        <v>715382.92999999982</v>
      </c>
      <c r="V206" s="1">
        <f>Table1[[#This Row],[Running total ]]/SUM(I:I)</f>
        <v>0.20643260917081396</v>
      </c>
    </row>
    <row r="207" spans="1:22" x14ac:dyDescent="0.3">
      <c r="A207" t="s">
        <v>606</v>
      </c>
      <c r="B207" t="s">
        <v>607</v>
      </c>
      <c r="C207" t="s">
        <v>608</v>
      </c>
      <c r="D207" t="s">
        <v>27</v>
      </c>
      <c r="E207" t="s">
        <v>43</v>
      </c>
      <c r="F207" t="s">
        <v>55</v>
      </c>
      <c r="G207" t="s">
        <v>56</v>
      </c>
      <c r="H207" t="s">
        <v>57</v>
      </c>
      <c r="I207">
        <v>192.26</v>
      </c>
      <c r="J207">
        <v>1</v>
      </c>
      <c r="K207" s="1">
        <v>0.15</v>
      </c>
      <c r="L207">
        <v>18.86</v>
      </c>
      <c r="M207" t="s">
        <v>38</v>
      </c>
      <c r="N207" t="s">
        <v>76</v>
      </c>
      <c r="O207" t="str">
        <f t="shared" si="18"/>
        <v>05/12/2025</v>
      </c>
      <c r="P207">
        <f t="shared" si="19"/>
        <v>2025</v>
      </c>
      <c r="Q207">
        <f t="shared" si="20"/>
        <v>12</v>
      </c>
      <c r="R207" t="str">
        <f t="shared" si="21"/>
        <v>December</v>
      </c>
      <c r="S207" t="str">
        <f t="shared" si="22"/>
        <v>Low</v>
      </c>
      <c r="T207" s="1">
        <f t="shared" si="23"/>
        <v>9.8096327889316548E-2</v>
      </c>
      <c r="U207">
        <f>SUM($I$2:I207)</f>
        <v>715575.18999999983</v>
      </c>
      <c r="V207" s="1">
        <f>Table1[[#This Row],[Running total ]]/SUM(I:I)</f>
        <v>0.20648808817621764</v>
      </c>
    </row>
    <row r="208" spans="1:22" x14ac:dyDescent="0.3">
      <c r="A208" t="s">
        <v>609</v>
      </c>
      <c r="B208" t="s">
        <v>610</v>
      </c>
      <c r="C208" t="s">
        <v>450</v>
      </c>
      <c r="D208" t="s">
        <v>48</v>
      </c>
      <c r="E208" t="s">
        <v>73</v>
      </c>
      <c r="F208" t="s">
        <v>55</v>
      </c>
      <c r="G208" t="s">
        <v>74</v>
      </c>
      <c r="H208" t="s">
        <v>133</v>
      </c>
      <c r="I208">
        <v>1135.6500000000001</v>
      </c>
      <c r="J208">
        <v>1</v>
      </c>
      <c r="K208" s="1">
        <v>0.2</v>
      </c>
      <c r="L208">
        <v>142.78</v>
      </c>
      <c r="M208" t="s">
        <v>143</v>
      </c>
      <c r="N208" t="s">
        <v>39</v>
      </c>
      <c r="O208" t="str">
        <f t="shared" si="18"/>
        <v>29/01/2025</v>
      </c>
      <c r="P208">
        <f t="shared" si="19"/>
        <v>2025</v>
      </c>
      <c r="Q208">
        <f t="shared" si="20"/>
        <v>1</v>
      </c>
      <c r="R208" t="str">
        <f t="shared" si="21"/>
        <v>January</v>
      </c>
      <c r="S208" t="str">
        <f t="shared" si="22"/>
        <v>Low</v>
      </c>
      <c r="T208" s="1">
        <f t="shared" si="23"/>
        <v>0.12572535552326861</v>
      </c>
      <c r="U208">
        <f>SUM($I$2:I208)</f>
        <v>716710.83999999985</v>
      </c>
      <c r="V208" s="1">
        <f>Table1[[#This Row],[Running total ]]/SUM(I:I)</f>
        <v>0.20681579405620676</v>
      </c>
    </row>
    <row r="209" spans="1:22" x14ac:dyDescent="0.3">
      <c r="A209" t="s">
        <v>611</v>
      </c>
      <c r="B209" t="s">
        <v>612</v>
      </c>
      <c r="C209" t="s">
        <v>346</v>
      </c>
      <c r="D209" t="s">
        <v>27</v>
      </c>
      <c r="E209" t="s">
        <v>43</v>
      </c>
      <c r="F209" t="s">
        <v>19</v>
      </c>
      <c r="G209" t="s">
        <v>29</v>
      </c>
      <c r="H209" t="s">
        <v>199</v>
      </c>
      <c r="I209">
        <v>3047.36</v>
      </c>
      <c r="J209">
        <v>4</v>
      </c>
      <c r="K209" s="1">
        <v>0.3</v>
      </c>
      <c r="L209">
        <v>-3.1</v>
      </c>
      <c r="M209" t="s">
        <v>38</v>
      </c>
      <c r="N209" t="s">
        <v>23</v>
      </c>
      <c r="O209" t="str">
        <f t="shared" si="18"/>
        <v>11/11/2025</v>
      </c>
      <c r="P209">
        <f t="shared" si="19"/>
        <v>2025</v>
      </c>
      <c r="Q209">
        <f t="shared" si="20"/>
        <v>11</v>
      </c>
      <c r="R209" t="str">
        <f t="shared" si="21"/>
        <v>November</v>
      </c>
      <c r="S209" t="str">
        <f t="shared" si="22"/>
        <v>Low</v>
      </c>
      <c r="T209" s="1">
        <f t="shared" si="23"/>
        <v>-1.0172739682873045E-3</v>
      </c>
      <c r="U209">
        <f>SUM($I$2:I209)</f>
        <v>719758.19999999984</v>
      </c>
      <c r="V209" s="1">
        <f>Table1[[#This Row],[Running total ]]/SUM(I:I)</f>
        <v>0.20769514754578858</v>
      </c>
    </row>
    <row r="210" spans="1:22" x14ac:dyDescent="0.3">
      <c r="A210" t="s">
        <v>613</v>
      </c>
      <c r="B210" t="s">
        <v>600</v>
      </c>
      <c r="C210" t="s">
        <v>275</v>
      </c>
      <c r="D210" t="s">
        <v>27</v>
      </c>
      <c r="E210" t="s">
        <v>43</v>
      </c>
      <c r="F210" t="s">
        <v>55</v>
      </c>
      <c r="G210" t="s">
        <v>98</v>
      </c>
      <c r="H210" t="s">
        <v>154</v>
      </c>
      <c r="I210">
        <v>2869.83</v>
      </c>
      <c r="J210">
        <v>3</v>
      </c>
      <c r="K210" s="1">
        <v>0</v>
      </c>
      <c r="L210">
        <v>852.14</v>
      </c>
      <c r="M210" t="s">
        <v>44</v>
      </c>
      <c r="N210" t="s">
        <v>23</v>
      </c>
      <c r="O210" t="str">
        <f t="shared" si="18"/>
        <v>27/10/2025</v>
      </c>
      <c r="P210">
        <f t="shared" si="19"/>
        <v>2025</v>
      </c>
      <c r="Q210">
        <f t="shared" si="20"/>
        <v>10</v>
      </c>
      <c r="R210" t="str">
        <f t="shared" si="21"/>
        <v>October</v>
      </c>
      <c r="S210" t="str">
        <f t="shared" si="22"/>
        <v>No Discount</v>
      </c>
      <c r="T210" s="1">
        <f t="shared" si="23"/>
        <v>0.29693048020266011</v>
      </c>
      <c r="U210">
        <f>SUM($I$2:I210)</f>
        <v>722628.0299999998</v>
      </c>
      <c r="V210" s="1">
        <f>Table1[[#This Row],[Running total ]]/SUM(I:I)</f>
        <v>0.20852327255399455</v>
      </c>
    </row>
    <row r="211" spans="1:22" x14ac:dyDescent="0.3">
      <c r="A211" t="s">
        <v>614</v>
      </c>
      <c r="B211" t="s">
        <v>615</v>
      </c>
      <c r="C211" t="s">
        <v>128</v>
      </c>
      <c r="D211" t="s">
        <v>137</v>
      </c>
      <c r="E211" t="s">
        <v>242</v>
      </c>
      <c r="F211" t="s">
        <v>67</v>
      </c>
      <c r="G211" t="s">
        <v>85</v>
      </c>
      <c r="H211" t="s">
        <v>86</v>
      </c>
      <c r="I211">
        <v>3757.5</v>
      </c>
      <c r="J211">
        <v>9</v>
      </c>
      <c r="K211" s="1">
        <v>0.15</v>
      </c>
      <c r="L211">
        <v>509.53</v>
      </c>
      <c r="M211" t="s">
        <v>87</v>
      </c>
      <c r="N211" t="s">
        <v>76</v>
      </c>
      <c r="O211" t="str">
        <f t="shared" si="18"/>
        <v>02/07/2024</v>
      </c>
      <c r="P211">
        <f t="shared" si="19"/>
        <v>2024</v>
      </c>
      <c r="Q211">
        <f t="shared" si="20"/>
        <v>7</v>
      </c>
      <c r="R211" t="str">
        <f t="shared" si="21"/>
        <v>July</v>
      </c>
      <c r="S211" t="str">
        <f t="shared" si="22"/>
        <v>Low</v>
      </c>
      <c r="T211" s="1">
        <f t="shared" si="23"/>
        <v>0.13560345974717231</v>
      </c>
      <c r="U211">
        <f>SUM($I$2:I211)</f>
        <v>726385.5299999998</v>
      </c>
      <c r="V211" s="1">
        <f>Table1[[#This Row],[Running total ]]/SUM(I:I)</f>
        <v>0.20960754574032756</v>
      </c>
    </row>
    <row r="212" spans="1:22" x14ac:dyDescent="0.3">
      <c r="A212" t="s">
        <v>616</v>
      </c>
      <c r="B212" t="s">
        <v>617</v>
      </c>
      <c r="C212" t="s">
        <v>618</v>
      </c>
      <c r="D212" t="s">
        <v>137</v>
      </c>
      <c r="E212" t="s">
        <v>242</v>
      </c>
      <c r="F212" t="s">
        <v>67</v>
      </c>
      <c r="G212" t="s">
        <v>85</v>
      </c>
      <c r="H212" t="s">
        <v>125</v>
      </c>
      <c r="I212">
        <v>2536.1999999999998</v>
      </c>
      <c r="J212">
        <v>10</v>
      </c>
      <c r="K212" s="1">
        <v>0</v>
      </c>
      <c r="L212">
        <v>872.82</v>
      </c>
      <c r="M212" t="s">
        <v>117</v>
      </c>
      <c r="N212" t="s">
        <v>23</v>
      </c>
      <c r="O212" t="str">
        <f t="shared" si="18"/>
        <v>28/02/2025</v>
      </c>
      <c r="P212">
        <f t="shared" si="19"/>
        <v>2025</v>
      </c>
      <c r="Q212">
        <f t="shared" si="20"/>
        <v>2</v>
      </c>
      <c r="R212" t="str">
        <f t="shared" si="21"/>
        <v>February</v>
      </c>
      <c r="S212" t="str">
        <f t="shared" si="22"/>
        <v>No Discount</v>
      </c>
      <c r="T212" s="1">
        <f t="shared" si="23"/>
        <v>0.34414478353442163</v>
      </c>
      <c r="U212">
        <f>SUM($I$2:I212)</f>
        <v>728921.72999999975</v>
      </c>
      <c r="V212" s="1">
        <f>Table1[[#This Row],[Running total ]]/SUM(I:I)</f>
        <v>0.21033939767783327</v>
      </c>
    </row>
    <row r="213" spans="1:22" x14ac:dyDescent="0.3">
      <c r="A213" t="s">
        <v>619</v>
      </c>
      <c r="B213" t="s">
        <v>620</v>
      </c>
      <c r="C213" t="s">
        <v>319</v>
      </c>
      <c r="D213" t="s">
        <v>137</v>
      </c>
      <c r="E213" t="s">
        <v>242</v>
      </c>
      <c r="F213" t="s">
        <v>19</v>
      </c>
      <c r="G213" t="s">
        <v>36</v>
      </c>
      <c r="H213" t="s">
        <v>111</v>
      </c>
      <c r="I213">
        <v>368.8</v>
      </c>
      <c r="J213">
        <v>2</v>
      </c>
      <c r="K213" s="1">
        <v>0</v>
      </c>
      <c r="L213">
        <v>85.12</v>
      </c>
      <c r="M213" t="s">
        <v>107</v>
      </c>
      <c r="N213" t="s">
        <v>39</v>
      </c>
      <c r="O213" t="str">
        <f t="shared" si="18"/>
        <v>08/02/2024</v>
      </c>
      <c r="P213">
        <f t="shared" si="19"/>
        <v>2024</v>
      </c>
      <c r="Q213">
        <f t="shared" si="20"/>
        <v>2</v>
      </c>
      <c r="R213" t="str">
        <f t="shared" si="21"/>
        <v>February</v>
      </c>
      <c r="S213" t="str">
        <f t="shared" si="22"/>
        <v>No Discount</v>
      </c>
      <c r="T213" s="1">
        <f t="shared" si="23"/>
        <v>0.23080260303687636</v>
      </c>
      <c r="U213">
        <f>SUM($I$2:I213)</f>
        <v>729290.5299999998</v>
      </c>
      <c r="V213" s="1">
        <f>Table1[[#This Row],[Running total ]]/SUM(I:I)</f>
        <v>0.21044581948784516</v>
      </c>
    </row>
    <row r="214" spans="1:22" x14ac:dyDescent="0.3">
      <c r="A214" t="s">
        <v>621</v>
      </c>
      <c r="B214" t="s">
        <v>622</v>
      </c>
      <c r="C214" t="s">
        <v>189</v>
      </c>
      <c r="D214" t="s">
        <v>137</v>
      </c>
      <c r="E214" t="s">
        <v>160</v>
      </c>
      <c r="F214" t="s">
        <v>19</v>
      </c>
      <c r="G214" t="s">
        <v>36</v>
      </c>
      <c r="H214" t="s">
        <v>37</v>
      </c>
      <c r="I214">
        <v>412.71</v>
      </c>
      <c r="J214">
        <v>3</v>
      </c>
      <c r="K214" s="1">
        <v>0.15</v>
      </c>
      <c r="L214">
        <v>-8.39</v>
      </c>
      <c r="M214" t="s">
        <v>143</v>
      </c>
      <c r="N214" t="s">
        <v>39</v>
      </c>
      <c r="O214" t="str">
        <f t="shared" si="18"/>
        <v>02/08/2025</v>
      </c>
      <c r="P214">
        <f t="shared" si="19"/>
        <v>2025</v>
      </c>
      <c r="Q214">
        <f t="shared" si="20"/>
        <v>8</v>
      </c>
      <c r="R214" t="str">
        <f t="shared" si="21"/>
        <v>August</v>
      </c>
      <c r="S214" t="str">
        <f t="shared" si="22"/>
        <v>Low</v>
      </c>
      <c r="T214" s="1">
        <f t="shared" si="23"/>
        <v>-2.0329044607593712E-2</v>
      </c>
      <c r="U214">
        <f>SUM($I$2:I214)</f>
        <v>729703.23999999976</v>
      </c>
      <c r="V214" s="1">
        <f>Table1[[#This Row],[Running total ]]/SUM(I:I)</f>
        <v>0.21056491207247097</v>
      </c>
    </row>
    <row r="215" spans="1:22" x14ac:dyDescent="0.3">
      <c r="A215" t="s">
        <v>623</v>
      </c>
      <c r="B215" t="s">
        <v>624</v>
      </c>
      <c r="C215" t="s">
        <v>625</v>
      </c>
      <c r="D215" t="s">
        <v>27</v>
      </c>
      <c r="E215" t="s">
        <v>124</v>
      </c>
      <c r="F215" t="s">
        <v>55</v>
      </c>
      <c r="G215" t="s">
        <v>98</v>
      </c>
      <c r="H215" t="s">
        <v>154</v>
      </c>
      <c r="I215">
        <v>307.75</v>
      </c>
      <c r="J215">
        <v>5</v>
      </c>
      <c r="K215" s="1">
        <v>0.05</v>
      </c>
      <c r="L215">
        <v>95.63</v>
      </c>
      <c r="M215" t="s">
        <v>31</v>
      </c>
      <c r="N215" t="s">
        <v>39</v>
      </c>
      <c r="O215" t="str">
        <f t="shared" si="18"/>
        <v>30/08/2024</v>
      </c>
      <c r="P215">
        <f t="shared" si="19"/>
        <v>2024</v>
      </c>
      <c r="Q215">
        <f t="shared" si="20"/>
        <v>8</v>
      </c>
      <c r="R215" t="str">
        <f t="shared" si="21"/>
        <v>August</v>
      </c>
      <c r="S215" t="str">
        <f t="shared" si="22"/>
        <v>High</v>
      </c>
      <c r="T215" s="1">
        <f t="shared" si="23"/>
        <v>0.31073923639317624</v>
      </c>
      <c r="U215">
        <f>SUM($I$2:I215)</f>
        <v>730010.98999999976</v>
      </c>
      <c r="V215" s="1">
        <f>Table1[[#This Row],[Running total ]]/SUM(I:I)</f>
        <v>0.21065371714847733</v>
      </c>
    </row>
    <row r="216" spans="1:22" x14ac:dyDescent="0.3">
      <c r="A216" t="s">
        <v>626</v>
      </c>
      <c r="B216" t="s">
        <v>627</v>
      </c>
      <c r="C216" t="s">
        <v>218</v>
      </c>
      <c r="D216" t="s">
        <v>17</v>
      </c>
      <c r="E216" t="s">
        <v>54</v>
      </c>
      <c r="F216" t="s">
        <v>19</v>
      </c>
      <c r="G216" t="s">
        <v>20</v>
      </c>
      <c r="H216" t="s">
        <v>347</v>
      </c>
      <c r="I216">
        <v>1233.05</v>
      </c>
      <c r="J216">
        <v>5</v>
      </c>
      <c r="K216" s="1">
        <v>0.15</v>
      </c>
      <c r="L216">
        <v>352.36</v>
      </c>
      <c r="M216" t="s">
        <v>195</v>
      </c>
      <c r="N216" t="s">
        <v>23</v>
      </c>
      <c r="O216" t="str">
        <f t="shared" si="18"/>
        <v>27/06/2025</v>
      </c>
      <c r="P216">
        <f t="shared" si="19"/>
        <v>2025</v>
      </c>
      <c r="Q216">
        <f t="shared" si="20"/>
        <v>6</v>
      </c>
      <c r="R216" t="str">
        <f t="shared" si="21"/>
        <v>June</v>
      </c>
      <c r="S216" t="str">
        <f t="shared" si="22"/>
        <v>Low</v>
      </c>
      <c r="T216" s="1">
        <f t="shared" si="23"/>
        <v>0.28576294554154336</v>
      </c>
      <c r="U216">
        <f>SUM($I$2:I216)</f>
        <v>731244.0399999998</v>
      </c>
      <c r="V216" s="1">
        <f>Table1[[#This Row],[Running total ]]/SUM(I:I)</f>
        <v>0.21100952900540559</v>
      </c>
    </row>
    <row r="217" spans="1:22" x14ac:dyDescent="0.3">
      <c r="A217" t="s">
        <v>628</v>
      </c>
      <c r="B217" t="s">
        <v>629</v>
      </c>
      <c r="C217" t="s">
        <v>630</v>
      </c>
      <c r="D217" t="s">
        <v>137</v>
      </c>
      <c r="E217" t="s">
        <v>242</v>
      </c>
      <c r="F217" t="s">
        <v>19</v>
      </c>
      <c r="G217" t="s">
        <v>36</v>
      </c>
      <c r="H217" t="s">
        <v>111</v>
      </c>
      <c r="I217">
        <v>2447.1999999999998</v>
      </c>
      <c r="J217">
        <v>7</v>
      </c>
      <c r="K217" s="1">
        <v>0.25</v>
      </c>
      <c r="L217">
        <v>-178.09</v>
      </c>
      <c r="M217" t="s">
        <v>44</v>
      </c>
      <c r="N217" t="s">
        <v>32</v>
      </c>
      <c r="O217" t="str">
        <f t="shared" si="18"/>
        <v>03/09/2024</v>
      </c>
      <c r="P217">
        <f t="shared" si="19"/>
        <v>2024</v>
      </c>
      <c r="Q217">
        <f t="shared" si="20"/>
        <v>9</v>
      </c>
      <c r="R217" t="str">
        <f t="shared" si="21"/>
        <v>September</v>
      </c>
      <c r="S217" t="str">
        <f t="shared" si="22"/>
        <v>Low</v>
      </c>
      <c r="T217" s="1">
        <f t="shared" si="23"/>
        <v>-7.2772965021248776E-2</v>
      </c>
      <c r="U217">
        <f>SUM($I$2:I217)</f>
        <v>733691.23999999976</v>
      </c>
      <c r="V217" s="1">
        <f>Table1[[#This Row],[Running total ]]/SUM(I:I)</f>
        <v>0.21171569889006137</v>
      </c>
    </row>
    <row r="218" spans="1:22" x14ac:dyDescent="0.3">
      <c r="A218" t="s">
        <v>631</v>
      </c>
      <c r="B218" t="s">
        <v>632</v>
      </c>
      <c r="C218" t="s">
        <v>370</v>
      </c>
      <c r="D218" t="s">
        <v>48</v>
      </c>
      <c r="E218" t="s">
        <v>73</v>
      </c>
      <c r="F218" t="s">
        <v>67</v>
      </c>
      <c r="G218" t="s">
        <v>85</v>
      </c>
      <c r="H218" t="s">
        <v>125</v>
      </c>
      <c r="I218">
        <v>1800.32</v>
      </c>
      <c r="J218">
        <v>8</v>
      </c>
      <c r="K218" s="1">
        <v>0.25</v>
      </c>
      <c r="L218">
        <v>48.55</v>
      </c>
      <c r="M218" t="s">
        <v>22</v>
      </c>
      <c r="N218" t="s">
        <v>39</v>
      </c>
      <c r="O218" t="str">
        <f t="shared" si="18"/>
        <v>08/04/2025</v>
      </c>
      <c r="P218">
        <f t="shared" si="19"/>
        <v>2025</v>
      </c>
      <c r="Q218">
        <f t="shared" si="20"/>
        <v>4</v>
      </c>
      <c r="R218" t="str">
        <f t="shared" si="21"/>
        <v>April</v>
      </c>
      <c r="S218" t="str">
        <f t="shared" si="22"/>
        <v>Low</v>
      </c>
      <c r="T218" s="1">
        <f t="shared" si="23"/>
        <v>2.6967428012797723E-2</v>
      </c>
      <c r="U218">
        <f>SUM($I$2:I218)</f>
        <v>735491.55999999971</v>
      </c>
      <c r="V218" s="1">
        <f>Table1[[#This Row],[Running total ]]/SUM(I:I)</f>
        <v>0.21223520353485684</v>
      </c>
    </row>
    <row r="219" spans="1:22" x14ac:dyDescent="0.3">
      <c r="A219" t="s">
        <v>633</v>
      </c>
      <c r="B219" t="s">
        <v>634</v>
      </c>
      <c r="C219" t="s">
        <v>566</v>
      </c>
      <c r="D219" t="s">
        <v>48</v>
      </c>
      <c r="E219" t="s">
        <v>73</v>
      </c>
      <c r="F219" t="s">
        <v>67</v>
      </c>
      <c r="G219" t="s">
        <v>68</v>
      </c>
      <c r="H219" t="s">
        <v>382</v>
      </c>
      <c r="I219">
        <v>4080.8</v>
      </c>
      <c r="J219">
        <v>10</v>
      </c>
      <c r="K219" s="1">
        <v>0.3</v>
      </c>
      <c r="L219">
        <v>-362.53</v>
      </c>
      <c r="M219" t="s">
        <v>44</v>
      </c>
      <c r="N219" t="s">
        <v>23</v>
      </c>
      <c r="O219" t="str">
        <f t="shared" si="18"/>
        <v>07/11/2024</v>
      </c>
      <c r="P219">
        <f t="shared" si="19"/>
        <v>2024</v>
      </c>
      <c r="Q219">
        <f t="shared" si="20"/>
        <v>11</v>
      </c>
      <c r="R219" t="str">
        <f t="shared" si="21"/>
        <v>November</v>
      </c>
      <c r="S219" t="str">
        <f t="shared" si="22"/>
        <v>Low</v>
      </c>
      <c r="T219" s="1">
        <f t="shared" si="23"/>
        <v>-8.8837972946481075E-2</v>
      </c>
      <c r="U219">
        <f>SUM($I$2:I219)</f>
        <v>739572.35999999975</v>
      </c>
      <c r="V219" s="1">
        <f>Table1[[#This Row],[Running total ]]/SUM(I:I)</f>
        <v>0.21341276894238517</v>
      </c>
    </row>
    <row r="220" spans="1:22" x14ac:dyDescent="0.3">
      <c r="A220" t="s">
        <v>635</v>
      </c>
      <c r="B220" t="s">
        <v>636</v>
      </c>
      <c r="C220" t="s">
        <v>637</v>
      </c>
      <c r="D220" t="s">
        <v>17</v>
      </c>
      <c r="E220" t="s">
        <v>80</v>
      </c>
      <c r="F220" t="s">
        <v>67</v>
      </c>
      <c r="G220" t="s">
        <v>85</v>
      </c>
      <c r="H220" t="s">
        <v>125</v>
      </c>
      <c r="I220">
        <v>6652.98</v>
      </c>
      <c r="J220">
        <v>9</v>
      </c>
      <c r="K220" s="1">
        <v>0</v>
      </c>
      <c r="L220">
        <v>555.32000000000005</v>
      </c>
      <c r="M220" t="s">
        <v>22</v>
      </c>
      <c r="N220" t="s">
        <v>32</v>
      </c>
      <c r="O220" t="str">
        <f t="shared" si="18"/>
        <v>13/01/2025</v>
      </c>
      <c r="P220">
        <f t="shared" si="19"/>
        <v>2025</v>
      </c>
      <c r="Q220">
        <f t="shared" si="20"/>
        <v>1</v>
      </c>
      <c r="R220" t="str">
        <f t="shared" si="21"/>
        <v>January</v>
      </c>
      <c r="S220" t="str">
        <f t="shared" si="22"/>
        <v>No Discount</v>
      </c>
      <c r="T220" s="1">
        <f t="shared" si="23"/>
        <v>8.3469362601420724E-2</v>
      </c>
      <c r="U220">
        <f>SUM($I$2:I220)</f>
        <v>746225.33999999973</v>
      </c>
      <c r="V220" s="1">
        <f>Table1[[#This Row],[Running total ]]/SUM(I:I)</f>
        <v>0.21533256876226797</v>
      </c>
    </row>
    <row r="221" spans="1:22" x14ac:dyDescent="0.3">
      <c r="A221" t="s">
        <v>638</v>
      </c>
      <c r="B221" t="s">
        <v>639</v>
      </c>
      <c r="C221" t="s">
        <v>640</v>
      </c>
      <c r="D221" t="s">
        <v>48</v>
      </c>
      <c r="E221" t="s">
        <v>49</v>
      </c>
      <c r="F221" t="s">
        <v>67</v>
      </c>
      <c r="G221" t="s">
        <v>85</v>
      </c>
      <c r="H221" t="s">
        <v>125</v>
      </c>
      <c r="I221">
        <v>3054.48</v>
      </c>
      <c r="J221">
        <v>4</v>
      </c>
      <c r="K221" s="1">
        <v>0</v>
      </c>
      <c r="L221">
        <v>656.2</v>
      </c>
      <c r="M221" t="s">
        <v>117</v>
      </c>
      <c r="N221" t="s">
        <v>39</v>
      </c>
      <c r="O221" t="str">
        <f t="shared" si="18"/>
        <v>21/11/2025</v>
      </c>
      <c r="P221">
        <f t="shared" si="19"/>
        <v>2025</v>
      </c>
      <c r="Q221">
        <f t="shared" si="20"/>
        <v>11</v>
      </c>
      <c r="R221" t="str">
        <f t="shared" si="21"/>
        <v>November</v>
      </c>
      <c r="S221" t="str">
        <f t="shared" si="22"/>
        <v>No Discount</v>
      </c>
      <c r="T221" s="1">
        <f t="shared" si="23"/>
        <v>0.21483198449490587</v>
      </c>
      <c r="U221">
        <f>SUM($I$2:I221)</f>
        <v>749279.81999999972</v>
      </c>
      <c r="V221" s="1">
        <f>Table1[[#This Row],[Running total ]]/SUM(I:I)</f>
        <v>0.21621397681607779</v>
      </c>
    </row>
    <row r="222" spans="1:22" x14ac:dyDescent="0.3">
      <c r="A222" t="s">
        <v>641</v>
      </c>
      <c r="B222" t="s">
        <v>642</v>
      </c>
      <c r="C222" t="s">
        <v>83</v>
      </c>
      <c r="D222" t="s">
        <v>17</v>
      </c>
      <c r="E222" t="s">
        <v>80</v>
      </c>
      <c r="F222" t="s">
        <v>67</v>
      </c>
      <c r="G222" t="s">
        <v>85</v>
      </c>
      <c r="H222" t="s">
        <v>125</v>
      </c>
      <c r="I222">
        <v>6696.54</v>
      </c>
      <c r="J222">
        <v>6</v>
      </c>
      <c r="K222" s="1">
        <v>0</v>
      </c>
      <c r="L222">
        <v>1890.59</v>
      </c>
      <c r="M222" t="s">
        <v>107</v>
      </c>
      <c r="N222" t="s">
        <v>39</v>
      </c>
      <c r="O222" t="str">
        <f t="shared" si="18"/>
        <v>19/11/2025</v>
      </c>
      <c r="P222">
        <f t="shared" si="19"/>
        <v>2025</v>
      </c>
      <c r="Q222">
        <f t="shared" si="20"/>
        <v>11</v>
      </c>
      <c r="R222" t="str">
        <f t="shared" si="21"/>
        <v>November</v>
      </c>
      <c r="S222" t="str">
        <f t="shared" si="22"/>
        <v>No Discount</v>
      </c>
      <c r="T222" s="1">
        <f t="shared" si="23"/>
        <v>0.28232340880514412</v>
      </c>
      <c r="U222">
        <f>SUM($I$2:I222)</f>
        <v>755976.35999999975</v>
      </c>
      <c r="V222" s="1">
        <f>Table1[[#This Row],[Running total ]]/SUM(I:I)</f>
        <v>0.21814634641373751</v>
      </c>
    </row>
    <row r="223" spans="1:22" x14ac:dyDescent="0.3">
      <c r="A223" t="s">
        <v>643</v>
      </c>
      <c r="B223" t="s">
        <v>644</v>
      </c>
      <c r="C223" t="s">
        <v>504</v>
      </c>
      <c r="D223" t="s">
        <v>137</v>
      </c>
      <c r="E223" t="s">
        <v>142</v>
      </c>
      <c r="F223" t="s">
        <v>67</v>
      </c>
      <c r="G223" t="s">
        <v>85</v>
      </c>
      <c r="H223" t="s">
        <v>125</v>
      </c>
      <c r="I223">
        <v>3232.7</v>
      </c>
      <c r="J223">
        <v>10</v>
      </c>
      <c r="K223" s="1">
        <v>0.3</v>
      </c>
      <c r="L223">
        <v>100.75</v>
      </c>
      <c r="M223" t="s">
        <v>87</v>
      </c>
      <c r="N223" t="s">
        <v>23</v>
      </c>
      <c r="O223" t="str">
        <f t="shared" si="18"/>
        <v>03/10/2025</v>
      </c>
      <c r="P223">
        <f t="shared" si="19"/>
        <v>2025</v>
      </c>
      <c r="Q223">
        <f t="shared" si="20"/>
        <v>10</v>
      </c>
      <c r="R223" t="str">
        <f t="shared" si="21"/>
        <v>October</v>
      </c>
      <c r="S223" t="str">
        <f t="shared" si="22"/>
        <v>Low</v>
      </c>
      <c r="T223" s="1">
        <f t="shared" si="23"/>
        <v>3.1165898474959014E-2</v>
      </c>
      <c r="U223">
        <f>SUM($I$2:I223)</f>
        <v>759209.05999999971</v>
      </c>
      <c r="V223" s="1">
        <f>Table1[[#This Row],[Running total ]]/SUM(I:I)</f>
        <v>0.21907918205697335</v>
      </c>
    </row>
    <row r="224" spans="1:22" x14ac:dyDescent="0.3">
      <c r="A224" t="s">
        <v>645</v>
      </c>
      <c r="B224" t="s">
        <v>558</v>
      </c>
      <c r="C224" t="s">
        <v>646</v>
      </c>
      <c r="D224" t="s">
        <v>137</v>
      </c>
      <c r="E224" t="s">
        <v>242</v>
      </c>
      <c r="F224" t="s">
        <v>67</v>
      </c>
      <c r="G224" t="s">
        <v>85</v>
      </c>
      <c r="H224" t="s">
        <v>253</v>
      </c>
      <c r="I224">
        <v>4505.96</v>
      </c>
      <c r="J224">
        <v>4</v>
      </c>
      <c r="K224" s="1">
        <v>0.05</v>
      </c>
      <c r="L224">
        <v>826.72</v>
      </c>
      <c r="M224" t="s">
        <v>107</v>
      </c>
      <c r="N224" t="s">
        <v>76</v>
      </c>
      <c r="O224" t="str">
        <f t="shared" si="18"/>
        <v>21/03/2025</v>
      </c>
      <c r="P224">
        <f t="shared" si="19"/>
        <v>2025</v>
      </c>
      <c r="Q224">
        <f t="shared" si="20"/>
        <v>3</v>
      </c>
      <c r="R224" t="str">
        <f t="shared" si="21"/>
        <v>March</v>
      </c>
      <c r="S224" t="str">
        <f t="shared" si="22"/>
        <v>High</v>
      </c>
      <c r="T224" s="1">
        <f t="shared" si="23"/>
        <v>0.18347255634759296</v>
      </c>
      <c r="U224">
        <f>SUM($I$2:I224)</f>
        <v>763715.01999999967</v>
      </c>
      <c r="V224" s="1">
        <f>Table1[[#This Row],[Running total ]]/SUM(I:I)</f>
        <v>0.22037943265090254</v>
      </c>
    </row>
    <row r="225" spans="1:22" x14ac:dyDescent="0.3">
      <c r="A225" t="s">
        <v>647</v>
      </c>
      <c r="B225" t="s">
        <v>475</v>
      </c>
      <c r="C225" t="s">
        <v>491</v>
      </c>
      <c r="D225" t="s">
        <v>48</v>
      </c>
      <c r="E225" t="s">
        <v>49</v>
      </c>
      <c r="F225" t="s">
        <v>19</v>
      </c>
      <c r="G225" t="s">
        <v>29</v>
      </c>
      <c r="H225" t="s">
        <v>50</v>
      </c>
      <c r="I225">
        <v>3291.15</v>
      </c>
      <c r="J225">
        <v>5</v>
      </c>
      <c r="K225" s="1">
        <v>0.25</v>
      </c>
      <c r="L225">
        <v>113.67</v>
      </c>
      <c r="M225" t="s">
        <v>63</v>
      </c>
      <c r="N225" t="s">
        <v>76</v>
      </c>
      <c r="O225" t="str">
        <f t="shared" si="18"/>
        <v>07/02/2024</v>
      </c>
      <c r="P225">
        <f t="shared" si="19"/>
        <v>2024</v>
      </c>
      <c r="Q225">
        <f t="shared" si="20"/>
        <v>2</v>
      </c>
      <c r="R225" t="str">
        <f t="shared" si="21"/>
        <v>February</v>
      </c>
      <c r="S225" t="str">
        <f t="shared" si="22"/>
        <v>Low</v>
      </c>
      <c r="T225" s="1">
        <f t="shared" si="23"/>
        <v>3.4538079394740441E-2</v>
      </c>
      <c r="U225">
        <f>SUM($I$2:I225)</f>
        <v>767006.16999999969</v>
      </c>
      <c r="V225" s="1">
        <f>Table1[[#This Row],[Running total ]]/SUM(I:I)</f>
        <v>0.22132913476592581</v>
      </c>
    </row>
    <row r="226" spans="1:22" x14ac:dyDescent="0.3">
      <c r="A226" t="s">
        <v>648</v>
      </c>
      <c r="B226" t="s">
        <v>649</v>
      </c>
      <c r="C226" t="s">
        <v>442</v>
      </c>
      <c r="D226" t="s">
        <v>17</v>
      </c>
      <c r="E226" t="s">
        <v>18</v>
      </c>
      <c r="F226" t="s">
        <v>55</v>
      </c>
      <c r="G226" t="s">
        <v>74</v>
      </c>
      <c r="H226" t="s">
        <v>133</v>
      </c>
      <c r="I226">
        <v>1311.12</v>
      </c>
      <c r="J226">
        <v>8</v>
      </c>
      <c r="K226" s="1">
        <v>0</v>
      </c>
      <c r="L226">
        <v>200.65</v>
      </c>
      <c r="M226" t="s">
        <v>22</v>
      </c>
      <c r="N226" t="s">
        <v>39</v>
      </c>
      <c r="O226" t="str">
        <f t="shared" si="18"/>
        <v>19/06/2025</v>
      </c>
      <c r="P226">
        <f t="shared" si="19"/>
        <v>2025</v>
      </c>
      <c r="Q226">
        <f t="shared" si="20"/>
        <v>6</v>
      </c>
      <c r="R226" t="str">
        <f t="shared" si="21"/>
        <v>June</v>
      </c>
      <c r="S226" t="str">
        <f t="shared" si="22"/>
        <v>No Discount</v>
      </c>
      <c r="T226" s="1">
        <f t="shared" si="23"/>
        <v>0.15303709805357255</v>
      </c>
      <c r="U226">
        <f>SUM($I$2:I226)</f>
        <v>768317.28999999969</v>
      </c>
      <c r="V226" s="1">
        <f>Table1[[#This Row],[Running total ]]/SUM(I:I)</f>
        <v>0.22170747468876409</v>
      </c>
    </row>
    <row r="227" spans="1:22" x14ac:dyDescent="0.3">
      <c r="A227" t="s">
        <v>650</v>
      </c>
      <c r="B227" t="s">
        <v>651</v>
      </c>
      <c r="C227" t="s">
        <v>652</v>
      </c>
      <c r="D227" t="s">
        <v>17</v>
      </c>
      <c r="E227" t="s">
        <v>18</v>
      </c>
      <c r="F227" t="s">
        <v>19</v>
      </c>
      <c r="G227" t="s">
        <v>20</v>
      </c>
      <c r="H227" t="s">
        <v>347</v>
      </c>
      <c r="I227">
        <v>9410.85</v>
      </c>
      <c r="J227">
        <v>9</v>
      </c>
      <c r="K227" s="1">
        <v>0.25</v>
      </c>
      <c r="L227">
        <v>-505.42</v>
      </c>
      <c r="M227" t="s">
        <v>22</v>
      </c>
      <c r="N227" t="s">
        <v>76</v>
      </c>
      <c r="O227" t="str">
        <f t="shared" si="18"/>
        <v>26/09/2024</v>
      </c>
      <c r="P227">
        <f t="shared" si="19"/>
        <v>2024</v>
      </c>
      <c r="Q227">
        <f t="shared" si="20"/>
        <v>9</v>
      </c>
      <c r="R227" t="str">
        <f t="shared" si="21"/>
        <v>September</v>
      </c>
      <c r="S227" t="str">
        <f t="shared" si="22"/>
        <v>Low</v>
      </c>
      <c r="T227" s="1">
        <f t="shared" si="23"/>
        <v>-5.3706094561065156E-2</v>
      </c>
      <c r="U227">
        <f>SUM($I$2:I227)</f>
        <v>777728.13999999966</v>
      </c>
      <c r="V227" s="1">
        <f>Table1[[#This Row],[Running total ]]/SUM(I:I)</f>
        <v>0.22442309207149247</v>
      </c>
    </row>
    <row r="228" spans="1:22" x14ac:dyDescent="0.3">
      <c r="A228" t="s">
        <v>653</v>
      </c>
      <c r="B228" t="s">
        <v>654</v>
      </c>
      <c r="C228" t="s">
        <v>66</v>
      </c>
      <c r="D228" t="s">
        <v>48</v>
      </c>
      <c r="E228" t="s">
        <v>84</v>
      </c>
      <c r="F228" t="s">
        <v>67</v>
      </c>
      <c r="G228" t="s">
        <v>115</v>
      </c>
      <c r="H228" t="s">
        <v>212</v>
      </c>
      <c r="I228">
        <v>899.01</v>
      </c>
      <c r="J228">
        <v>9</v>
      </c>
      <c r="K228" s="1">
        <v>0</v>
      </c>
      <c r="L228">
        <v>201.68</v>
      </c>
      <c r="M228" t="s">
        <v>63</v>
      </c>
      <c r="N228" t="s">
        <v>32</v>
      </c>
      <c r="O228" t="str">
        <f t="shared" si="18"/>
        <v>19/09/2025</v>
      </c>
      <c r="P228">
        <f t="shared" si="19"/>
        <v>2025</v>
      </c>
      <c r="Q228">
        <f t="shared" si="20"/>
        <v>9</v>
      </c>
      <c r="R228" t="str">
        <f t="shared" si="21"/>
        <v>September</v>
      </c>
      <c r="S228" t="str">
        <f t="shared" si="22"/>
        <v>No Discount</v>
      </c>
      <c r="T228" s="1">
        <f t="shared" si="23"/>
        <v>0.224335658112813</v>
      </c>
      <c r="U228">
        <f>SUM($I$2:I228)</f>
        <v>778627.14999999967</v>
      </c>
      <c r="V228" s="1">
        <f>Table1[[#This Row],[Running total ]]/SUM(I:I)</f>
        <v>0.22468251254713989</v>
      </c>
    </row>
    <row r="229" spans="1:22" x14ac:dyDescent="0.3">
      <c r="A229" t="s">
        <v>655</v>
      </c>
      <c r="B229" t="s">
        <v>656</v>
      </c>
      <c r="C229" t="s">
        <v>172</v>
      </c>
      <c r="D229" t="s">
        <v>137</v>
      </c>
      <c r="E229" t="s">
        <v>138</v>
      </c>
      <c r="F229" t="s">
        <v>19</v>
      </c>
      <c r="G229" t="s">
        <v>20</v>
      </c>
      <c r="H229" t="s">
        <v>21</v>
      </c>
      <c r="I229">
        <v>2519.04</v>
      </c>
      <c r="J229">
        <v>6</v>
      </c>
      <c r="K229" s="1">
        <v>0</v>
      </c>
      <c r="L229">
        <v>427.19</v>
      </c>
      <c r="M229" t="s">
        <v>22</v>
      </c>
      <c r="N229" t="s">
        <v>76</v>
      </c>
      <c r="O229" t="str">
        <f t="shared" si="18"/>
        <v>02/02/2025</v>
      </c>
      <c r="P229">
        <f t="shared" si="19"/>
        <v>2025</v>
      </c>
      <c r="Q229">
        <f t="shared" si="20"/>
        <v>2</v>
      </c>
      <c r="R229" t="str">
        <f t="shared" si="21"/>
        <v>February</v>
      </c>
      <c r="S229" t="str">
        <f t="shared" si="22"/>
        <v>No Discount</v>
      </c>
      <c r="T229" s="1">
        <f t="shared" si="23"/>
        <v>0.16958444486788618</v>
      </c>
      <c r="U229">
        <f>SUM($I$2:I229)</f>
        <v>781146.18999999971</v>
      </c>
      <c r="V229" s="1">
        <f>Table1[[#This Row],[Running total ]]/SUM(I:I)</f>
        <v>0.22540941275400625</v>
      </c>
    </row>
    <row r="230" spans="1:22" x14ac:dyDescent="0.3">
      <c r="A230" t="s">
        <v>657</v>
      </c>
      <c r="B230" t="s">
        <v>658</v>
      </c>
      <c r="C230" t="s">
        <v>215</v>
      </c>
      <c r="D230" t="s">
        <v>48</v>
      </c>
      <c r="E230" t="s">
        <v>110</v>
      </c>
      <c r="F230" t="s">
        <v>67</v>
      </c>
      <c r="G230" t="s">
        <v>68</v>
      </c>
      <c r="H230" t="s">
        <v>69</v>
      </c>
      <c r="I230">
        <v>630.9</v>
      </c>
      <c r="J230">
        <v>5</v>
      </c>
      <c r="K230" s="1">
        <v>0.1</v>
      </c>
      <c r="L230">
        <v>213.13</v>
      </c>
      <c r="M230" t="s">
        <v>22</v>
      </c>
      <c r="N230" t="s">
        <v>39</v>
      </c>
      <c r="O230" t="str">
        <f t="shared" si="18"/>
        <v>17/08/2024</v>
      </c>
      <c r="P230">
        <f t="shared" si="19"/>
        <v>2024</v>
      </c>
      <c r="Q230">
        <f t="shared" si="20"/>
        <v>8</v>
      </c>
      <c r="R230" t="str">
        <f t="shared" si="21"/>
        <v>August</v>
      </c>
      <c r="S230" t="str">
        <f t="shared" si="22"/>
        <v>Low</v>
      </c>
      <c r="T230" s="1">
        <f t="shared" si="23"/>
        <v>0.33781898874623556</v>
      </c>
      <c r="U230">
        <f>SUM($I$2:I230)</f>
        <v>781777.08999999973</v>
      </c>
      <c r="V230" s="1">
        <f>Table1[[#This Row],[Running total ]]/SUM(I:I)</f>
        <v>0.22559146676684924</v>
      </c>
    </row>
    <row r="231" spans="1:22" x14ac:dyDescent="0.3">
      <c r="A231" t="s">
        <v>659</v>
      </c>
      <c r="B231" t="s">
        <v>660</v>
      </c>
      <c r="C231" t="s">
        <v>661</v>
      </c>
      <c r="D231" t="s">
        <v>17</v>
      </c>
      <c r="E231" t="s">
        <v>18</v>
      </c>
      <c r="F231" t="s">
        <v>19</v>
      </c>
      <c r="G231" t="s">
        <v>29</v>
      </c>
      <c r="H231" t="s">
        <v>30</v>
      </c>
      <c r="I231">
        <v>4326.28</v>
      </c>
      <c r="J231">
        <v>4</v>
      </c>
      <c r="K231" s="1">
        <v>0.3</v>
      </c>
      <c r="L231">
        <v>180.72</v>
      </c>
      <c r="M231" t="s">
        <v>87</v>
      </c>
      <c r="N231" t="s">
        <v>32</v>
      </c>
      <c r="O231" t="str">
        <f t="shared" si="18"/>
        <v>12/04/2025</v>
      </c>
      <c r="P231">
        <f t="shared" si="19"/>
        <v>2025</v>
      </c>
      <c r="Q231">
        <f t="shared" si="20"/>
        <v>4</v>
      </c>
      <c r="R231" t="str">
        <f t="shared" si="21"/>
        <v>April</v>
      </c>
      <c r="S231" t="str">
        <f t="shared" si="22"/>
        <v>Low</v>
      </c>
      <c r="T231" s="1">
        <f t="shared" si="23"/>
        <v>4.17726083378792E-2</v>
      </c>
      <c r="U231">
        <f>SUM($I$2:I231)</f>
        <v>786103.36999999976</v>
      </c>
      <c r="V231" s="1">
        <f>Table1[[#This Row],[Running total ]]/SUM(I:I)</f>
        <v>0.22683986847026075</v>
      </c>
    </row>
    <row r="232" spans="1:22" x14ac:dyDescent="0.3">
      <c r="A232" t="s">
        <v>662</v>
      </c>
      <c r="B232" t="s">
        <v>663</v>
      </c>
      <c r="C232" t="s">
        <v>60</v>
      </c>
      <c r="D232" t="s">
        <v>27</v>
      </c>
      <c r="E232" t="s">
        <v>124</v>
      </c>
      <c r="F232" t="s">
        <v>55</v>
      </c>
      <c r="G232" t="s">
        <v>74</v>
      </c>
      <c r="H232" t="s">
        <v>75</v>
      </c>
      <c r="I232">
        <v>6087.72</v>
      </c>
      <c r="J232">
        <v>6</v>
      </c>
      <c r="K232" s="1">
        <v>0.05</v>
      </c>
      <c r="L232">
        <v>561.76</v>
      </c>
      <c r="M232" t="s">
        <v>63</v>
      </c>
      <c r="N232" t="s">
        <v>39</v>
      </c>
      <c r="O232" t="str">
        <f t="shared" si="18"/>
        <v>08/07/2025</v>
      </c>
      <c r="P232">
        <f t="shared" si="19"/>
        <v>2025</v>
      </c>
      <c r="Q232">
        <f t="shared" si="20"/>
        <v>7</v>
      </c>
      <c r="R232" t="str">
        <f t="shared" si="21"/>
        <v>July</v>
      </c>
      <c r="S232" t="str">
        <f t="shared" si="22"/>
        <v>High</v>
      </c>
      <c r="T232" s="1">
        <f t="shared" si="23"/>
        <v>9.2277568613536753E-2</v>
      </c>
      <c r="U232">
        <f>SUM($I$2:I232)</f>
        <v>792191.08999999973</v>
      </c>
      <c r="V232" s="1">
        <f>Table1[[#This Row],[Running total ]]/SUM(I:I)</f>
        <v>0.22859655551268337</v>
      </c>
    </row>
    <row r="233" spans="1:22" x14ac:dyDescent="0.3">
      <c r="A233" t="s">
        <v>664</v>
      </c>
      <c r="B233" t="s">
        <v>665</v>
      </c>
      <c r="C233" t="s">
        <v>666</v>
      </c>
      <c r="D233" t="s">
        <v>137</v>
      </c>
      <c r="E233" t="s">
        <v>142</v>
      </c>
      <c r="F233" t="s">
        <v>67</v>
      </c>
      <c r="G233" t="s">
        <v>85</v>
      </c>
      <c r="H233" t="s">
        <v>86</v>
      </c>
      <c r="I233">
        <v>740.29</v>
      </c>
      <c r="J233">
        <v>1</v>
      </c>
      <c r="K233" s="1">
        <v>0.05</v>
      </c>
      <c r="L233">
        <v>103.14</v>
      </c>
      <c r="M233" t="s">
        <v>38</v>
      </c>
      <c r="N233" t="s">
        <v>39</v>
      </c>
      <c r="O233" t="str">
        <f t="shared" si="18"/>
        <v>18/07/2024</v>
      </c>
      <c r="P233">
        <f t="shared" si="19"/>
        <v>2024</v>
      </c>
      <c r="Q233">
        <f t="shared" si="20"/>
        <v>7</v>
      </c>
      <c r="R233" t="str">
        <f t="shared" si="21"/>
        <v>July</v>
      </c>
      <c r="S233" t="str">
        <f t="shared" si="22"/>
        <v>High</v>
      </c>
      <c r="T233" s="1">
        <f t="shared" si="23"/>
        <v>0.13932377851922895</v>
      </c>
      <c r="U233">
        <f>SUM($I$2:I233)</f>
        <v>792931.37999999977</v>
      </c>
      <c r="V233" s="1">
        <f>Table1[[#This Row],[Running total ]]/SUM(I:I)</f>
        <v>0.22881017536554046</v>
      </c>
    </row>
    <row r="234" spans="1:22" x14ac:dyDescent="0.3">
      <c r="A234" t="s">
        <v>667</v>
      </c>
      <c r="B234" t="s">
        <v>304</v>
      </c>
      <c r="C234" t="s">
        <v>26</v>
      </c>
      <c r="D234" t="s">
        <v>48</v>
      </c>
      <c r="E234" t="s">
        <v>49</v>
      </c>
      <c r="F234" t="s">
        <v>55</v>
      </c>
      <c r="G234" t="s">
        <v>98</v>
      </c>
      <c r="H234" t="s">
        <v>150</v>
      </c>
      <c r="I234">
        <v>1873.5</v>
      </c>
      <c r="J234">
        <v>3</v>
      </c>
      <c r="K234" s="1">
        <v>0.05</v>
      </c>
      <c r="L234">
        <v>71.62</v>
      </c>
      <c r="M234" t="s">
        <v>44</v>
      </c>
      <c r="N234" t="s">
        <v>23</v>
      </c>
      <c r="O234" t="str">
        <f t="shared" si="18"/>
        <v>11/01/2024</v>
      </c>
      <c r="P234">
        <f t="shared" si="19"/>
        <v>2024</v>
      </c>
      <c r="Q234">
        <f t="shared" si="20"/>
        <v>1</v>
      </c>
      <c r="R234" t="str">
        <f t="shared" si="21"/>
        <v>January</v>
      </c>
      <c r="S234" t="str">
        <f t="shared" si="22"/>
        <v>High</v>
      </c>
      <c r="T234" s="1">
        <f t="shared" si="23"/>
        <v>3.822791566586603E-2</v>
      </c>
      <c r="U234">
        <f>SUM($I$2:I234)</f>
        <v>794804.87999999977</v>
      </c>
      <c r="V234" s="1">
        <f>Table1[[#This Row],[Running total ]]/SUM(I:I)</f>
        <v>0.22935079700615121</v>
      </c>
    </row>
    <row r="235" spans="1:22" x14ac:dyDescent="0.3">
      <c r="A235" t="s">
        <v>668</v>
      </c>
      <c r="B235" t="s">
        <v>669</v>
      </c>
      <c r="C235" t="s">
        <v>468</v>
      </c>
      <c r="D235" t="s">
        <v>27</v>
      </c>
      <c r="E235" t="s">
        <v>61</v>
      </c>
      <c r="F235" t="s">
        <v>67</v>
      </c>
      <c r="G235" t="s">
        <v>68</v>
      </c>
      <c r="H235" t="s">
        <v>69</v>
      </c>
      <c r="I235">
        <v>2026.98</v>
      </c>
      <c r="J235">
        <v>2</v>
      </c>
      <c r="K235" s="1">
        <v>0.25</v>
      </c>
      <c r="L235">
        <v>-373.99</v>
      </c>
      <c r="M235" t="s">
        <v>31</v>
      </c>
      <c r="N235" t="s">
        <v>32</v>
      </c>
      <c r="O235" t="str">
        <f t="shared" si="18"/>
        <v>08/03/2025</v>
      </c>
      <c r="P235">
        <f t="shared" si="19"/>
        <v>2025</v>
      </c>
      <c r="Q235">
        <f t="shared" si="20"/>
        <v>3</v>
      </c>
      <c r="R235" t="str">
        <f t="shared" si="21"/>
        <v>March</v>
      </c>
      <c r="S235" t="str">
        <f t="shared" si="22"/>
        <v>Low</v>
      </c>
      <c r="T235" s="1">
        <f t="shared" si="23"/>
        <v>-0.18450601387285517</v>
      </c>
      <c r="U235">
        <f>SUM($I$2:I235)</f>
        <v>796831.85999999975</v>
      </c>
      <c r="V235" s="1">
        <f>Table1[[#This Row],[Running total ]]/SUM(I:I)</f>
        <v>0.22993570720262047</v>
      </c>
    </row>
    <row r="236" spans="1:22" x14ac:dyDescent="0.3">
      <c r="A236" t="s">
        <v>670</v>
      </c>
      <c r="B236" t="s">
        <v>671</v>
      </c>
      <c r="C236" t="s">
        <v>672</v>
      </c>
      <c r="D236" t="s">
        <v>27</v>
      </c>
      <c r="E236" t="s">
        <v>124</v>
      </c>
      <c r="F236" t="s">
        <v>55</v>
      </c>
      <c r="G236" t="s">
        <v>74</v>
      </c>
      <c r="H236" t="s">
        <v>272</v>
      </c>
      <c r="I236">
        <v>314.60000000000002</v>
      </c>
      <c r="J236">
        <v>4</v>
      </c>
      <c r="K236" s="1">
        <v>0.2</v>
      </c>
      <c r="L236">
        <v>-6.47</v>
      </c>
      <c r="M236" t="s">
        <v>22</v>
      </c>
      <c r="N236" t="s">
        <v>23</v>
      </c>
      <c r="O236" t="str">
        <f t="shared" si="18"/>
        <v>09/09/2024</v>
      </c>
      <c r="P236">
        <f t="shared" si="19"/>
        <v>2024</v>
      </c>
      <c r="Q236">
        <f t="shared" si="20"/>
        <v>9</v>
      </c>
      <c r="R236" t="str">
        <f t="shared" si="21"/>
        <v>September</v>
      </c>
      <c r="S236" t="str">
        <f t="shared" si="22"/>
        <v>Low</v>
      </c>
      <c r="T236" s="1">
        <f t="shared" si="23"/>
        <v>-2.0565797838525111E-2</v>
      </c>
      <c r="U236">
        <f>SUM($I$2:I236)</f>
        <v>797146.45999999973</v>
      </c>
      <c r="V236" s="1">
        <f>Table1[[#This Row],[Running total ]]/SUM(I:I)</f>
        <v>0.2300264889310091</v>
      </c>
    </row>
    <row r="237" spans="1:22" x14ac:dyDescent="0.3">
      <c r="A237" t="s">
        <v>673</v>
      </c>
      <c r="B237" t="s">
        <v>674</v>
      </c>
      <c r="C237" t="s">
        <v>286</v>
      </c>
      <c r="D237" t="s">
        <v>48</v>
      </c>
      <c r="E237" t="s">
        <v>73</v>
      </c>
      <c r="F237" t="s">
        <v>55</v>
      </c>
      <c r="G237" t="s">
        <v>98</v>
      </c>
      <c r="H237" t="s">
        <v>154</v>
      </c>
      <c r="I237">
        <v>934.32</v>
      </c>
      <c r="J237">
        <v>3</v>
      </c>
      <c r="K237" s="1">
        <v>0.1</v>
      </c>
      <c r="L237">
        <v>266.76</v>
      </c>
      <c r="M237" t="s">
        <v>38</v>
      </c>
      <c r="N237" t="s">
        <v>23</v>
      </c>
      <c r="O237" t="str">
        <f t="shared" si="18"/>
        <v>10/05/2025</v>
      </c>
      <c r="P237">
        <f t="shared" si="19"/>
        <v>2025</v>
      </c>
      <c r="Q237">
        <f t="shared" si="20"/>
        <v>5</v>
      </c>
      <c r="R237" t="str">
        <f t="shared" si="21"/>
        <v>May</v>
      </c>
      <c r="S237" t="str">
        <f t="shared" si="22"/>
        <v>Low</v>
      </c>
      <c r="T237" s="1">
        <f t="shared" si="23"/>
        <v>0.28551245825841248</v>
      </c>
      <c r="U237">
        <f>SUM($I$2:I237)</f>
        <v>798080.77999999968</v>
      </c>
      <c r="V237" s="1">
        <f>Table1[[#This Row],[Running total ]]/SUM(I:I)</f>
        <v>0.23029609854470295</v>
      </c>
    </row>
    <row r="238" spans="1:22" x14ac:dyDescent="0.3">
      <c r="A238" t="s">
        <v>675</v>
      </c>
      <c r="B238" t="s">
        <v>676</v>
      </c>
      <c r="C238" t="s">
        <v>378</v>
      </c>
      <c r="D238" t="s">
        <v>48</v>
      </c>
      <c r="E238" t="s">
        <v>84</v>
      </c>
      <c r="F238" t="s">
        <v>55</v>
      </c>
      <c r="G238" t="s">
        <v>56</v>
      </c>
      <c r="H238" t="s">
        <v>62</v>
      </c>
      <c r="I238">
        <v>743.13</v>
      </c>
      <c r="J238">
        <v>9</v>
      </c>
      <c r="K238" s="1">
        <v>0.2</v>
      </c>
      <c r="L238">
        <v>-85.62</v>
      </c>
      <c r="M238" t="s">
        <v>31</v>
      </c>
      <c r="N238" t="s">
        <v>32</v>
      </c>
      <c r="O238" t="str">
        <f t="shared" si="18"/>
        <v>30/09/2025</v>
      </c>
      <c r="P238">
        <f t="shared" si="19"/>
        <v>2025</v>
      </c>
      <c r="Q238">
        <f t="shared" si="20"/>
        <v>9</v>
      </c>
      <c r="R238" t="str">
        <f t="shared" si="21"/>
        <v>September</v>
      </c>
      <c r="S238" t="str">
        <f t="shared" si="22"/>
        <v>Low</v>
      </c>
      <c r="T238" s="1">
        <f t="shared" si="23"/>
        <v>-0.11521537281498527</v>
      </c>
      <c r="U238">
        <f>SUM($I$2:I238)</f>
        <v>798823.90999999968</v>
      </c>
      <c r="V238" s="1">
        <f>Table1[[#This Row],[Running total ]]/SUM(I:I)</f>
        <v>0.23051053791475209</v>
      </c>
    </row>
    <row r="239" spans="1:22" x14ac:dyDescent="0.3">
      <c r="A239" t="s">
        <v>677</v>
      </c>
      <c r="B239" t="s">
        <v>401</v>
      </c>
      <c r="C239" t="s">
        <v>678</v>
      </c>
      <c r="D239" t="s">
        <v>27</v>
      </c>
      <c r="E239" t="s">
        <v>43</v>
      </c>
      <c r="F239" t="s">
        <v>67</v>
      </c>
      <c r="G239" t="s">
        <v>68</v>
      </c>
      <c r="H239" t="s">
        <v>382</v>
      </c>
      <c r="I239">
        <v>1885.6</v>
      </c>
      <c r="J239">
        <v>2</v>
      </c>
      <c r="K239" s="1">
        <v>0.2</v>
      </c>
      <c r="L239">
        <v>148.38</v>
      </c>
      <c r="M239" t="s">
        <v>31</v>
      </c>
      <c r="N239" t="s">
        <v>23</v>
      </c>
      <c r="O239" t="str">
        <f t="shared" si="18"/>
        <v>26/10/2024</v>
      </c>
      <c r="P239">
        <f t="shared" si="19"/>
        <v>2024</v>
      </c>
      <c r="Q239">
        <f t="shared" si="20"/>
        <v>10</v>
      </c>
      <c r="R239" t="str">
        <f t="shared" si="21"/>
        <v>October</v>
      </c>
      <c r="S239" t="str">
        <f t="shared" si="22"/>
        <v>Low</v>
      </c>
      <c r="T239" s="1">
        <f t="shared" si="23"/>
        <v>7.869113279592703E-2</v>
      </c>
      <c r="U239">
        <f>SUM($I$2:I239)</f>
        <v>800709.50999999966</v>
      </c>
      <c r="V239" s="1">
        <f>Table1[[#This Row],[Running total ]]/SUM(I:I)</f>
        <v>0.23105465116030086</v>
      </c>
    </row>
    <row r="240" spans="1:22" x14ac:dyDescent="0.3">
      <c r="A240" t="s">
        <v>679</v>
      </c>
      <c r="B240" t="s">
        <v>15</v>
      </c>
      <c r="C240" t="s">
        <v>543</v>
      </c>
      <c r="D240" t="s">
        <v>17</v>
      </c>
      <c r="E240" t="s">
        <v>80</v>
      </c>
      <c r="F240" t="s">
        <v>67</v>
      </c>
      <c r="G240" t="s">
        <v>115</v>
      </c>
      <c r="H240" t="s">
        <v>116</v>
      </c>
      <c r="I240">
        <v>7725.92</v>
      </c>
      <c r="J240">
        <v>8</v>
      </c>
      <c r="K240" s="1">
        <v>0.15</v>
      </c>
      <c r="L240">
        <v>1076.1199999999999</v>
      </c>
      <c r="M240" t="s">
        <v>38</v>
      </c>
      <c r="N240" t="s">
        <v>32</v>
      </c>
      <c r="O240" t="str">
        <f t="shared" si="18"/>
        <v>31/01/2025</v>
      </c>
      <c r="P240">
        <f t="shared" si="19"/>
        <v>2025</v>
      </c>
      <c r="Q240">
        <f t="shared" si="20"/>
        <v>1</v>
      </c>
      <c r="R240" t="str">
        <f t="shared" si="21"/>
        <v>January</v>
      </c>
      <c r="S240" t="str">
        <f t="shared" si="22"/>
        <v>Low</v>
      </c>
      <c r="T240" s="1">
        <f t="shared" si="23"/>
        <v>0.13928697164868389</v>
      </c>
      <c r="U240">
        <f>SUM($I$2:I240)</f>
        <v>808435.4299999997</v>
      </c>
      <c r="V240" s="1">
        <f>Table1[[#This Row],[Running total ]]/SUM(I:I)</f>
        <v>0.23328406111259728</v>
      </c>
    </row>
    <row r="241" spans="1:22" x14ac:dyDescent="0.3">
      <c r="A241" t="s">
        <v>680</v>
      </c>
      <c r="B241" t="s">
        <v>681</v>
      </c>
      <c r="C241" t="s">
        <v>123</v>
      </c>
      <c r="D241" t="s">
        <v>48</v>
      </c>
      <c r="E241" t="s">
        <v>84</v>
      </c>
      <c r="F241" t="s">
        <v>19</v>
      </c>
      <c r="G241" t="s">
        <v>20</v>
      </c>
      <c r="H241" t="s">
        <v>239</v>
      </c>
      <c r="I241">
        <v>123</v>
      </c>
      <c r="J241">
        <v>1</v>
      </c>
      <c r="K241" s="1">
        <v>0</v>
      </c>
      <c r="L241">
        <v>15.55</v>
      </c>
      <c r="M241" t="s">
        <v>143</v>
      </c>
      <c r="N241" t="s">
        <v>76</v>
      </c>
      <c r="O241" t="str">
        <f t="shared" si="18"/>
        <v>11/02/2024</v>
      </c>
      <c r="P241">
        <f t="shared" si="19"/>
        <v>2024</v>
      </c>
      <c r="Q241">
        <f t="shared" si="20"/>
        <v>2</v>
      </c>
      <c r="R241" t="str">
        <f t="shared" si="21"/>
        <v>February</v>
      </c>
      <c r="S241" t="str">
        <f t="shared" si="22"/>
        <v>No Discount</v>
      </c>
      <c r="T241" s="1">
        <f t="shared" si="23"/>
        <v>0.12642276422764229</v>
      </c>
      <c r="U241">
        <f>SUM($I$2:I241)</f>
        <v>808558.4299999997</v>
      </c>
      <c r="V241" s="1">
        <f>Table1[[#This Row],[Running total ]]/SUM(I:I)</f>
        <v>0.23331955428676068</v>
      </c>
    </row>
    <row r="242" spans="1:22" x14ac:dyDescent="0.3">
      <c r="A242" t="s">
        <v>682</v>
      </c>
      <c r="B242" t="s">
        <v>472</v>
      </c>
      <c r="C242" t="s">
        <v>355</v>
      </c>
      <c r="D242" t="s">
        <v>48</v>
      </c>
      <c r="E242" t="s">
        <v>49</v>
      </c>
      <c r="F242" t="s">
        <v>19</v>
      </c>
      <c r="G242" t="s">
        <v>36</v>
      </c>
      <c r="H242" t="s">
        <v>111</v>
      </c>
      <c r="I242">
        <v>366.1</v>
      </c>
      <c r="J242">
        <v>7</v>
      </c>
      <c r="K242" s="1">
        <v>0.1</v>
      </c>
      <c r="L242">
        <v>107.63</v>
      </c>
      <c r="M242" t="s">
        <v>117</v>
      </c>
      <c r="N242" t="s">
        <v>32</v>
      </c>
      <c r="O242" t="str">
        <f t="shared" si="18"/>
        <v>07/08/2025</v>
      </c>
      <c r="P242">
        <f t="shared" si="19"/>
        <v>2025</v>
      </c>
      <c r="Q242">
        <f t="shared" si="20"/>
        <v>8</v>
      </c>
      <c r="R242" t="str">
        <f t="shared" si="21"/>
        <v>August</v>
      </c>
      <c r="S242" t="str">
        <f t="shared" si="22"/>
        <v>Low</v>
      </c>
      <c r="T242" s="1">
        <f t="shared" si="23"/>
        <v>0.2939907129199672</v>
      </c>
      <c r="U242">
        <f>SUM($I$2:I242)</f>
        <v>808924.52999999968</v>
      </c>
      <c r="V242" s="1">
        <f>Table1[[#This Row],[Running total ]]/SUM(I:I)</f>
        <v>0.23342519697831529</v>
      </c>
    </row>
    <row r="243" spans="1:22" x14ac:dyDescent="0.3">
      <c r="A243" t="s">
        <v>683</v>
      </c>
      <c r="B243" t="s">
        <v>405</v>
      </c>
      <c r="C243" t="s">
        <v>684</v>
      </c>
      <c r="D243" t="s">
        <v>17</v>
      </c>
      <c r="E243" t="s">
        <v>54</v>
      </c>
      <c r="F243" t="s">
        <v>19</v>
      </c>
      <c r="G243" t="s">
        <v>20</v>
      </c>
      <c r="H243" t="s">
        <v>347</v>
      </c>
      <c r="I243">
        <v>1039.4000000000001</v>
      </c>
      <c r="J243">
        <v>10</v>
      </c>
      <c r="K243" s="1">
        <v>0.1</v>
      </c>
      <c r="L243">
        <v>265.93</v>
      </c>
      <c r="M243" t="s">
        <v>63</v>
      </c>
      <c r="N243" t="s">
        <v>23</v>
      </c>
      <c r="O243" t="str">
        <f t="shared" si="18"/>
        <v>24/12/2025</v>
      </c>
      <c r="P243">
        <f t="shared" si="19"/>
        <v>2025</v>
      </c>
      <c r="Q243">
        <f t="shared" si="20"/>
        <v>12</v>
      </c>
      <c r="R243" t="str">
        <f t="shared" si="21"/>
        <v>December</v>
      </c>
      <c r="S243" t="str">
        <f t="shared" si="22"/>
        <v>Low</v>
      </c>
      <c r="T243" s="1">
        <f t="shared" si="23"/>
        <v>0.25584952857417742</v>
      </c>
      <c r="U243">
        <f>SUM($I$2:I243)</f>
        <v>809963.9299999997</v>
      </c>
      <c r="V243" s="1">
        <f>Table1[[#This Row],[Running total ]]/SUM(I:I)</f>
        <v>0.23372512872811557</v>
      </c>
    </row>
    <row r="244" spans="1:22" x14ac:dyDescent="0.3">
      <c r="A244" t="s">
        <v>685</v>
      </c>
      <c r="B244" t="s">
        <v>686</v>
      </c>
      <c r="C244" t="s">
        <v>687</v>
      </c>
      <c r="D244" t="s">
        <v>27</v>
      </c>
      <c r="E244" t="s">
        <v>43</v>
      </c>
      <c r="F244" t="s">
        <v>67</v>
      </c>
      <c r="G244" t="s">
        <v>115</v>
      </c>
      <c r="H244" t="s">
        <v>212</v>
      </c>
      <c r="I244">
        <v>4093.56</v>
      </c>
      <c r="J244">
        <v>9</v>
      </c>
      <c r="K244" s="1">
        <v>0.05</v>
      </c>
      <c r="L244">
        <v>872.03</v>
      </c>
      <c r="M244" t="s">
        <v>38</v>
      </c>
      <c r="N244" t="s">
        <v>23</v>
      </c>
      <c r="O244" t="str">
        <f t="shared" si="18"/>
        <v>05/03/2025</v>
      </c>
      <c r="P244">
        <f t="shared" si="19"/>
        <v>2025</v>
      </c>
      <c r="Q244">
        <f t="shared" si="20"/>
        <v>3</v>
      </c>
      <c r="R244" t="str">
        <f t="shared" si="21"/>
        <v>March</v>
      </c>
      <c r="S244" t="str">
        <f t="shared" si="22"/>
        <v>High</v>
      </c>
      <c r="T244" s="1">
        <f t="shared" si="23"/>
        <v>0.213024848786875</v>
      </c>
      <c r="U244">
        <f>SUM($I$2:I244)</f>
        <v>814057.48999999976</v>
      </c>
      <c r="V244" s="1">
        <f>Table1[[#This Row],[Running total ]]/SUM(I:I)</f>
        <v>0.23490637619176039</v>
      </c>
    </row>
    <row r="245" spans="1:22" x14ac:dyDescent="0.3">
      <c r="A245" t="s">
        <v>688</v>
      </c>
      <c r="B245" t="s">
        <v>689</v>
      </c>
      <c r="C245" t="s">
        <v>690</v>
      </c>
      <c r="D245" t="s">
        <v>48</v>
      </c>
      <c r="E245" t="s">
        <v>84</v>
      </c>
      <c r="F245" t="s">
        <v>19</v>
      </c>
      <c r="G245" t="s">
        <v>29</v>
      </c>
      <c r="H245" t="s">
        <v>50</v>
      </c>
      <c r="I245">
        <v>5267.2</v>
      </c>
      <c r="J245">
        <v>5</v>
      </c>
      <c r="K245" s="1">
        <v>0.3</v>
      </c>
      <c r="L245">
        <v>289.19</v>
      </c>
      <c r="M245" t="s">
        <v>195</v>
      </c>
      <c r="N245" t="s">
        <v>32</v>
      </c>
      <c r="O245" t="str">
        <f t="shared" si="18"/>
        <v>09/05/2025</v>
      </c>
      <c r="P245">
        <f t="shared" si="19"/>
        <v>2025</v>
      </c>
      <c r="Q245">
        <f t="shared" si="20"/>
        <v>5</v>
      </c>
      <c r="R245" t="str">
        <f t="shared" si="21"/>
        <v>May</v>
      </c>
      <c r="S245" t="str">
        <f t="shared" si="22"/>
        <v>Low</v>
      </c>
      <c r="T245" s="1">
        <f t="shared" si="23"/>
        <v>5.4903933778857841E-2</v>
      </c>
      <c r="U245">
        <f>SUM($I$2:I245)</f>
        <v>819324.68999999971</v>
      </c>
      <c r="V245" s="1">
        <f>Table1[[#This Row],[Running total ]]/SUM(I:I)</f>
        <v>0.2364262920206501</v>
      </c>
    </row>
    <row r="246" spans="1:22" x14ac:dyDescent="0.3">
      <c r="A246" t="s">
        <v>691</v>
      </c>
      <c r="B246" t="s">
        <v>692</v>
      </c>
      <c r="C246" t="s">
        <v>693</v>
      </c>
      <c r="D246" t="s">
        <v>27</v>
      </c>
      <c r="E246" t="s">
        <v>61</v>
      </c>
      <c r="F246" t="s">
        <v>67</v>
      </c>
      <c r="G246" t="s">
        <v>68</v>
      </c>
      <c r="H246" t="s">
        <v>382</v>
      </c>
      <c r="I246">
        <v>1542.69</v>
      </c>
      <c r="J246">
        <v>9</v>
      </c>
      <c r="K246" s="1">
        <v>0.3</v>
      </c>
      <c r="L246">
        <v>38.020000000000003</v>
      </c>
      <c r="M246" t="s">
        <v>143</v>
      </c>
      <c r="N246" t="s">
        <v>39</v>
      </c>
      <c r="O246" t="str">
        <f t="shared" si="18"/>
        <v>13/06/2025</v>
      </c>
      <c r="P246">
        <f t="shared" si="19"/>
        <v>2025</v>
      </c>
      <c r="Q246">
        <f t="shared" si="20"/>
        <v>6</v>
      </c>
      <c r="R246" t="str">
        <f t="shared" si="21"/>
        <v>June</v>
      </c>
      <c r="S246" t="str">
        <f t="shared" si="22"/>
        <v>Low</v>
      </c>
      <c r="T246" s="1">
        <f t="shared" si="23"/>
        <v>2.4645262496029663E-2</v>
      </c>
      <c r="U246">
        <f>SUM($I$2:I246)</f>
        <v>820867.37999999966</v>
      </c>
      <c r="V246" s="1">
        <f>Table1[[#This Row],[Running total ]]/SUM(I:I)</f>
        <v>0.23687145433650478</v>
      </c>
    </row>
    <row r="247" spans="1:22" x14ac:dyDescent="0.3">
      <c r="A247" t="s">
        <v>694</v>
      </c>
      <c r="B247" t="s">
        <v>695</v>
      </c>
      <c r="C247" t="s">
        <v>378</v>
      </c>
      <c r="D247" t="s">
        <v>48</v>
      </c>
      <c r="E247" t="s">
        <v>110</v>
      </c>
      <c r="F247" t="s">
        <v>67</v>
      </c>
      <c r="G247" t="s">
        <v>85</v>
      </c>
      <c r="H247" t="s">
        <v>125</v>
      </c>
      <c r="I247">
        <v>685.38</v>
      </c>
      <c r="J247">
        <v>6</v>
      </c>
      <c r="K247" s="1">
        <v>0.2</v>
      </c>
      <c r="L247">
        <v>109.82</v>
      </c>
      <c r="M247" t="s">
        <v>44</v>
      </c>
      <c r="N247" t="s">
        <v>76</v>
      </c>
      <c r="O247" t="str">
        <f t="shared" si="18"/>
        <v>13/07/2025</v>
      </c>
      <c r="P247">
        <f t="shared" si="19"/>
        <v>2025</v>
      </c>
      <c r="Q247">
        <f t="shared" si="20"/>
        <v>7</v>
      </c>
      <c r="R247" t="str">
        <f t="shared" si="21"/>
        <v>July</v>
      </c>
      <c r="S247" t="str">
        <f t="shared" si="22"/>
        <v>Low</v>
      </c>
      <c r="T247" s="1">
        <f t="shared" si="23"/>
        <v>0.16023227990311942</v>
      </c>
      <c r="U247">
        <f>SUM($I$2:I247)</f>
        <v>821552.75999999966</v>
      </c>
      <c r="V247" s="1">
        <f>Table1[[#This Row],[Running total ]]/SUM(I:I)</f>
        <v>0.23706922922844062</v>
      </c>
    </row>
    <row r="248" spans="1:22" x14ac:dyDescent="0.3">
      <c r="A248" t="s">
        <v>696</v>
      </c>
      <c r="B248" t="s">
        <v>122</v>
      </c>
      <c r="C248" t="s">
        <v>370</v>
      </c>
      <c r="D248" t="s">
        <v>48</v>
      </c>
      <c r="E248" t="s">
        <v>110</v>
      </c>
      <c r="F248" t="s">
        <v>19</v>
      </c>
      <c r="G248" t="s">
        <v>29</v>
      </c>
      <c r="H248" t="s">
        <v>30</v>
      </c>
      <c r="I248">
        <v>1548.19</v>
      </c>
      <c r="J248">
        <v>7</v>
      </c>
      <c r="K248" s="1">
        <v>0.25</v>
      </c>
      <c r="L248">
        <v>-103.91</v>
      </c>
      <c r="M248" t="s">
        <v>117</v>
      </c>
      <c r="N248" t="s">
        <v>39</v>
      </c>
      <c r="O248" t="str">
        <f t="shared" si="18"/>
        <v>16/07/2025</v>
      </c>
      <c r="P248">
        <f t="shared" si="19"/>
        <v>2025</v>
      </c>
      <c r="Q248">
        <f t="shared" si="20"/>
        <v>7</v>
      </c>
      <c r="R248" t="str">
        <f t="shared" si="21"/>
        <v>July</v>
      </c>
      <c r="S248" t="str">
        <f t="shared" si="22"/>
        <v>Low</v>
      </c>
      <c r="T248" s="1">
        <f t="shared" si="23"/>
        <v>-6.7117085112292418E-2</v>
      </c>
      <c r="U248">
        <f>SUM($I$2:I248)</f>
        <v>823100.9499999996</v>
      </c>
      <c r="V248" s="1">
        <f>Table1[[#This Row],[Running total ]]/SUM(I:I)</f>
        <v>0.23751597863744894</v>
      </c>
    </row>
    <row r="249" spans="1:22" x14ac:dyDescent="0.3">
      <c r="A249" t="s">
        <v>697</v>
      </c>
      <c r="B249" t="s">
        <v>698</v>
      </c>
      <c r="C249" t="s">
        <v>114</v>
      </c>
      <c r="D249" t="s">
        <v>137</v>
      </c>
      <c r="E249" t="s">
        <v>242</v>
      </c>
      <c r="F249" t="s">
        <v>67</v>
      </c>
      <c r="G249" t="s">
        <v>115</v>
      </c>
      <c r="H249" t="s">
        <v>212</v>
      </c>
      <c r="I249">
        <v>5036.3999999999996</v>
      </c>
      <c r="J249">
        <v>6</v>
      </c>
      <c r="K249" s="1">
        <v>0</v>
      </c>
      <c r="L249">
        <v>2181.09</v>
      </c>
      <c r="M249" t="s">
        <v>44</v>
      </c>
      <c r="N249" t="s">
        <v>39</v>
      </c>
      <c r="O249" t="str">
        <f t="shared" si="18"/>
        <v>14/03/2024</v>
      </c>
      <c r="P249">
        <f t="shared" si="19"/>
        <v>2024</v>
      </c>
      <c r="Q249">
        <f t="shared" si="20"/>
        <v>3</v>
      </c>
      <c r="R249" t="str">
        <f t="shared" si="21"/>
        <v>March</v>
      </c>
      <c r="S249" t="str">
        <f t="shared" si="22"/>
        <v>No Discount</v>
      </c>
      <c r="T249" s="1">
        <f t="shared" si="23"/>
        <v>0.43306528472718614</v>
      </c>
      <c r="U249">
        <f>SUM($I$2:I249)</f>
        <v>828137.34999999963</v>
      </c>
      <c r="V249" s="1">
        <f>Table1[[#This Row],[Running total ]]/SUM(I:I)</f>
        <v>0.23896929426636379</v>
      </c>
    </row>
    <row r="250" spans="1:22" x14ac:dyDescent="0.3">
      <c r="A250" t="s">
        <v>699</v>
      </c>
      <c r="B250" t="s">
        <v>700</v>
      </c>
      <c r="C250" t="s">
        <v>701</v>
      </c>
      <c r="D250" t="s">
        <v>17</v>
      </c>
      <c r="E250" t="s">
        <v>80</v>
      </c>
      <c r="F250" t="s">
        <v>55</v>
      </c>
      <c r="G250" t="s">
        <v>98</v>
      </c>
      <c r="H250" t="s">
        <v>154</v>
      </c>
      <c r="I250">
        <v>3679.14</v>
      </c>
      <c r="J250">
        <v>6</v>
      </c>
      <c r="K250" s="1">
        <v>0.25</v>
      </c>
      <c r="L250">
        <v>-598.41999999999996</v>
      </c>
      <c r="M250" t="s">
        <v>117</v>
      </c>
      <c r="N250" t="s">
        <v>39</v>
      </c>
      <c r="O250" t="str">
        <f t="shared" si="18"/>
        <v>16/01/2024</v>
      </c>
      <c r="P250">
        <f t="shared" si="19"/>
        <v>2024</v>
      </c>
      <c r="Q250">
        <f t="shared" si="20"/>
        <v>1</v>
      </c>
      <c r="R250" t="str">
        <f t="shared" si="21"/>
        <v>January</v>
      </c>
      <c r="S250" t="str">
        <f t="shared" si="22"/>
        <v>Low</v>
      </c>
      <c r="T250" s="1">
        <f t="shared" si="23"/>
        <v>-0.16265214153307567</v>
      </c>
      <c r="U250">
        <f>SUM($I$2:I250)</f>
        <v>831816.48999999964</v>
      </c>
      <c r="V250" s="1">
        <f>Table1[[#This Row],[Running total ]]/SUM(I:I)</f>
        <v>0.24003095570369318</v>
      </c>
    </row>
    <row r="251" spans="1:22" x14ac:dyDescent="0.3">
      <c r="A251" t="s">
        <v>702</v>
      </c>
      <c r="B251" t="s">
        <v>703</v>
      </c>
      <c r="C251" t="s">
        <v>175</v>
      </c>
      <c r="D251" t="s">
        <v>27</v>
      </c>
      <c r="E251" t="s">
        <v>124</v>
      </c>
      <c r="F251" t="s">
        <v>67</v>
      </c>
      <c r="G251" t="s">
        <v>85</v>
      </c>
      <c r="H251" t="s">
        <v>86</v>
      </c>
      <c r="I251">
        <v>3349.71</v>
      </c>
      <c r="J251">
        <v>7</v>
      </c>
      <c r="K251" s="1">
        <v>0.1</v>
      </c>
      <c r="L251">
        <v>696.57</v>
      </c>
      <c r="M251" t="s">
        <v>22</v>
      </c>
      <c r="N251" t="s">
        <v>76</v>
      </c>
      <c r="O251" t="str">
        <f t="shared" si="18"/>
        <v>04/02/2024</v>
      </c>
      <c r="P251">
        <f t="shared" si="19"/>
        <v>2024</v>
      </c>
      <c r="Q251">
        <f t="shared" si="20"/>
        <v>2</v>
      </c>
      <c r="R251" t="str">
        <f t="shared" si="21"/>
        <v>February</v>
      </c>
      <c r="S251" t="str">
        <f t="shared" si="22"/>
        <v>Low</v>
      </c>
      <c r="T251" s="1">
        <f t="shared" si="23"/>
        <v>0.20794934486866029</v>
      </c>
      <c r="U251">
        <f>SUM($I$2:I251)</f>
        <v>835166.1999999996</v>
      </c>
      <c r="V251" s="1">
        <f>Table1[[#This Row],[Running total ]]/SUM(I:I)</f>
        <v>0.24099755603236689</v>
      </c>
    </row>
    <row r="252" spans="1:22" x14ac:dyDescent="0.3">
      <c r="A252" t="s">
        <v>704</v>
      </c>
      <c r="B252" t="s">
        <v>705</v>
      </c>
      <c r="C252" t="s">
        <v>540</v>
      </c>
      <c r="D252" t="s">
        <v>137</v>
      </c>
      <c r="E252" t="s">
        <v>242</v>
      </c>
      <c r="F252" t="s">
        <v>19</v>
      </c>
      <c r="G252" t="s">
        <v>29</v>
      </c>
      <c r="H252" t="s">
        <v>50</v>
      </c>
      <c r="I252">
        <v>2559.88</v>
      </c>
      <c r="J252">
        <v>4</v>
      </c>
      <c r="K252" s="1">
        <v>0.1</v>
      </c>
      <c r="L252">
        <v>829.81</v>
      </c>
      <c r="M252" t="s">
        <v>117</v>
      </c>
      <c r="N252" t="s">
        <v>39</v>
      </c>
      <c r="O252" t="str">
        <f t="shared" si="18"/>
        <v>11/01/2025</v>
      </c>
      <c r="P252">
        <f t="shared" si="19"/>
        <v>2025</v>
      </c>
      <c r="Q252">
        <f t="shared" si="20"/>
        <v>1</v>
      </c>
      <c r="R252" t="str">
        <f t="shared" si="21"/>
        <v>January</v>
      </c>
      <c r="S252" t="str">
        <f t="shared" si="22"/>
        <v>Low</v>
      </c>
      <c r="T252" s="1">
        <f t="shared" si="23"/>
        <v>0.32415972623716732</v>
      </c>
      <c r="U252">
        <f>SUM($I$2:I252)</f>
        <v>837726.07999999961</v>
      </c>
      <c r="V252" s="1">
        <f>Table1[[#This Row],[Running total ]]/SUM(I:I)</f>
        <v>0.24173624112730505</v>
      </c>
    </row>
    <row r="253" spans="1:22" x14ac:dyDescent="0.3">
      <c r="A253" t="s">
        <v>706</v>
      </c>
      <c r="B253" t="s">
        <v>15</v>
      </c>
      <c r="C253" t="s">
        <v>381</v>
      </c>
      <c r="D253" t="s">
        <v>48</v>
      </c>
      <c r="E253" t="s">
        <v>49</v>
      </c>
      <c r="F253" t="s">
        <v>67</v>
      </c>
      <c r="G253" t="s">
        <v>68</v>
      </c>
      <c r="H253" t="s">
        <v>382</v>
      </c>
      <c r="I253">
        <v>6758.85</v>
      </c>
      <c r="J253">
        <v>7</v>
      </c>
      <c r="K253" s="1">
        <v>0</v>
      </c>
      <c r="L253">
        <v>1289.29</v>
      </c>
      <c r="M253" t="s">
        <v>143</v>
      </c>
      <c r="N253" t="s">
        <v>23</v>
      </c>
      <c r="O253" t="str">
        <f t="shared" si="18"/>
        <v>31/01/2025</v>
      </c>
      <c r="P253">
        <f t="shared" si="19"/>
        <v>2025</v>
      </c>
      <c r="Q253">
        <f t="shared" si="20"/>
        <v>1</v>
      </c>
      <c r="R253" t="str">
        <f t="shared" si="21"/>
        <v>January</v>
      </c>
      <c r="S253" t="str">
        <f t="shared" si="22"/>
        <v>No Discount</v>
      </c>
      <c r="T253" s="1">
        <f t="shared" si="23"/>
        <v>0.19075582384577255</v>
      </c>
      <c r="U253">
        <f>SUM($I$2:I253)</f>
        <v>844484.92999999959</v>
      </c>
      <c r="V253" s="1">
        <f>Table1[[#This Row],[Running total ]]/SUM(I:I)</f>
        <v>0.24368659104758361</v>
      </c>
    </row>
    <row r="254" spans="1:22" x14ac:dyDescent="0.3">
      <c r="A254" t="s">
        <v>707</v>
      </c>
      <c r="B254" t="s">
        <v>708</v>
      </c>
      <c r="C254" t="s">
        <v>355</v>
      </c>
      <c r="D254" t="s">
        <v>27</v>
      </c>
      <c r="E254" t="s">
        <v>61</v>
      </c>
      <c r="F254" t="s">
        <v>55</v>
      </c>
      <c r="G254" t="s">
        <v>56</v>
      </c>
      <c r="H254" t="s">
        <v>129</v>
      </c>
      <c r="I254">
        <v>2126.8000000000002</v>
      </c>
      <c r="J254">
        <v>4</v>
      </c>
      <c r="K254" s="1">
        <v>0</v>
      </c>
      <c r="L254">
        <v>440.77</v>
      </c>
      <c r="M254" t="s">
        <v>22</v>
      </c>
      <c r="N254" t="s">
        <v>76</v>
      </c>
      <c r="O254" t="str">
        <f t="shared" si="18"/>
        <v>27/07/2025</v>
      </c>
      <c r="P254">
        <f t="shared" si="19"/>
        <v>2025</v>
      </c>
      <c r="Q254">
        <f t="shared" si="20"/>
        <v>7</v>
      </c>
      <c r="R254" t="str">
        <f t="shared" si="21"/>
        <v>July</v>
      </c>
      <c r="S254" t="str">
        <f t="shared" si="22"/>
        <v>No Discount</v>
      </c>
      <c r="T254" s="1">
        <f t="shared" si="23"/>
        <v>0.20724562723340226</v>
      </c>
      <c r="U254">
        <f>SUM($I$2:I254)</f>
        <v>846611.72999999963</v>
      </c>
      <c r="V254" s="1">
        <f>Table1[[#This Row],[Running total ]]/SUM(I:I)</f>
        <v>0.24430030554197965</v>
      </c>
    </row>
    <row r="255" spans="1:22" x14ac:dyDescent="0.3">
      <c r="A255" t="s">
        <v>709</v>
      </c>
      <c r="B255" t="s">
        <v>710</v>
      </c>
      <c r="C255" t="s">
        <v>701</v>
      </c>
      <c r="D255" t="s">
        <v>27</v>
      </c>
      <c r="E255" t="s">
        <v>61</v>
      </c>
      <c r="F255" t="s">
        <v>67</v>
      </c>
      <c r="G255" t="s">
        <v>68</v>
      </c>
      <c r="H255" t="s">
        <v>382</v>
      </c>
      <c r="I255">
        <v>8304.48</v>
      </c>
      <c r="J255">
        <v>8</v>
      </c>
      <c r="K255" s="1">
        <v>0.05</v>
      </c>
      <c r="L255">
        <v>1783.91</v>
      </c>
      <c r="M255" t="s">
        <v>22</v>
      </c>
      <c r="N255" t="s">
        <v>23</v>
      </c>
      <c r="O255" t="str">
        <f t="shared" si="18"/>
        <v>03/01/2024</v>
      </c>
      <c r="P255">
        <f t="shared" si="19"/>
        <v>2024</v>
      </c>
      <c r="Q255">
        <f t="shared" si="20"/>
        <v>1</v>
      </c>
      <c r="R255" t="str">
        <f t="shared" si="21"/>
        <v>January</v>
      </c>
      <c r="S255" t="str">
        <f t="shared" si="22"/>
        <v>High</v>
      </c>
      <c r="T255" s="1">
        <f t="shared" si="23"/>
        <v>0.21481296842186387</v>
      </c>
      <c r="U255">
        <f>SUM($I$2:I255)</f>
        <v>854916.20999999961</v>
      </c>
      <c r="V255" s="1">
        <f>Table1[[#This Row],[Running total ]]/SUM(I:I)</f>
        <v>0.24669666615154415</v>
      </c>
    </row>
    <row r="256" spans="1:22" x14ac:dyDescent="0.3">
      <c r="A256" t="s">
        <v>711</v>
      </c>
      <c r="B256" t="s">
        <v>712</v>
      </c>
      <c r="C256" t="s">
        <v>192</v>
      </c>
      <c r="D256" t="s">
        <v>17</v>
      </c>
      <c r="E256" t="s">
        <v>18</v>
      </c>
      <c r="F256" t="s">
        <v>67</v>
      </c>
      <c r="G256" t="s">
        <v>68</v>
      </c>
      <c r="H256" t="s">
        <v>69</v>
      </c>
      <c r="I256">
        <v>5749.02</v>
      </c>
      <c r="J256">
        <v>6</v>
      </c>
      <c r="K256" s="1">
        <v>0.1</v>
      </c>
      <c r="L256">
        <v>1213</v>
      </c>
      <c r="M256" t="s">
        <v>44</v>
      </c>
      <c r="N256" t="s">
        <v>23</v>
      </c>
      <c r="O256" t="str">
        <f t="shared" si="18"/>
        <v>13/10/2024</v>
      </c>
      <c r="P256">
        <f t="shared" si="19"/>
        <v>2024</v>
      </c>
      <c r="Q256">
        <f t="shared" si="20"/>
        <v>10</v>
      </c>
      <c r="R256" t="str">
        <f t="shared" si="21"/>
        <v>October</v>
      </c>
      <c r="S256" t="str">
        <f t="shared" si="22"/>
        <v>Low</v>
      </c>
      <c r="T256" s="1">
        <f t="shared" si="23"/>
        <v>0.21099248219696573</v>
      </c>
      <c r="U256">
        <f>SUM($I$2:I256)</f>
        <v>860665.22999999963</v>
      </c>
      <c r="V256" s="1">
        <f>Table1[[#This Row],[Running total ]]/SUM(I:I)</f>
        <v>0.24835561711194126</v>
      </c>
    </row>
    <row r="257" spans="1:22" x14ac:dyDescent="0.3">
      <c r="A257" t="s">
        <v>713</v>
      </c>
      <c r="B257" t="s">
        <v>714</v>
      </c>
      <c r="C257" t="s">
        <v>355</v>
      </c>
      <c r="D257" t="s">
        <v>27</v>
      </c>
      <c r="E257" t="s">
        <v>28</v>
      </c>
      <c r="F257" t="s">
        <v>67</v>
      </c>
      <c r="G257" t="s">
        <v>85</v>
      </c>
      <c r="H257" t="s">
        <v>86</v>
      </c>
      <c r="I257">
        <v>250.05</v>
      </c>
      <c r="J257">
        <v>3</v>
      </c>
      <c r="K257" s="1">
        <v>0</v>
      </c>
      <c r="L257">
        <v>31.85</v>
      </c>
      <c r="M257" t="s">
        <v>195</v>
      </c>
      <c r="N257" t="s">
        <v>76</v>
      </c>
      <c r="O257" t="str">
        <f t="shared" si="18"/>
        <v>16/10/2024</v>
      </c>
      <c r="P257">
        <f t="shared" si="19"/>
        <v>2024</v>
      </c>
      <c r="Q257">
        <f t="shared" si="20"/>
        <v>10</v>
      </c>
      <c r="R257" t="str">
        <f t="shared" si="21"/>
        <v>October</v>
      </c>
      <c r="S257" t="str">
        <f t="shared" si="22"/>
        <v>No Discount</v>
      </c>
      <c r="T257" s="1">
        <f t="shared" si="23"/>
        <v>0.12737452509498101</v>
      </c>
      <c r="U257">
        <f>SUM($I$2:I257)</f>
        <v>860915.27999999968</v>
      </c>
      <c r="V257" s="1">
        <f>Table1[[#This Row],[Running total ]]/SUM(I:I)</f>
        <v>0.24842777213795392</v>
      </c>
    </row>
    <row r="258" spans="1:22" x14ac:dyDescent="0.3">
      <c r="A258" t="s">
        <v>715</v>
      </c>
      <c r="B258" t="s">
        <v>716</v>
      </c>
      <c r="C258" t="s">
        <v>678</v>
      </c>
      <c r="D258" t="s">
        <v>17</v>
      </c>
      <c r="E258" t="s">
        <v>54</v>
      </c>
      <c r="F258" t="s">
        <v>67</v>
      </c>
      <c r="G258" t="s">
        <v>115</v>
      </c>
      <c r="H258" t="s">
        <v>178</v>
      </c>
      <c r="I258">
        <v>1999.84</v>
      </c>
      <c r="J258">
        <v>2</v>
      </c>
      <c r="K258" s="1">
        <v>0.05</v>
      </c>
      <c r="L258">
        <v>774.42</v>
      </c>
      <c r="M258" t="s">
        <v>87</v>
      </c>
      <c r="N258" t="s">
        <v>32</v>
      </c>
      <c r="O258" t="str">
        <f t="shared" si="18"/>
        <v>24/06/2024</v>
      </c>
      <c r="P258">
        <f t="shared" si="19"/>
        <v>2024</v>
      </c>
      <c r="Q258">
        <f t="shared" si="20"/>
        <v>6</v>
      </c>
      <c r="R258" t="str">
        <f t="shared" si="21"/>
        <v>June</v>
      </c>
      <c r="S258" t="str">
        <f t="shared" si="22"/>
        <v>High</v>
      </c>
      <c r="T258" s="1">
        <f t="shared" si="23"/>
        <v>0.38724097927834228</v>
      </c>
      <c r="U258">
        <f>SUM($I$2:I258)</f>
        <v>862915.11999999965</v>
      </c>
      <c r="V258" s="1">
        <f>Table1[[#This Row],[Running total ]]/SUM(I:I)</f>
        <v>0.24900485075111589</v>
      </c>
    </row>
    <row r="259" spans="1:22" x14ac:dyDescent="0.3">
      <c r="A259" t="s">
        <v>717</v>
      </c>
      <c r="B259" t="s">
        <v>718</v>
      </c>
      <c r="C259" t="s">
        <v>159</v>
      </c>
      <c r="D259" t="s">
        <v>27</v>
      </c>
      <c r="E259" t="s">
        <v>124</v>
      </c>
      <c r="F259" t="s">
        <v>19</v>
      </c>
      <c r="G259" t="s">
        <v>36</v>
      </c>
      <c r="H259" t="s">
        <v>37</v>
      </c>
      <c r="I259">
        <v>274.24</v>
      </c>
      <c r="J259">
        <v>4</v>
      </c>
      <c r="K259" s="1">
        <v>0.1</v>
      </c>
      <c r="L259">
        <v>87.02</v>
      </c>
      <c r="M259" t="s">
        <v>63</v>
      </c>
      <c r="N259" t="s">
        <v>23</v>
      </c>
      <c r="O259" t="str">
        <f t="shared" ref="O259:O322" si="24">TEXT(B259,"dd/mm/yyyy")</f>
        <v>12/01/2024</v>
      </c>
      <c r="P259">
        <f t="shared" ref="P259:P322" si="25">YEAR(O259)</f>
        <v>2024</v>
      </c>
      <c r="Q259">
        <f t="shared" ref="Q259:Q322" si="26">MONTH(O259)</f>
        <v>1</v>
      </c>
      <c r="R259" t="str">
        <f t="shared" ref="R259:R322" si="27">TEXT(O259,"mmmm")</f>
        <v>January</v>
      </c>
      <c r="S259" t="str">
        <f t="shared" ref="S259:S322" si="28">IF(K259=0,"No Discount",IF(K259&gt;=0.1,"Low",IF(K259&gt;=0.2,"Medium","High")))</f>
        <v>Low</v>
      </c>
      <c r="T259" s="1">
        <f t="shared" ref="T259:T322" si="29">SUM(L259)/SUM(I259)</f>
        <v>0.31731330221703613</v>
      </c>
      <c r="U259">
        <f>SUM($I$2:I259)</f>
        <v>863189.35999999964</v>
      </c>
      <c r="V259" s="1">
        <f>Table1[[#This Row],[Running total ]]/SUM(I:I)</f>
        <v>0.24908398610138069</v>
      </c>
    </row>
    <row r="260" spans="1:22" x14ac:dyDescent="0.3">
      <c r="A260" t="s">
        <v>719</v>
      </c>
      <c r="B260" t="s">
        <v>720</v>
      </c>
      <c r="C260" t="s">
        <v>47</v>
      </c>
      <c r="D260" t="s">
        <v>48</v>
      </c>
      <c r="E260" t="s">
        <v>110</v>
      </c>
      <c r="F260" t="s">
        <v>67</v>
      </c>
      <c r="G260" t="s">
        <v>68</v>
      </c>
      <c r="H260" t="s">
        <v>103</v>
      </c>
      <c r="I260">
        <v>3566.43</v>
      </c>
      <c r="J260">
        <v>9</v>
      </c>
      <c r="K260" s="1">
        <v>0.3</v>
      </c>
      <c r="L260">
        <v>530.70000000000005</v>
      </c>
      <c r="M260" t="s">
        <v>63</v>
      </c>
      <c r="N260" t="s">
        <v>76</v>
      </c>
      <c r="O260" t="str">
        <f t="shared" si="24"/>
        <v>13/04/2025</v>
      </c>
      <c r="P260">
        <f t="shared" si="25"/>
        <v>2025</v>
      </c>
      <c r="Q260">
        <f t="shared" si="26"/>
        <v>4</v>
      </c>
      <c r="R260" t="str">
        <f t="shared" si="27"/>
        <v>April</v>
      </c>
      <c r="S260" t="str">
        <f t="shared" si="28"/>
        <v>Low</v>
      </c>
      <c r="T260" s="1">
        <f t="shared" si="29"/>
        <v>0.1488042664513253</v>
      </c>
      <c r="U260">
        <f>SUM($I$2:I260)</f>
        <v>866755.78999999969</v>
      </c>
      <c r="V260" s="1">
        <f>Table1[[#This Row],[Running total ]]/SUM(I:I)</f>
        <v>0.25011312367155597</v>
      </c>
    </row>
    <row r="261" spans="1:22" x14ac:dyDescent="0.3">
      <c r="A261" t="s">
        <v>721</v>
      </c>
      <c r="B261" t="s">
        <v>722</v>
      </c>
      <c r="C261" t="s">
        <v>402</v>
      </c>
      <c r="D261" t="s">
        <v>48</v>
      </c>
      <c r="E261" t="s">
        <v>84</v>
      </c>
      <c r="F261" t="s">
        <v>67</v>
      </c>
      <c r="G261" t="s">
        <v>85</v>
      </c>
      <c r="H261" t="s">
        <v>125</v>
      </c>
      <c r="I261">
        <v>555.78</v>
      </c>
      <c r="J261">
        <v>3</v>
      </c>
      <c r="K261" s="1">
        <v>0.1</v>
      </c>
      <c r="L261">
        <v>96.93</v>
      </c>
      <c r="M261" t="s">
        <v>117</v>
      </c>
      <c r="N261" t="s">
        <v>39</v>
      </c>
      <c r="O261" t="str">
        <f t="shared" si="24"/>
        <v>12/04/2024</v>
      </c>
      <c r="P261">
        <f t="shared" si="25"/>
        <v>2024</v>
      </c>
      <c r="Q261">
        <f t="shared" si="26"/>
        <v>4</v>
      </c>
      <c r="R261" t="str">
        <f t="shared" si="27"/>
        <v>April</v>
      </c>
      <c r="S261" t="str">
        <f t="shared" si="28"/>
        <v>Low</v>
      </c>
      <c r="T261" s="1">
        <f t="shared" si="29"/>
        <v>0.17440354096944835</v>
      </c>
      <c r="U261">
        <f>SUM($I$2:I261)</f>
        <v>867311.56999999972</v>
      </c>
      <c r="V261" s="1">
        <f>Table1[[#This Row],[Running total ]]/SUM(I:I)</f>
        <v>0.25027350087754408</v>
      </c>
    </row>
    <row r="262" spans="1:22" x14ac:dyDescent="0.3">
      <c r="A262" t="s">
        <v>723</v>
      </c>
      <c r="B262" t="s">
        <v>232</v>
      </c>
      <c r="C262" t="s">
        <v>637</v>
      </c>
      <c r="D262" t="s">
        <v>27</v>
      </c>
      <c r="E262" t="s">
        <v>61</v>
      </c>
      <c r="F262" t="s">
        <v>55</v>
      </c>
      <c r="G262" t="s">
        <v>98</v>
      </c>
      <c r="H262" t="s">
        <v>154</v>
      </c>
      <c r="I262">
        <v>6562.26</v>
      </c>
      <c r="J262">
        <v>9</v>
      </c>
      <c r="K262" s="1">
        <v>0.15</v>
      </c>
      <c r="L262">
        <v>638.41999999999996</v>
      </c>
      <c r="M262" t="s">
        <v>63</v>
      </c>
      <c r="N262" t="s">
        <v>76</v>
      </c>
      <c r="O262" t="str">
        <f t="shared" si="24"/>
        <v>05/09/2024</v>
      </c>
      <c r="P262">
        <f t="shared" si="25"/>
        <v>2024</v>
      </c>
      <c r="Q262">
        <f t="shared" si="26"/>
        <v>9</v>
      </c>
      <c r="R262" t="str">
        <f t="shared" si="27"/>
        <v>September</v>
      </c>
      <c r="S262" t="str">
        <f t="shared" si="28"/>
        <v>Low</v>
      </c>
      <c r="T262" s="1">
        <f t="shared" si="29"/>
        <v>9.7286605529192674E-2</v>
      </c>
      <c r="U262">
        <f>SUM($I$2:I262)</f>
        <v>873873.82999999973</v>
      </c>
      <c r="V262" s="1">
        <f>Table1[[#This Row],[Running total ]]/SUM(I:I)</f>
        <v>0.2521671223172634</v>
      </c>
    </row>
    <row r="263" spans="1:22" x14ac:dyDescent="0.3">
      <c r="A263" t="s">
        <v>724</v>
      </c>
      <c r="B263" t="s">
        <v>624</v>
      </c>
      <c r="C263" t="s">
        <v>205</v>
      </c>
      <c r="D263" t="s">
        <v>17</v>
      </c>
      <c r="E263" t="s">
        <v>80</v>
      </c>
      <c r="F263" t="s">
        <v>67</v>
      </c>
      <c r="G263" t="s">
        <v>115</v>
      </c>
      <c r="H263" t="s">
        <v>116</v>
      </c>
      <c r="I263">
        <v>2862.05</v>
      </c>
      <c r="J263">
        <v>5</v>
      </c>
      <c r="K263" s="1">
        <v>0.25</v>
      </c>
      <c r="L263">
        <v>-123.84</v>
      </c>
      <c r="M263" t="s">
        <v>22</v>
      </c>
      <c r="N263" t="s">
        <v>76</v>
      </c>
      <c r="O263" t="str">
        <f t="shared" si="24"/>
        <v>30/08/2024</v>
      </c>
      <c r="P263">
        <f t="shared" si="25"/>
        <v>2024</v>
      </c>
      <c r="Q263">
        <f t="shared" si="26"/>
        <v>8</v>
      </c>
      <c r="R263" t="str">
        <f t="shared" si="27"/>
        <v>August</v>
      </c>
      <c r="S263" t="str">
        <f t="shared" si="28"/>
        <v>Low</v>
      </c>
      <c r="T263" s="1">
        <f t="shared" si="29"/>
        <v>-4.3269684317185232E-2</v>
      </c>
      <c r="U263">
        <f>SUM($I$2:I263)</f>
        <v>876735.87999999977</v>
      </c>
      <c r="V263" s="1">
        <f>Table1[[#This Row],[Running total ]]/SUM(I:I)</f>
        <v>0.252993002310063</v>
      </c>
    </row>
    <row r="264" spans="1:22" x14ac:dyDescent="0.3">
      <c r="A264" t="s">
        <v>725</v>
      </c>
      <c r="B264" t="s">
        <v>334</v>
      </c>
      <c r="C264" t="s">
        <v>159</v>
      </c>
      <c r="D264" t="s">
        <v>48</v>
      </c>
      <c r="E264" t="s">
        <v>73</v>
      </c>
      <c r="F264" t="s">
        <v>67</v>
      </c>
      <c r="G264" t="s">
        <v>68</v>
      </c>
      <c r="H264" t="s">
        <v>382</v>
      </c>
      <c r="I264">
        <v>1000.94</v>
      </c>
      <c r="J264">
        <v>2</v>
      </c>
      <c r="K264" s="1">
        <v>0.1</v>
      </c>
      <c r="L264">
        <v>176.34</v>
      </c>
      <c r="M264" t="s">
        <v>63</v>
      </c>
      <c r="N264" t="s">
        <v>39</v>
      </c>
      <c r="O264" t="str">
        <f t="shared" si="24"/>
        <v>27/02/2025</v>
      </c>
      <c r="P264">
        <f t="shared" si="25"/>
        <v>2025</v>
      </c>
      <c r="Q264">
        <f t="shared" si="26"/>
        <v>2</v>
      </c>
      <c r="R264" t="str">
        <f t="shared" si="27"/>
        <v>February</v>
      </c>
      <c r="S264" t="str">
        <f t="shared" si="28"/>
        <v>Low</v>
      </c>
      <c r="T264" s="1">
        <f t="shared" si="29"/>
        <v>0.17617439606769636</v>
      </c>
      <c r="U264">
        <f>SUM($I$2:I264)</f>
        <v>877736.81999999972</v>
      </c>
      <c r="V264" s="1">
        <f>Table1[[#This Row],[Running total ]]/SUM(I:I)</f>
        <v>0.25328183595028336</v>
      </c>
    </row>
    <row r="265" spans="1:22" x14ac:dyDescent="0.3">
      <c r="A265" t="s">
        <v>726</v>
      </c>
      <c r="B265" t="s">
        <v>610</v>
      </c>
      <c r="C265" t="s">
        <v>727</v>
      </c>
      <c r="D265" t="s">
        <v>48</v>
      </c>
      <c r="E265" t="s">
        <v>73</v>
      </c>
      <c r="F265" t="s">
        <v>55</v>
      </c>
      <c r="G265" t="s">
        <v>74</v>
      </c>
      <c r="H265" t="s">
        <v>133</v>
      </c>
      <c r="I265">
        <v>2710.4</v>
      </c>
      <c r="J265">
        <v>8</v>
      </c>
      <c r="K265" s="1">
        <v>0.15</v>
      </c>
      <c r="L265">
        <v>534.28</v>
      </c>
      <c r="M265" t="s">
        <v>195</v>
      </c>
      <c r="N265" t="s">
        <v>39</v>
      </c>
      <c r="O265" t="str">
        <f t="shared" si="24"/>
        <v>29/01/2025</v>
      </c>
      <c r="P265">
        <f t="shared" si="25"/>
        <v>2025</v>
      </c>
      <c r="Q265">
        <f t="shared" si="26"/>
        <v>1</v>
      </c>
      <c r="R265" t="str">
        <f t="shared" si="27"/>
        <v>January</v>
      </c>
      <c r="S265" t="str">
        <f t="shared" si="28"/>
        <v>Low</v>
      </c>
      <c r="T265" s="1">
        <f t="shared" si="29"/>
        <v>0.19712219598583233</v>
      </c>
      <c r="U265">
        <f>SUM($I$2:I265)</f>
        <v>880447.21999999974</v>
      </c>
      <c r="V265" s="1">
        <f>Table1[[#This Row],[Running total ]]/SUM(I:I)</f>
        <v>0.25406395545640104</v>
      </c>
    </row>
    <row r="266" spans="1:22" x14ac:dyDescent="0.3">
      <c r="A266" t="s">
        <v>728</v>
      </c>
      <c r="B266" t="s">
        <v>729</v>
      </c>
      <c r="C266" t="s">
        <v>35</v>
      </c>
      <c r="D266" t="s">
        <v>17</v>
      </c>
      <c r="E266" t="s">
        <v>97</v>
      </c>
      <c r="F266" t="s">
        <v>67</v>
      </c>
      <c r="G266" t="s">
        <v>85</v>
      </c>
      <c r="H266" t="s">
        <v>86</v>
      </c>
      <c r="I266">
        <v>2606.6999999999998</v>
      </c>
      <c r="J266">
        <v>5</v>
      </c>
      <c r="K266" s="1">
        <v>0.3</v>
      </c>
      <c r="L266">
        <v>-27.72</v>
      </c>
      <c r="M266" t="s">
        <v>38</v>
      </c>
      <c r="N266" t="s">
        <v>23</v>
      </c>
      <c r="O266" t="str">
        <f t="shared" si="24"/>
        <v>20/01/2025</v>
      </c>
      <c r="P266">
        <f t="shared" si="25"/>
        <v>2025</v>
      </c>
      <c r="Q266">
        <f t="shared" si="26"/>
        <v>1</v>
      </c>
      <c r="R266" t="str">
        <f t="shared" si="27"/>
        <v>January</v>
      </c>
      <c r="S266" t="str">
        <f t="shared" si="28"/>
        <v>Low</v>
      </c>
      <c r="T266" s="1">
        <f t="shared" si="29"/>
        <v>-1.0634135113361722E-2</v>
      </c>
      <c r="U266">
        <f>SUM($I$2:I266)</f>
        <v>883053.91999999969</v>
      </c>
      <c r="V266" s="1">
        <f>Table1[[#This Row],[Running total ]]/SUM(I:I)</f>
        <v>0.25481615104251254</v>
      </c>
    </row>
    <row r="267" spans="1:22" x14ac:dyDescent="0.3">
      <c r="A267" t="s">
        <v>730</v>
      </c>
      <c r="B267" t="s">
        <v>168</v>
      </c>
      <c r="C267" t="s">
        <v>316</v>
      </c>
      <c r="D267" t="s">
        <v>48</v>
      </c>
      <c r="E267" t="s">
        <v>84</v>
      </c>
      <c r="F267" t="s">
        <v>19</v>
      </c>
      <c r="G267" t="s">
        <v>36</v>
      </c>
      <c r="H267" t="s">
        <v>222</v>
      </c>
      <c r="I267">
        <v>316.25</v>
      </c>
      <c r="J267">
        <v>5</v>
      </c>
      <c r="K267" s="1">
        <v>0</v>
      </c>
      <c r="L267">
        <v>30.03</v>
      </c>
      <c r="M267" t="s">
        <v>117</v>
      </c>
      <c r="N267" t="s">
        <v>23</v>
      </c>
      <c r="O267" t="str">
        <f t="shared" si="24"/>
        <v>22/04/2025</v>
      </c>
      <c r="P267">
        <f t="shared" si="25"/>
        <v>2025</v>
      </c>
      <c r="Q267">
        <f t="shared" si="26"/>
        <v>4</v>
      </c>
      <c r="R267" t="str">
        <f t="shared" si="27"/>
        <v>April</v>
      </c>
      <c r="S267" t="str">
        <f t="shared" si="28"/>
        <v>No Discount</v>
      </c>
      <c r="T267" s="1">
        <f t="shared" si="29"/>
        <v>9.4956521739130439E-2</v>
      </c>
      <c r="U267">
        <f>SUM($I$2:I267)</f>
        <v>883370.16999999969</v>
      </c>
      <c r="V267" s="1">
        <f>Table1[[#This Row],[Running total ]]/SUM(I:I)</f>
        <v>0.25490740889884733</v>
      </c>
    </row>
    <row r="268" spans="1:22" x14ac:dyDescent="0.3">
      <c r="A268" t="s">
        <v>731</v>
      </c>
      <c r="B268" t="s">
        <v>732</v>
      </c>
      <c r="C268" t="s">
        <v>733</v>
      </c>
      <c r="D268" t="s">
        <v>137</v>
      </c>
      <c r="E268" t="s">
        <v>242</v>
      </c>
      <c r="F268" t="s">
        <v>67</v>
      </c>
      <c r="G268" t="s">
        <v>68</v>
      </c>
      <c r="H268" t="s">
        <v>69</v>
      </c>
      <c r="I268">
        <v>1954.28</v>
      </c>
      <c r="J268">
        <v>4</v>
      </c>
      <c r="K268" s="1">
        <v>0.1</v>
      </c>
      <c r="L268">
        <v>330.33</v>
      </c>
      <c r="M268" t="s">
        <v>87</v>
      </c>
      <c r="N268" t="s">
        <v>76</v>
      </c>
      <c r="O268" t="str">
        <f t="shared" si="24"/>
        <v>06/12/2024</v>
      </c>
      <c r="P268">
        <f t="shared" si="25"/>
        <v>2024</v>
      </c>
      <c r="Q268">
        <f t="shared" si="26"/>
        <v>12</v>
      </c>
      <c r="R268" t="str">
        <f t="shared" si="27"/>
        <v>December</v>
      </c>
      <c r="S268" t="str">
        <f t="shared" si="28"/>
        <v>Low</v>
      </c>
      <c r="T268" s="1">
        <f t="shared" si="29"/>
        <v>0.16902900300878071</v>
      </c>
      <c r="U268">
        <f>SUM($I$2:I268)</f>
        <v>885324.44999999972</v>
      </c>
      <c r="V268" s="1">
        <f>Table1[[#This Row],[Running total ]]/SUM(I:I)</f>
        <v>0.25547134060944926</v>
      </c>
    </row>
    <row r="269" spans="1:22" x14ac:dyDescent="0.3">
      <c r="A269" t="s">
        <v>734</v>
      </c>
      <c r="B269" t="s">
        <v>224</v>
      </c>
      <c r="C269" t="s">
        <v>218</v>
      </c>
      <c r="D269" t="s">
        <v>48</v>
      </c>
      <c r="E269" t="s">
        <v>49</v>
      </c>
      <c r="F269" t="s">
        <v>55</v>
      </c>
      <c r="G269" t="s">
        <v>98</v>
      </c>
      <c r="H269" t="s">
        <v>99</v>
      </c>
      <c r="I269">
        <v>9531.9</v>
      </c>
      <c r="J269">
        <v>10</v>
      </c>
      <c r="K269" s="1">
        <v>0.05</v>
      </c>
      <c r="L269">
        <v>1975.88</v>
      </c>
      <c r="M269" t="s">
        <v>44</v>
      </c>
      <c r="N269" t="s">
        <v>32</v>
      </c>
      <c r="O269" t="str">
        <f t="shared" si="24"/>
        <v>14/05/2025</v>
      </c>
      <c r="P269">
        <f t="shared" si="25"/>
        <v>2025</v>
      </c>
      <c r="Q269">
        <f t="shared" si="26"/>
        <v>5</v>
      </c>
      <c r="R269" t="str">
        <f t="shared" si="27"/>
        <v>May</v>
      </c>
      <c r="S269" t="str">
        <f t="shared" si="28"/>
        <v>High</v>
      </c>
      <c r="T269" s="1">
        <f t="shared" si="29"/>
        <v>0.20729130603552284</v>
      </c>
      <c r="U269">
        <f>SUM($I$2:I269)</f>
        <v>894856.34999999974</v>
      </c>
      <c r="V269" s="1">
        <f>Table1[[#This Row],[Running total ]]/SUM(I:I)</f>
        <v>0.25822188846967747</v>
      </c>
    </row>
    <row r="270" spans="1:22" x14ac:dyDescent="0.3">
      <c r="A270" t="s">
        <v>735</v>
      </c>
      <c r="B270" t="s">
        <v>736</v>
      </c>
      <c r="C270" t="s">
        <v>175</v>
      </c>
      <c r="D270" t="s">
        <v>27</v>
      </c>
      <c r="E270" t="s">
        <v>124</v>
      </c>
      <c r="F270" t="s">
        <v>19</v>
      </c>
      <c r="G270" t="s">
        <v>36</v>
      </c>
      <c r="H270" t="s">
        <v>37</v>
      </c>
      <c r="I270">
        <v>4440.7</v>
      </c>
      <c r="J270">
        <v>5</v>
      </c>
      <c r="K270" s="1">
        <v>0.3</v>
      </c>
      <c r="L270">
        <v>614.54</v>
      </c>
      <c r="M270" t="s">
        <v>44</v>
      </c>
      <c r="N270" t="s">
        <v>76</v>
      </c>
      <c r="O270" t="str">
        <f t="shared" si="24"/>
        <v>24/07/2024</v>
      </c>
      <c r="P270">
        <f t="shared" si="25"/>
        <v>2024</v>
      </c>
      <c r="Q270">
        <f t="shared" si="26"/>
        <v>7</v>
      </c>
      <c r="R270" t="str">
        <f t="shared" si="27"/>
        <v>July</v>
      </c>
      <c r="S270" t="str">
        <f t="shared" si="28"/>
        <v>Low</v>
      </c>
      <c r="T270" s="1">
        <f t="shared" si="29"/>
        <v>0.13838809196748261</v>
      </c>
      <c r="U270">
        <f>SUM($I$2:I270)</f>
        <v>899297.0499999997</v>
      </c>
      <c r="V270" s="1">
        <f>Table1[[#This Row],[Running total ]]/SUM(I:I)</f>
        <v>0.25950330748193268</v>
      </c>
    </row>
    <row r="271" spans="1:22" x14ac:dyDescent="0.3">
      <c r="A271" t="s">
        <v>737</v>
      </c>
      <c r="B271" t="s">
        <v>521</v>
      </c>
      <c r="C271" t="s">
        <v>26</v>
      </c>
      <c r="D271" t="s">
        <v>27</v>
      </c>
      <c r="E271" t="s">
        <v>43</v>
      </c>
      <c r="F271" t="s">
        <v>67</v>
      </c>
      <c r="G271" t="s">
        <v>115</v>
      </c>
      <c r="H271" t="s">
        <v>178</v>
      </c>
      <c r="I271">
        <v>3007.44</v>
      </c>
      <c r="J271">
        <v>6</v>
      </c>
      <c r="K271" s="1">
        <v>0.2</v>
      </c>
      <c r="L271">
        <v>-115.81</v>
      </c>
      <c r="M271" t="s">
        <v>117</v>
      </c>
      <c r="N271" t="s">
        <v>76</v>
      </c>
      <c r="O271" t="str">
        <f t="shared" si="24"/>
        <v>07/03/2024</v>
      </c>
      <c r="P271">
        <f t="shared" si="25"/>
        <v>2024</v>
      </c>
      <c r="Q271">
        <f t="shared" si="26"/>
        <v>3</v>
      </c>
      <c r="R271" t="str">
        <f t="shared" si="27"/>
        <v>March</v>
      </c>
      <c r="S271" t="str">
        <f t="shared" si="28"/>
        <v>Low</v>
      </c>
      <c r="T271" s="1">
        <f t="shared" si="29"/>
        <v>-3.8507833905248319E-2</v>
      </c>
      <c r="U271">
        <f>SUM($I$2:I271)</f>
        <v>902304.48999999964</v>
      </c>
      <c r="V271" s="1">
        <f>Table1[[#This Row],[Running total ]]/SUM(I:I)</f>
        <v>0.2603711415608429</v>
      </c>
    </row>
    <row r="272" spans="1:22" x14ac:dyDescent="0.3">
      <c r="A272" t="s">
        <v>738</v>
      </c>
      <c r="B272" t="s">
        <v>739</v>
      </c>
      <c r="C272" t="s">
        <v>583</v>
      </c>
      <c r="D272" t="s">
        <v>27</v>
      </c>
      <c r="E272" t="s">
        <v>61</v>
      </c>
      <c r="F272" t="s">
        <v>67</v>
      </c>
      <c r="G272" t="s">
        <v>115</v>
      </c>
      <c r="H272" t="s">
        <v>178</v>
      </c>
      <c r="I272">
        <v>6130.08</v>
      </c>
      <c r="J272">
        <v>6</v>
      </c>
      <c r="K272" s="1">
        <v>0.1</v>
      </c>
      <c r="L272">
        <v>384.87</v>
      </c>
      <c r="M272" t="s">
        <v>195</v>
      </c>
      <c r="N272" t="s">
        <v>32</v>
      </c>
      <c r="O272" t="str">
        <f t="shared" si="24"/>
        <v>21/04/2024</v>
      </c>
      <c r="P272">
        <f t="shared" si="25"/>
        <v>2024</v>
      </c>
      <c r="Q272">
        <f t="shared" si="26"/>
        <v>4</v>
      </c>
      <c r="R272" t="str">
        <f t="shared" si="27"/>
        <v>April</v>
      </c>
      <c r="S272" t="str">
        <f t="shared" si="28"/>
        <v>Low</v>
      </c>
      <c r="T272" s="1">
        <f t="shared" si="29"/>
        <v>6.2783846214078773E-2</v>
      </c>
      <c r="U272">
        <f>SUM($I$2:I272)</f>
        <v>908434.5699999996</v>
      </c>
      <c r="V272" s="1">
        <f>Table1[[#This Row],[Running total ]]/SUM(I:I)</f>
        <v>0.26214005210617258</v>
      </c>
    </row>
    <row r="273" spans="1:22" x14ac:dyDescent="0.3">
      <c r="A273" t="s">
        <v>740</v>
      </c>
      <c r="B273" t="s">
        <v>741</v>
      </c>
      <c r="C273" t="s">
        <v>583</v>
      </c>
      <c r="D273" t="s">
        <v>48</v>
      </c>
      <c r="E273" t="s">
        <v>110</v>
      </c>
      <c r="F273" t="s">
        <v>19</v>
      </c>
      <c r="G273" t="s">
        <v>36</v>
      </c>
      <c r="H273" t="s">
        <v>111</v>
      </c>
      <c r="I273">
        <v>325.98</v>
      </c>
      <c r="J273">
        <v>1</v>
      </c>
      <c r="K273" s="1">
        <v>0.15</v>
      </c>
      <c r="L273">
        <v>4.68</v>
      </c>
      <c r="M273" t="s">
        <v>31</v>
      </c>
      <c r="N273" t="s">
        <v>76</v>
      </c>
      <c r="O273" t="str">
        <f t="shared" si="24"/>
        <v>01/02/2024</v>
      </c>
      <c r="P273">
        <f t="shared" si="25"/>
        <v>2024</v>
      </c>
      <c r="Q273">
        <f t="shared" si="26"/>
        <v>2</v>
      </c>
      <c r="R273" t="str">
        <f t="shared" si="27"/>
        <v>February</v>
      </c>
      <c r="S273" t="str">
        <f t="shared" si="28"/>
        <v>Low</v>
      </c>
      <c r="T273" s="1">
        <f t="shared" si="29"/>
        <v>1.4356709000552179E-2</v>
      </c>
      <c r="U273">
        <f>SUM($I$2:I273)</f>
        <v>908760.54999999958</v>
      </c>
      <c r="V273" s="1">
        <f>Table1[[#This Row],[Running total ]]/SUM(I:I)</f>
        <v>0.26223411767457727</v>
      </c>
    </row>
    <row r="274" spans="1:22" x14ac:dyDescent="0.3">
      <c r="A274" t="s">
        <v>742</v>
      </c>
      <c r="B274" t="s">
        <v>568</v>
      </c>
      <c r="C274" t="s">
        <v>186</v>
      </c>
      <c r="D274" t="s">
        <v>48</v>
      </c>
      <c r="E274" t="s">
        <v>84</v>
      </c>
      <c r="F274" t="s">
        <v>67</v>
      </c>
      <c r="G274" t="s">
        <v>115</v>
      </c>
      <c r="H274" t="s">
        <v>116</v>
      </c>
      <c r="I274">
        <v>78.540000000000006</v>
      </c>
      <c r="J274">
        <v>2</v>
      </c>
      <c r="K274" s="1">
        <v>0.15</v>
      </c>
      <c r="L274">
        <v>9.51</v>
      </c>
      <c r="M274" t="s">
        <v>107</v>
      </c>
      <c r="N274" t="s">
        <v>23</v>
      </c>
      <c r="O274" t="str">
        <f t="shared" si="24"/>
        <v>19/12/2025</v>
      </c>
      <c r="P274">
        <f t="shared" si="25"/>
        <v>2025</v>
      </c>
      <c r="Q274">
        <f t="shared" si="26"/>
        <v>12</v>
      </c>
      <c r="R274" t="str">
        <f t="shared" si="27"/>
        <v>December</v>
      </c>
      <c r="S274" t="str">
        <f t="shared" si="28"/>
        <v>Low</v>
      </c>
      <c r="T274" s="1">
        <f t="shared" si="29"/>
        <v>0.12108479755538577</v>
      </c>
      <c r="U274">
        <f>SUM($I$2:I274)</f>
        <v>908839.08999999962</v>
      </c>
      <c r="V274" s="1">
        <f>Table1[[#This Row],[Running total ]]/SUM(I:I)</f>
        <v>0.2622567813648114</v>
      </c>
    </row>
    <row r="275" spans="1:22" x14ac:dyDescent="0.3">
      <c r="A275" t="s">
        <v>743</v>
      </c>
      <c r="B275" t="s">
        <v>744</v>
      </c>
      <c r="C275" t="s">
        <v>745</v>
      </c>
      <c r="D275" t="s">
        <v>17</v>
      </c>
      <c r="E275" t="s">
        <v>54</v>
      </c>
      <c r="F275" t="s">
        <v>19</v>
      </c>
      <c r="G275" t="s">
        <v>20</v>
      </c>
      <c r="H275" t="s">
        <v>239</v>
      </c>
      <c r="I275">
        <v>2913.24</v>
      </c>
      <c r="J275">
        <v>3</v>
      </c>
      <c r="K275" s="1">
        <v>0.3</v>
      </c>
      <c r="L275">
        <v>-141.18</v>
      </c>
      <c r="M275" t="s">
        <v>195</v>
      </c>
      <c r="N275" t="s">
        <v>39</v>
      </c>
      <c r="O275" t="str">
        <f t="shared" si="24"/>
        <v>14/06/2024</v>
      </c>
      <c r="P275">
        <f t="shared" si="25"/>
        <v>2024</v>
      </c>
      <c r="Q275">
        <f t="shared" si="26"/>
        <v>6</v>
      </c>
      <c r="R275" t="str">
        <f t="shared" si="27"/>
        <v>June</v>
      </c>
      <c r="S275" t="str">
        <f t="shared" si="28"/>
        <v>Low</v>
      </c>
      <c r="T275" s="1">
        <f t="shared" si="29"/>
        <v>-4.846150677596079E-2</v>
      </c>
      <c r="U275">
        <f>SUM($I$2:I275)</f>
        <v>911752.32999999961</v>
      </c>
      <c r="V275" s="1">
        <f>Table1[[#This Row],[Running total ]]/SUM(I:I)</f>
        <v>0.26309743286643555</v>
      </c>
    </row>
    <row r="276" spans="1:22" x14ac:dyDescent="0.3">
      <c r="A276" t="s">
        <v>746</v>
      </c>
      <c r="B276" t="s">
        <v>495</v>
      </c>
      <c r="C276" t="s">
        <v>367</v>
      </c>
      <c r="D276" t="s">
        <v>27</v>
      </c>
      <c r="E276" t="s">
        <v>43</v>
      </c>
      <c r="F276" t="s">
        <v>55</v>
      </c>
      <c r="G276" t="s">
        <v>98</v>
      </c>
      <c r="H276" t="s">
        <v>99</v>
      </c>
      <c r="I276">
        <v>9035.2800000000007</v>
      </c>
      <c r="J276">
        <v>8</v>
      </c>
      <c r="K276" s="1">
        <v>0.1</v>
      </c>
      <c r="L276">
        <v>293</v>
      </c>
      <c r="M276" t="s">
        <v>63</v>
      </c>
      <c r="N276" t="s">
        <v>32</v>
      </c>
      <c r="O276" t="str">
        <f t="shared" si="24"/>
        <v>29/11/2024</v>
      </c>
      <c r="P276">
        <f t="shared" si="25"/>
        <v>2024</v>
      </c>
      <c r="Q276">
        <f t="shared" si="26"/>
        <v>11</v>
      </c>
      <c r="R276" t="str">
        <f t="shared" si="27"/>
        <v>November</v>
      </c>
      <c r="S276" t="str">
        <f t="shared" si="28"/>
        <v>Low</v>
      </c>
      <c r="T276" s="1">
        <f t="shared" si="29"/>
        <v>3.242843608609805E-2</v>
      </c>
      <c r="U276">
        <f>SUM($I$2:I276)</f>
        <v>920787.60999999964</v>
      </c>
      <c r="V276" s="1">
        <f>Table1[[#This Row],[Running total ]]/SUM(I:I)</f>
        <v>0.26570467487176108</v>
      </c>
    </row>
    <row r="277" spans="1:22" x14ac:dyDescent="0.3">
      <c r="A277" t="s">
        <v>747</v>
      </c>
      <c r="B277" t="s">
        <v>748</v>
      </c>
      <c r="C277" t="s">
        <v>749</v>
      </c>
      <c r="D277" t="s">
        <v>137</v>
      </c>
      <c r="E277" t="s">
        <v>142</v>
      </c>
      <c r="F277" t="s">
        <v>55</v>
      </c>
      <c r="G277" t="s">
        <v>98</v>
      </c>
      <c r="H277" t="s">
        <v>154</v>
      </c>
      <c r="I277">
        <v>8986.24</v>
      </c>
      <c r="J277">
        <v>8</v>
      </c>
      <c r="K277" s="1">
        <v>0.2</v>
      </c>
      <c r="L277">
        <v>103.91</v>
      </c>
      <c r="M277" t="s">
        <v>63</v>
      </c>
      <c r="N277" t="s">
        <v>39</v>
      </c>
      <c r="O277" t="str">
        <f t="shared" si="24"/>
        <v>25/09/2025</v>
      </c>
      <c r="P277">
        <f t="shared" si="25"/>
        <v>2025</v>
      </c>
      <c r="Q277">
        <f t="shared" si="26"/>
        <v>9</v>
      </c>
      <c r="R277" t="str">
        <f t="shared" si="27"/>
        <v>September</v>
      </c>
      <c r="S277" t="str">
        <f t="shared" si="28"/>
        <v>Low</v>
      </c>
      <c r="T277" s="1">
        <f t="shared" si="29"/>
        <v>1.156323445623531E-2</v>
      </c>
      <c r="U277">
        <f>SUM($I$2:I277)</f>
        <v>929773.84999999963</v>
      </c>
      <c r="V277" s="1">
        <f>Table1[[#This Row],[Running total ]]/SUM(I:I)</f>
        <v>0.26829776577740394</v>
      </c>
    </row>
    <row r="278" spans="1:22" x14ac:dyDescent="0.3">
      <c r="A278" t="s">
        <v>750</v>
      </c>
      <c r="B278" t="s">
        <v>751</v>
      </c>
      <c r="C278" t="s">
        <v>551</v>
      </c>
      <c r="D278" t="s">
        <v>17</v>
      </c>
      <c r="E278" t="s">
        <v>54</v>
      </c>
      <c r="F278" t="s">
        <v>67</v>
      </c>
      <c r="G278" t="s">
        <v>115</v>
      </c>
      <c r="H278" t="s">
        <v>178</v>
      </c>
      <c r="I278">
        <v>9611.82</v>
      </c>
      <c r="J278">
        <v>9</v>
      </c>
      <c r="K278" s="1">
        <v>0</v>
      </c>
      <c r="L278">
        <v>3432.98</v>
      </c>
      <c r="M278" t="s">
        <v>107</v>
      </c>
      <c r="N278" t="s">
        <v>76</v>
      </c>
      <c r="O278" t="str">
        <f t="shared" si="24"/>
        <v>09/01/2025</v>
      </c>
      <c r="P278">
        <f t="shared" si="25"/>
        <v>2025</v>
      </c>
      <c r="Q278">
        <f t="shared" si="26"/>
        <v>1</v>
      </c>
      <c r="R278" t="str">
        <f t="shared" si="27"/>
        <v>January</v>
      </c>
      <c r="S278" t="str">
        <f t="shared" si="28"/>
        <v>No Discount</v>
      </c>
      <c r="T278" s="1">
        <f t="shared" si="29"/>
        <v>0.35716232721794627</v>
      </c>
      <c r="U278">
        <f>SUM($I$2:I278)</f>
        <v>939385.66999999958</v>
      </c>
      <c r="V278" s="1">
        <f>Table1[[#This Row],[Running total ]]/SUM(I:I)</f>
        <v>0.2710713755439666</v>
      </c>
    </row>
    <row r="279" spans="1:22" x14ac:dyDescent="0.3">
      <c r="A279" t="s">
        <v>752</v>
      </c>
      <c r="B279" t="s">
        <v>753</v>
      </c>
      <c r="C279" t="s">
        <v>343</v>
      </c>
      <c r="D279" t="s">
        <v>27</v>
      </c>
      <c r="E279" t="s">
        <v>28</v>
      </c>
      <c r="F279" t="s">
        <v>55</v>
      </c>
      <c r="G279" t="s">
        <v>98</v>
      </c>
      <c r="H279" t="s">
        <v>154</v>
      </c>
      <c r="I279">
        <v>6228.12</v>
      </c>
      <c r="J279">
        <v>6</v>
      </c>
      <c r="K279" s="1">
        <v>0</v>
      </c>
      <c r="L279">
        <v>1660.22</v>
      </c>
      <c r="M279" t="s">
        <v>63</v>
      </c>
      <c r="N279" t="s">
        <v>32</v>
      </c>
      <c r="O279" t="str">
        <f t="shared" si="24"/>
        <v>14/09/2024</v>
      </c>
      <c r="P279">
        <f t="shared" si="25"/>
        <v>2024</v>
      </c>
      <c r="Q279">
        <f t="shared" si="26"/>
        <v>9</v>
      </c>
      <c r="R279" t="str">
        <f t="shared" si="27"/>
        <v>September</v>
      </c>
      <c r="S279" t="str">
        <f t="shared" si="28"/>
        <v>No Discount</v>
      </c>
      <c r="T279" s="1">
        <f t="shared" si="29"/>
        <v>0.2665684026640463</v>
      </c>
      <c r="U279">
        <f>SUM($I$2:I279)</f>
        <v>945613.78999999957</v>
      </c>
      <c r="V279" s="1">
        <f>Table1[[#This Row],[Running total ]]/SUM(I:I)</f>
        <v>0.27286857674616599</v>
      </c>
    </row>
    <row r="280" spans="1:22" x14ac:dyDescent="0.3">
      <c r="A280" t="s">
        <v>754</v>
      </c>
      <c r="B280" t="s">
        <v>553</v>
      </c>
      <c r="C280" t="s">
        <v>120</v>
      </c>
      <c r="D280" t="s">
        <v>48</v>
      </c>
      <c r="E280" t="s">
        <v>49</v>
      </c>
      <c r="F280" t="s">
        <v>19</v>
      </c>
      <c r="G280" t="s">
        <v>20</v>
      </c>
      <c r="H280" t="s">
        <v>21</v>
      </c>
      <c r="I280">
        <v>3499.32</v>
      </c>
      <c r="J280">
        <v>6</v>
      </c>
      <c r="K280" s="1">
        <v>0</v>
      </c>
      <c r="L280">
        <v>507.36</v>
      </c>
      <c r="M280" t="s">
        <v>38</v>
      </c>
      <c r="N280" t="s">
        <v>76</v>
      </c>
      <c r="O280" t="str">
        <f t="shared" si="24"/>
        <v>25/04/2024</v>
      </c>
      <c r="P280">
        <f t="shared" si="25"/>
        <v>2024</v>
      </c>
      <c r="Q280">
        <f t="shared" si="26"/>
        <v>4</v>
      </c>
      <c r="R280" t="str">
        <f t="shared" si="27"/>
        <v>April</v>
      </c>
      <c r="S280" t="str">
        <f t="shared" si="28"/>
        <v>No Discount</v>
      </c>
      <c r="T280" s="1">
        <f t="shared" si="29"/>
        <v>0.1449881691300024</v>
      </c>
      <c r="U280">
        <f>SUM($I$2:I280)</f>
        <v>949113.10999999952</v>
      </c>
      <c r="V280" s="1">
        <f>Table1[[#This Row],[Running total ]]/SUM(I:I)</f>
        <v>0.27387834889424284</v>
      </c>
    </row>
    <row r="281" spans="1:22" x14ac:dyDescent="0.3">
      <c r="A281" t="s">
        <v>755</v>
      </c>
      <c r="B281" t="s">
        <v>527</v>
      </c>
      <c r="C281" t="s">
        <v>343</v>
      </c>
      <c r="D281" t="s">
        <v>17</v>
      </c>
      <c r="E281" t="s">
        <v>54</v>
      </c>
      <c r="F281" t="s">
        <v>19</v>
      </c>
      <c r="G281" t="s">
        <v>29</v>
      </c>
      <c r="H281" t="s">
        <v>50</v>
      </c>
      <c r="I281">
        <v>7594.02</v>
      </c>
      <c r="J281">
        <v>7</v>
      </c>
      <c r="K281" s="1">
        <v>0.15</v>
      </c>
      <c r="L281">
        <v>516.94000000000005</v>
      </c>
      <c r="M281" t="s">
        <v>143</v>
      </c>
      <c r="N281" t="s">
        <v>76</v>
      </c>
      <c r="O281" t="str">
        <f t="shared" si="24"/>
        <v>02/05/2025</v>
      </c>
      <c r="P281">
        <f t="shared" si="25"/>
        <v>2025</v>
      </c>
      <c r="Q281">
        <f t="shared" si="26"/>
        <v>5</v>
      </c>
      <c r="R281" t="str">
        <f t="shared" si="27"/>
        <v>May</v>
      </c>
      <c r="S281" t="str">
        <f t="shared" si="28"/>
        <v>Low</v>
      </c>
      <c r="T281" s="1">
        <f t="shared" si="29"/>
        <v>6.8071982955009339E-2</v>
      </c>
      <c r="U281">
        <f>SUM($I$2:I281)</f>
        <v>956707.12999999954</v>
      </c>
      <c r="V281" s="1">
        <f>Table1[[#This Row],[Running total ]]/SUM(I:I)</f>
        <v>0.27606969746709087</v>
      </c>
    </row>
    <row r="282" spans="1:22" x14ac:dyDescent="0.3">
      <c r="A282" t="s">
        <v>756</v>
      </c>
      <c r="B282" t="s">
        <v>757</v>
      </c>
      <c r="C282" t="s">
        <v>198</v>
      </c>
      <c r="D282" t="s">
        <v>27</v>
      </c>
      <c r="E282" t="s">
        <v>61</v>
      </c>
      <c r="F282" t="s">
        <v>55</v>
      </c>
      <c r="G282" t="s">
        <v>74</v>
      </c>
      <c r="H282" t="s">
        <v>75</v>
      </c>
      <c r="I282">
        <v>6642.08</v>
      </c>
      <c r="J282">
        <v>8</v>
      </c>
      <c r="K282" s="1">
        <v>0.2</v>
      </c>
      <c r="L282">
        <v>790.12</v>
      </c>
      <c r="M282" t="s">
        <v>143</v>
      </c>
      <c r="N282" t="s">
        <v>23</v>
      </c>
      <c r="O282" t="str">
        <f t="shared" si="24"/>
        <v>05/06/2025</v>
      </c>
      <c r="P282">
        <f t="shared" si="25"/>
        <v>2025</v>
      </c>
      <c r="Q282">
        <f t="shared" si="26"/>
        <v>6</v>
      </c>
      <c r="R282" t="str">
        <f t="shared" si="27"/>
        <v>June</v>
      </c>
      <c r="S282" t="str">
        <f t="shared" si="28"/>
        <v>Low</v>
      </c>
      <c r="T282" s="1">
        <f t="shared" si="29"/>
        <v>0.11895671235516585</v>
      </c>
      <c r="U282">
        <f>SUM($I$2:I282)</f>
        <v>963349.2099999995</v>
      </c>
      <c r="V282" s="1">
        <f>Table1[[#This Row],[Running total ]]/SUM(I:I)</f>
        <v>0.27798635195690552</v>
      </c>
    </row>
    <row r="283" spans="1:22" x14ac:dyDescent="0.3">
      <c r="A283" t="s">
        <v>758</v>
      </c>
      <c r="B283" t="s">
        <v>145</v>
      </c>
      <c r="C283" t="s">
        <v>259</v>
      </c>
      <c r="D283" t="s">
        <v>137</v>
      </c>
      <c r="E283" t="s">
        <v>142</v>
      </c>
      <c r="F283" t="s">
        <v>55</v>
      </c>
      <c r="G283" t="s">
        <v>74</v>
      </c>
      <c r="H283" t="s">
        <v>133</v>
      </c>
      <c r="I283">
        <v>3514.35</v>
      </c>
      <c r="J283">
        <v>5</v>
      </c>
      <c r="K283" s="1">
        <v>0.25</v>
      </c>
      <c r="L283">
        <v>-171.13</v>
      </c>
      <c r="M283" t="s">
        <v>87</v>
      </c>
      <c r="N283" t="s">
        <v>76</v>
      </c>
      <c r="O283" t="str">
        <f t="shared" si="24"/>
        <v>22/12/2024</v>
      </c>
      <c r="P283">
        <f t="shared" si="25"/>
        <v>2024</v>
      </c>
      <c r="Q283">
        <f t="shared" si="26"/>
        <v>12</v>
      </c>
      <c r="R283" t="str">
        <f t="shared" si="27"/>
        <v>December</v>
      </c>
      <c r="S283" t="str">
        <f t="shared" si="28"/>
        <v>Low</v>
      </c>
      <c r="T283" s="1">
        <f t="shared" si="29"/>
        <v>-4.8694637699716874E-2</v>
      </c>
      <c r="U283">
        <f>SUM($I$2:I283)</f>
        <v>966863.55999999947</v>
      </c>
      <c r="V283" s="1">
        <f>Table1[[#This Row],[Running total ]]/SUM(I:I)</f>
        <v>0.2790004611977277</v>
      </c>
    </row>
    <row r="284" spans="1:22" x14ac:dyDescent="0.3">
      <c r="A284" t="s">
        <v>759</v>
      </c>
      <c r="B284" t="s">
        <v>760</v>
      </c>
      <c r="C284" t="s">
        <v>701</v>
      </c>
      <c r="D284" t="s">
        <v>48</v>
      </c>
      <c r="E284" t="s">
        <v>84</v>
      </c>
      <c r="F284" t="s">
        <v>55</v>
      </c>
      <c r="G284" t="s">
        <v>74</v>
      </c>
      <c r="H284" t="s">
        <v>133</v>
      </c>
      <c r="I284">
        <v>5785.38</v>
      </c>
      <c r="J284">
        <v>9</v>
      </c>
      <c r="K284" s="1">
        <v>0.25</v>
      </c>
      <c r="L284">
        <v>-984.2</v>
      </c>
      <c r="M284" t="s">
        <v>107</v>
      </c>
      <c r="N284" t="s">
        <v>23</v>
      </c>
      <c r="O284" t="str">
        <f t="shared" si="24"/>
        <v>30/04/2024</v>
      </c>
      <c r="P284">
        <f t="shared" si="25"/>
        <v>2024</v>
      </c>
      <c r="Q284">
        <f t="shared" si="26"/>
        <v>4</v>
      </c>
      <c r="R284" t="str">
        <f t="shared" si="27"/>
        <v>April</v>
      </c>
      <c r="S284" t="str">
        <f t="shared" si="28"/>
        <v>Low</v>
      </c>
      <c r="T284" s="1">
        <f t="shared" si="29"/>
        <v>-0.17011847104252445</v>
      </c>
      <c r="U284">
        <f>SUM($I$2:I284)</f>
        <v>972648.93999999948</v>
      </c>
      <c r="V284" s="1">
        <f>Table1[[#This Row],[Running total ]]/SUM(I:I)</f>
        <v>0.28066990428668237</v>
      </c>
    </row>
    <row r="285" spans="1:22" x14ac:dyDescent="0.3">
      <c r="A285" t="s">
        <v>761</v>
      </c>
      <c r="B285" t="s">
        <v>417</v>
      </c>
      <c r="C285" t="s">
        <v>350</v>
      </c>
      <c r="D285" t="s">
        <v>48</v>
      </c>
      <c r="E285" t="s">
        <v>110</v>
      </c>
      <c r="F285" t="s">
        <v>19</v>
      </c>
      <c r="G285" t="s">
        <v>36</v>
      </c>
      <c r="H285" t="s">
        <v>222</v>
      </c>
      <c r="I285">
        <v>1766.61</v>
      </c>
      <c r="J285">
        <v>9</v>
      </c>
      <c r="K285" s="1">
        <v>0.25</v>
      </c>
      <c r="L285">
        <v>-227.11</v>
      </c>
      <c r="M285" t="s">
        <v>22</v>
      </c>
      <c r="N285" t="s">
        <v>23</v>
      </c>
      <c r="O285" t="str">
        <f t="shared" si="24"/>
        <v>01/03/2024</v>
      </c>
      <c r="P285">
        <f t="shared" si="25"/>
        <v>2024</v>
      </c>
      <c r="Q285">
        <f t="shared" si="26"/>
        <v>3</v>
      </c>
      <c r="R285" t="str">
        <f t="shared" si="27"/>
        <v>March</v>
      </c>
      <c r="S285" t="str">
        <f t="shared" si="28"/>
        <v>Low</v>
      </c>
      <c r="T285" s="1">
        <f t="shared" si="29"/>
        <v>-0.1285569537136097</v>
      </c>
      <c r="U285">
        <f>SUM($I$2:I285)</f>
        <v>974415.54999999946</v>
      </c>
      <c r="V285" s="1">
        <f>Table1[[#This Row],[Running total ]]/SUM(I:I)</f>
        <v>0.28117968149325795</v>
      </c>
    </row>
    <row r="286" spans="1:22" x14ac:dyDescent="0.3">
      <c r="A286" t="s">
        <v>762</v>
      </c>
      <c r="B286" t="s">
        <v>270</v>
      </c>
      <c r="C286" t="s">
        <v>60</v>
      </c>
      <c r="D286" t="s">
        <v>48</v>
      </c>
      <c r="E286" t="s">
        <v>73</v>
      </c>
      <c r="F286" t="s">
        <v>67</v>
      </c>
      <c r="G286" t="s">
        <v>115</v>
      </c>
      <c r="H286" t="s">
        <v>116</v>
      </c>
      <c r="I286">
        <v>150.61000000000001</v>
      </c>
      <c r="J286">
        <v>1</v>
      </c>
      <c r="K286" s="1">
        <v>0.3</v>
      </c>
      <c r="L286">
        <v>-37.54</v>
      </c>
      <c r="M286" t="s">
        <v>63</v>
      </c>
      <c r="N286" t="s">
        <v>32</v>
      </c>
      <c r="O286" t="str">
        <f t="shared" si="24"/>
        <v>18/02/2025</v>
      </c>
      <c r="P286">
        <f t="shared" si="25"/>
        <v>2025</v>
      </c>
      <c r="Q286">
        <f t="shared" si="26"/>
        <v>2</v>
      </c>
      <c r="R286" t="str">
        <f t="shared" si="27"/>
        <v>February</v>
      </c>
      <c r="S286" t="str">
        <f t="shared" si="28"/>
        <v>Low</v>
      </c>
      <c r="T286" s="1">
        <f t="shared" si="29"/>
        <v>-0.24925303764690257</v>
      </c>
      <c r="U286">
        <f>SUM($I$2:I286)</f>
        <v>974566.15999999945</v>
      </c>
      <c r="V286" s="1">
        <f>Table1[[#This Row],[Running total ]]/SUM(I:I)</f>
        <v>0.28122314187505265</v>
      </c>
    </row>
    <row r="287" spans="1:22" x14ac:dyDescent="0.3">
      <c r="A287" t="s">
        <v>763</v>
      </c>
      <c r="B287" t="s">
        <v>634</v>
      </c>
      <c r="C287" t="s">
        <v>252</v>
      </c>
      <c r="D287" t="s">
        <v>48</v>
      </c>
      <c r="E287" t="s">
        <v>110</v>
      </c>
      <c r="F287" t="s">
        <v>19</v>
      </c>
      <c r="G287" t="s">
        <v>36</v>
      </c>
      <c r="H287" t="s">
        <v>222</v>
      </c>
      <c r="I287">
        <v>4844.22</v>
      </c>
      <c r="J287">
        <v>6</v>
      </c>
      <c r="K287" s="1">
        <v>0.2</v>
      </c>
      <c r="L287">
        <v>-314.5</v>
      </c>
      <c r="M287" t="s">
        <v>63</v>
      </c>
      <c r="N287" t="s">
        <v>39</v>
      </c>
      <c r="O287" t="str">
        <f t="shared" si="24"/>
        <v>07/11/2024</v>
      </c>
      <c r="P287">
        <f t="shared" si="25"/>
        <v>2024</v>
      </c>
      <c r="Q287">
        <f t="shared" si="26"/>
        <v>11</v>
      </c>
      <c r="R287" t="str">
        <f t="shared" si="27"/>
        <v>November</v>
      </c>
      <c r="S287" t="str">
        <f t="shared" si="28"/>
        <v>Low</v>
      </c>
      <c r="T287" s="1">
        <f t="shared" si="29"/>
        <v>-6.4922732658714913E-2</v>
      </c>
      <c r="U287">
        <f>SUM($I$2:I287)</f>
        <v>979410.37999999942</v>
      </c>
      <c r="V287" s="1">
        <f>Table1[[#This Row],[Running total ]]/SUM(I:I)</f>
        <v>0.28262100158355513</v>
      </c>
    </row>
    <row r="288" spans="1:22" x14ac:dyDescent="0.3">
      <c r="A288" t="s">
        <v>764</v>
      </c>
      <c r="B288" t="s">
        <v>765</v>
      </c>
      <c r="C288" t="s">
        <v>766</v>
      </c>
      <c r="D288" t="s">
        <v>137</v>
      </c>
      <c r="E288" t="s">
        <v>138</v>
      </c>
      <c r="F288" t="s">
        <v>55</v>
      </c>
      <c r="G288" t="s">
        <v>98</v>
      </c>
      <c r="H288" t="s">
        <v>154</v>
      </c>
      <c r="I288">
        <v>1203.3599999999999</v>
      </c>
      <c r="J288">
        <v>2</v>
      </c>
      <c r="K288" s="1">
        <v>0.2</v>
      </c>
      <c r="L288">
        <v>191.63</v>
      </c>
      <c r="M288" t="s">
        <v>107</v>
      </c>
      <c r="N288" t="s">
        <v>76</v>
      </c>
      <c r="O288" t="str">
        <f t="shared" si="24"/>
        <v>09/04/2024</v>
      </c>
      <c r="P288">
        <f t="shared" si="25"/>
        <v>2024</v>
      </c>
      <c r="Q288">
        <f t="shared" si="26"/>
        <v>4</v>
      </c>
      <c r="R288" t="str">
        <f t="shared" si="27"/>
        <v>April</v>
      </c>
      <c r="S288" t="str">
        <f t="shared" si="28"/>
        <v>Low</v>
      </c>
      <c r="T288" s="1">
        <f t="shared" si="29"/>
        <v>0.15924577848690336</v>
      </c>
      <c r="U288">
        <f>SUM($I$2:I288)</f>
        <v>980613.73999999941</v>
      </c>
      <c r="V288" s="1">
        <f>Table1[[#This Row],[Running total ]]/SUM(I:I)</f>
        <v>0.28296824602307757</v>
      </c>
    </row>
    <row r="289" spans="1:22" x14ac:dyDescent="0.3">
      <c r="A289" t="s">
        <v>767</v>
      </c>
      <c r="B289" t="s">
        <v>607</v>
      </c>
      <c r="C289" t="s">
        <v>768</v>
      </c>
      <c r="D289" t="s">
        <v>48</v>
      </c>
      <c r="E289" t="s">
        <v>49</v>
      </c>
      <c r="F289" t="s">
        <v>67</v>
      </c>
      <c r="G289" t="s">
        <v>115</v>
      </c>
      <c r="H289" t="s">
        <v>178</v>
      </c>
      <c r="I289">
        <v>4331.32</v>
      </c>
      <c r="J289">
        <v>7</v>
      </c>
      <c r="K289" s="1">
        <v>0.3</v>
      </c>
      <c r="L289">
        <v>-774.81</v>
      </c>
      <c r="M289" t="s">
        <v>63</v>
      </c>
      <c r="N289" t="s">
        <v>76</v>
      </c>
      <c r="O289" t="str">
        <f t="shared" si="24"/>
        <v>05/12/2025</v>
      </c>
      <c r="P289">
        <f t="shared" si="25"/>
        <v>2025</v>
      </c>
      <c r="Q289">
        <f t="shared" si="26"/>
        <v>12</v>
      </c>
      <c r="R289" t="str">
        <f t="shared" si="27"/>
        <v>December</v>
      </c>
      <c r="S289" t="str">
        <f t="shared" si="28"/>
        <v>Low</v>
      </c>
      <c r="T289" s="1">
        <f t="shared" si="29"/>
        <v>-0.17888542061080687</v>
      </c>
      <c r="U289">
        <f>SUM($I$2:I289)</f>
        <v>984945.05999999936</v>
      </c>
      <c r="V289" s="1">
        <f>Table1[[#This Row],[Running total ]]/SUM(I:I)</f>
        <v>0.28421810208094261</v>
      </c>
    </row>
    <row r="290" spans="1:22" x14ac:dyDescent="0.3">
      <c r="A290" t="s">
        <v>769</v>
      </c>
      <c r="B290" t="s">
        <v>689</v>
      </c>
      <c r="C290" t="s">
        <v>601</v>
      </c>
      <c r="D290" t="s">
        <v>17</v>
      </c>
      <c r="E290" t="s">
        <v>18</v>
      </c>
      <c r="F290" t="s">
        <v>55</v>
      </c>
      <c r="G290" t="s">
        <v>74</v>
      </c>
      <c r="H290" t="s">
        <v>133</v>
      </c>
      <c r="I290">
        <v>5096.5200000000004</v>
      </c>
      <c r="J290">
        <v>9</v>
      </c>
      <c r="K290" s="1">
        <v>0.3</v>
      </c>
      <c r="L290">
        <v>610.91</v>
      </c>
      <c r="M290" t="s">
        <v>107</v>
      </c>
      <c r="N290" t="s">
        <v>39</v>
      </c>
      <c r="O290" t="str">
        <f t="shared" si="24"/>
        <v>09/05/2025</v>
      </c>
      <c r="P290">
        <f t="shared" si="25"/>
        <v>2025</v>
      </c>
      <c r="Q290">
        <f t="shared" si="26"/>
        <v>5</v>
      </c>
      <c r="R290" t="str">
        <f t="shared" si="27"/>
        <v>May</v>
      </c>
      <c r="S290" t="str">
        <f t="shared" si="28"/>
        <v>Low</v>
      </c>
      <c r="T290" s="1">
        <f t="shared" si="29"/>
        <v>0.11986806683776378</v>
      </c>
      <c r="U290">
        <f>SUM($I$2:I290)</f>
        <v>990041.57999999938</v>
      </c>
      <c r="V290" s="1">
        <f>Table1[[#This Row],[Running total ]]/SUM(I:I)</f>
        <v>0.28568876608083876</v>
      </c>
    </row>
    <row r="291" spans="1:22" x14ac:dyDescent="0.3">
      <c r="A291" t="s">
        <v>770</v>
      </c>
      <c r="B291" t="s">
        <v>596</v>
      </c>
      <c r="C291" t="s">
        <v>771</v>
      </c>
      <c r="D291" t="s">
        <v>48</v>
      </c>
      <c r="E291" t="s">
        <v>73</v>
      </c>
      <c r="F291" t="s">
        <v>67</v>
      </c>
      <c r="G291" t="s">
        <v>68</v>
      </c>
      <c r="H291" t="s">
        <v>69</v>
      </c>
      <c r="I291">
        <v>4739.1000000000004</v>
      </c>
      <c r="J291">
        <v>6</v>
      </c>
      <c r="K291" s="1">
        <v>0.3</v>
      </c>
      <c r="L291">
        <v>73.430000000000007</v>
      </c>
      <c r="M291" t="s">
        <v>63</v>
      </c>
      <c r="N291" t="s">
        <v>39</v>
      </c>
      <c r="O291" t="str">
        <f t="shared" si="24"/>
        <v>21/11/2024</v>
      </c>
      <c r="P291">
        <f t="shared" si="25"/>
        <v>2024</v>
      </c>
      <c r="Q291">
        <f t="shared" si="26"/>
        <v>11</v>
      </c>
      <c r="R291" t="str">
        <f t="shared" si="27"/>
        <v>November</v>
      </c>
      <c r="S291" t="str">
        <f t="shared" si="28"/>
        <v>Low</v>
      </c>
      <c r="T291" s="1">
        <f t="shared" si="29"/>
        <v>1.5494503175708468E-2</v>
      </c>
      <c r="U291">
        <f>SUM($I$2:I291)</f>
        <v>994780.67999999935</v>
      </c>
      <c r="V291" s="1">
        <f>Table1[[#This Row],[Running total ]]/SUM(I:I)</f>
        <v>0.28705629211073913</v>
      </c>
    </row>
    <row r="292" spans="1:22" x14ac:dyDescent="0.3">
      <c r="A292" t="s">
        <v>772</v>
      </c>
      <c r="B292" t="s">
        <v>405</v>
      </c>
      <c r="C292" t="s">
        <v>530</v>
      </c>
      <c r="D292" t="s">
        <v>17</v>
      </c>
      <c r="E292" t="s">
        <v>80</v>
      </c>
      <c r="F292" t="s">
        <v>67</v>
      </c>
      <c r="G292" t="s">
        <v>85</v>
      </c>
      <c r="H292" t="s">
        <v>86</v>
      </c>
      <c r="I292">
        <v>188.91</v>
      </c>
      <c r="J292">
        <v>1</v>
      </c>
      <c r="K292" s="1">
        <v>0.1</v>
      </c>
      <c r="L292">
        <v>-1.83</v>
      </c>
      <c r="M292" t="s">
        <v>44</v>
      </c>
      <c r="N292" t="s">
        <v>39</v>
      </c>
      <c r="O292" t="str">
        <f t="shared" si="24"/>
        <v>24/12/2025</v>
      </c>
      <c r="P292">
        <f t="shared" si="25"/>
        <v>2025</v>
      </c>
      <c r="Q292">
        <f t="shared" si="26"/>
        <v>12</v>
      </c>
      <c r="R292" t="str">
        <f t="shared" si="27"/>
        <v>December</v>
      </c>
      <c r="S292" t="str">
        <f t="shared" si="28"/>
        <v>Low</v>
      </c>
      <c r="T292" s="1">
        <f t="shared" si="29"/>
        <v>-9.6871526123550895E-3</v>
      </c>
      <c r="U292">
        <f>SUM($I$2:I292)</f>
        <v>994969.58999999939</v>
      </c>
      <c r="V292" s="1">
        <f>Table1[[#This Row],[Running total ]]/SUM(I:I)</f>
        <v>0.28711080443213111</v>
      </c>
    </row>
    <row r="293" spans="1:22" x14ac:dyDescent="0.3">
      <c r="A293" t="s">
        <v>773</v>
      </c>
      <c r="B293" t="s">
        <v>576</v>
      </c>
      <c r="C293" t="s">
        <v>601</v>
      </c>
      <c r="D293" t="s">
        <v>27</v>
      </c>
      <c r="E293" t="s">
        <v>124</v>
      </c>
      <c r="F293" t="s">
        <v>55</v>
      </c>
      <c r="G293" t="s">
        <v>74</v>
      </c>
      <c r="H293" t="s">
        <v>272</v>
      </c>
      <c r="I293">
        <v>1066.8699999999999</v>
      </c>
      <c r="J293">
        <v>7</v>
      </c>
      <c r="K293" s="1">
        <v>0.2</v>
      </c>
      <c r="L293">
        <v>-157.91999999999999</v>
      </c>
      <c r="M293" t="s">
        <v>44</v>
      </c>
      <c r="N293" t="s">
        <v>32</v>
      </c>
      <c r="O293" t="str">
        <f t="shared" si="24"/>
        <v>10/10/2024</v>
      </c>
      <c r="P293">
        <f t="shared" si="25"/>
        <v>2024</v>
      </c>
      <c r="Q293">
        <f t="shared" si="26"/>
        <v>10</v>
      </c>
      <c r="R293" t="str">
        <f t="shared" si="27"/>
        <v>October</v>
      </c>
      <c r="S293" t="str">
        <f t="shared" si="28"/>
        <v>Low</v>
      </c>
      <c r="T293" s="1">
        <f t="shared" si="29"/>
        <v>-0.14802178334754937</v>
      </c>
      <c r="U293">
        <f>SUM($I$2:I293)</f>
        <v>996036.45999999938</v>
      </c>
      <c r="V293" s="1">
        <f>Table1[[#This Row],[Running total ]]/SUM(I:I)</f>
        <v>0.28741866299082786</v>
      </c>
    </row>
    <row r="294" spans="1:22" x14ac:dyDescent="0.3">
      <c r="A294" t="s">
        <v>774</v>
      </c>
      <c r="B294" t="s">
        <v>775</v>
      </c>
      <c r="C294" t="s">
        <v>60</v>
      </c>
      <c r="D294" t="s">
        <v>27</v>
      </c>
      <c r="E294" t="s">
        <v>28</v>
      </c>
      <c r="F294" t="s">
        <v>67</v>
      </c>
      <c r="G294" t="s">
        <v>85</v>
      </c>
      <c r="H294" t="s">
        <v>125</v>
      </c>
      <c r="I294">
        <v>1545.87</v>
      </c>
      <c r="J294">
        <v>3</v>
      </c>
      <c r="K294" s="1">
        <v>0.25</v>
      </c>
      <c r="L294">
        <v>-148.79</v>
      </c>
      <c r="M294" t="s">
        <v>38</v>
      </c>
      <c r="N294" t="s">
        <v>39</v>
      </c>
      <c r="O294" t="str">
        <f t="shared" si="24"/>
        <v>02/12/2025</v>
      </c>
      <c r="P294">
        <f t="shared" si="25"/>
        <v>2025</v>
      </c>
      <c r="Q294">
        <f t="shared" si="26"/>
        <v>12</v>
      </c>
      <c r="R294" t="str">
        <f t="shared" si="27"/>
        <v>December</v>
      </c>
      <c r="S294" t="str">
        <f t="shared" si="28"/>
        <v>Low</v>
      </c>
      <c r="T294" s="1">
        <f t="shared" si="29"/>
        <v>-9.6250008086061573E-2</v>
      </c>
      <c r="U294">
        <f>SUM($I$2:I294)</f>
        <v>997582.32999999938</v>
      </c>
      <c r="V294" s="1">
        <f>Table1[[#This Row],[Running total ]]/SUM(I:I)</f>
        <v>0.28786474293508774</v>
      </c>
    </row>
    <row r="295" spans="1:22" x14ac:dyDescent="0.3">
      <c r="A295" t="s">
        <v>776</v>
      </c>
      <c r="B295" t="s">
        <v>716</v>
      </c>
      <c r="C295" t="s">
        <v>332</v>
      </c>
      <c r="D295" t="s">
        <v>27</v>
      </c>
      <c r="E295" t="s">
        <v>61</v>
      </c>
      <c r="F295" t="s">
        <v>19</v>
      </c>
      <c r="G295" t="s">
        <v>36</v>
      </c>
      <c r="H295" t="s">
        <v>37</v>
      </c>
      <c r="I295">
        <v>6220.89</v>
      </c>
      <c r="J295">
        <v>9</v>
      </c>
      <c r="K295" s="1">
        <v>0.15</v>
      </c>
      <c r="L295">
        <v>1603.6</v>
      </c>
      <c r="M295" t="s">
        <v>143</v>
      </c>
      <c r="N295" t="s">
        <v>32</v>
      </c>
      <c r="O295" t="str">
        <f t="shared" si="24"/>
        <v>24/06/2024</v>
      </c>
      <c r="P295">
        <f t="shared" si="25"/>
        <v>2024</v>
      </c>
      <c r="Q295">
        <f t="shared" si="26"/>
        <v>6</v>
      </c>
      <c r="R295" t="str">
        <f t="shared" si="27"/>
        <v>June</v>
      </c>
      <c r="S295" t="str">
        <f t="shared" si="28"/>
        <v>Low</v>
      </c>
      <c r="T295" s="1">
        <f t="shared" si="29"/>
        <v>0.25777662038711502</v>
      </c>
      <c r="U295">
        <f>SUM($I$2:I295)</f>
        <v>1003803.2199999994</v>
      </c>
      <c r="V295" s="1">
        <f>Table1[[#This Row],[Running total ]]/SUM(I:I)</f>
        <v>0.28965985783119608</v>
      </c>
    </row>
    <row r="296" spans="1:22" x14ac:dyDescent="0.3">
      <c r="A296" t="s">
        <v>777</v>
      </c>
      <c r="B296" t="s">
        <v>778</v>
      </c>
      <c r="C296" t="s">
        <v>259</v>
      </c>
      <c r="D296" t="s">
        <v>17</v>
      </c>
      <c r="E296" t="s">
        <v>18</v>
      </c>
      <c r="F296" t="s">
        <v>55</v>
      </c>
      <c r="G296" t="s">
        <v>56</v>
      </c>
      <c r="H296" t="s">
        <v>62</v>
      </c>
      <c r="I296">
        <v>1767.54</v>
      </c>
      <c r="J296">
        <v>3</v>
      </c>
      <c r="K296" s="1">
        <v>0.25</v>
      </c>
      <c r="L296">
        <v>-41.73</v>
      </c>
      <c r="M296" t="s">
        <v>117</v>
      </c>
      <c r="N296" t="s">
        <v>32</v>
      </c>
      <c r="O296" t="str">
        <f t="shared" si="24"/>
        <v>17/01/2024</v>
      </c>
      <c r="P296">
        <f t="shared" si="25"/>
        <v>2024</v>
      </c>
      <c r="Q296">
        <f t="shared" si="26"/>
        <v>1</v>
      </c>
      <c r="R296" t="str">
        <f t="shared" si="27"/>
        <v>January</v>
      </c>
      <c r="S296" t="str">
        <f t="shared" si="28"/>
        <v>Low</v>
      </c>
      <c r="T296" s="1">
        <f t="shared" si="29"/>
        <v>-2.3609083811398892E-2</v>
      </c>
      <c r="U296">
        <f>SUM($I$2:I296)</f>
        <v>1005570.7599999994</v>
      </c>
      <c r="V296" s="1">
        <f>Table1[[#This Row],[Running total ]]/SUM(I:I)</f>
        <v>0.29016990340079585</v>
      </c>
    </row>
    <row r="297" spans="1:22" x14ac:dyDescent="0.3">
      <c r="A297" t="s">
        <v>779</v>
      </c>
      <c r="B297" t="s">
        <v>780</v>
      </c>
      <c r="C297" t="s">
        <v>90</v>
      </c>
      <c r="D297" t="s">
        <v>27</v>
      </c>
      <c r="E297" t="s">
        <v>124</v>
      </c>
      <c r="F297" t="s">
        <v>67</v>
      </c>
      <c r="G297" t="s">
        <v>85</v>
      </c>
      <c r="H297" t="s">
        <v>86</v>
      </c>
      <c r="I297">
        <v>360.34</v>
      </c>
      <c r="J297">
        <v>2</v>
      </c>
      <c r="K297" s="1">
        <v>0.2</v>
      </c>
      <c r="L297">
        <v>58.46</v>
      </c>
      <c r="M297" t="s">
        <v>44</v>
      </c>
      <c r="N297" t="s">
        <v>39</v>
      </c>
      <c r="O297" t="str">
        <f t="shared" si="24"/>
        <v>13/12/2024</v>
      </c>
      <c r="P297">
        <f t="shared" si="25"/>
        <v>2024</v>
      </c>
      <c r="Q297">
        <f t="shared" si="26"/>
        <v>12</v>
      </c>
      <c r="R297" t="str">
        <f t="shared" si="27"/>
        <v>December</v>
      </c>
      <c r="S297" t="str">
        <f t="shared" si="28"/>
        <v>Low</v>
      </c>
      <c r="T297" s="1">
        <f t="shared" si="29"/>
        <v>0.16223566631514683</v>
      </c>
      <c r="U297">
        <f>SUM($I$2:I297)</f>
        <v>1005931.0999999994</v>
      </c>
      <c r="V297" s="1">
        <f>Table1[[#This Row],[Running total ]]/SUM(I:I)</f>
        <v>0.29027388397297499</v>
      </c>
    </row>
    <row r="298" spans="1:22" x14ac:dyDescent="0.3">
      <c r="A298" t="s">
        <v>781</v>
      </c>
      <c r="B298" t="s">
        <v>782</v>
      </c>
      <c r="C298" t="s">
        <v>157</v>
      </c>
      <c r="D298" t="s">
        <v>48</v>
      </c>
      <c r="E298" t="s">
        <v>84</v>
      </c>
      <c r="F298" t="s">
        <v>67</v>
      </c>
      <c r="G298" t="s">
        <v>115</v>
      </c>
      <c r="H298" t="s">
        <v>116</v>
      </c>
      <c r="I298">
        <v>66.62</v>
      </c>
      <c r="J298">
        <v>1</v>
      </c>
      <c r="K298" s="1">
        <v>0.3</v>
      </c>
      <c r="L298">
        <v>-14.15</v>
      </c>
      <c r="M298" t="s">
        <v>143</v>
      </c>
      <c r="N298" t="s">
        <v>39</v>
      </c>
      <c r="O298" t="str">
        <f t="shared" si="24"/>
        <v>01/04/2024</v>
      </c>
      <c r="P298">
        <f t="shared" si="25"/>
        <v>2024</v>
      </c>
      <c r="Q298">
        <f t="shared" si="26"/>
        <v>4</v>
      </c>
      <c r="R298" t="str">
        <f t="shared" si="27"/>
        <v>April</v>
      </c>
      <c r="S298" t="str">
        <f t="shared" si="28"/>
        <v>Low</v>
      </c>
      <c r="T298" s="1">
        <f t="shared" si="29"/>
        <v>-0.21239867907535273</v>
      </c>
      <c r="U298">
        <f>SUM($I$2:I298)</f>
        <v>1005997.7199999994</v>
      </c>
      <c r="V298" s="1">
        <f>Table1[[#This Row],[Running total ]]/SUM(I:I)</f>
        <v>0.29029310799950153</v>
      </c>
    </row>
    <row r="299" spans="1:22" x14ac:dyDescent="0.3">
      <c r="A299" t="s">
        <v>783</v>
      </c>
      <c r="B299" t="s">
        <v>784</v>
      </c>
      <c r="C299" t="s">
        <v>672</v>
      </c>
      <c r="D299" t="s">
        <v>48</v>
      </c>
      <c r="E299" t="s">
        <v>110</v>
      </c>
      <c r="F299" t="s">
        <v>67</v>
      </c>
      <c r="G299" t="s">
        <v>115</v>
      </c>
      <c r="H299" t="s">
        <v>116</v>
      </c>
      <c r="I299">
        <v>2104.5300000000002</v>
      </c>
      <c r="J299">
        <v>3</v>
      </c>
      <c r="K299" s="1">
        <v>0.3</v>
      </c>
      <c r="L299">
        <v>56.54</v>
      </c>
      <c r="M299" t="s">
        <v>63</v>
      </c>
      <c r="N299" t="s">
        <v>39</v>
      </c>
      <c r="O299" t="str">
        <f t="shared" si="24"/>
        <v>23/12/2024</v>
      </c>
      <c r="P299">
        <f t="shared" si="25"/>
        <v>2024</v>
      </c>
      <c r="Q299">
        <f t="shared" si="26"/>
        <v>12</v>
      </c>
      <c r="R299" t="str">
        <f t="shared" si="27"/>
        <v>December</v>
      </c>
      <c r="S299" t="str">
        <f t="shared" si="28"/>
        <v>Low</v>
      </c>
      <c r="T299" s="1">
        <f t="shared" si="29"/>
        <v>2.6865856034363964E-2</v>
      </c>
      <c r="U299">
        <f>SUM($I$2:I299)</f>
        <v>1008102.2499999994</v>
      </c>
      <c r="V299" s="1">
        <f>Table1[[#This Row],[Running total ]]/SUM(I:I)</f>
        <v>0.29090039620943725</v>
      </c>
    </row>
    <row r="300" spans="1:22" x14ac:dyDescent="0.3">
      <c r="A300" t="s">
        <v>785</v>
      </c>
      <c r="B300" t="s">
        <v>410</v>
      </c>
      <c r="C300" t="s">
        <v>548</v>
      </c>
      <c r="D300" t="s">
        <v>137</v>
      </c>
      <c r="E300" t="s">
        <v>160</v>
      </c>
      <c r="F300" t="s">
        <v>67</v>
      </c>
      <c r="G300" t="s">
        <v>68</v>
      </c>
      <c r="H300" t="s">
        <v>382</v>
      </c>
      <c r="I300">
        <v>4220.6499999999996</v>
      </c>
      <c r="J300">
        <v>7</v>
      </c>
      <c r="K300" s="1">
        <v>0.15</v>
      </c>
      <c r="L300">
        <v>734.31</v>
      </c>
      <c r="M300" t="s">
        <v>87</v>
      </c>
      <c r="N300" t="s">
        <v>76</v>
      </c>
      <c r="O300" t="str">
        <f t="shared" si="24"/>
        <v>24/05/2024</v>
      </c>
      <c r="P300">
        <f t="shared" si="25"/>
        <v>2024</v>
      </c>
      <c r="Q300">
        <f t="shared" si="26"/>
        <v>5</v>
      </c>
      <c r="R300" t="str">
        <f t="shared" si="27"/>
        <v>May</v>
      </c>
      <c r="S300" t="str">
        <f t="shared" si="28"/>
        <v>Low</v>
      </c>
      <c r="T300" s="1">
        <f t="shared" si="29"/>
        <v>0.17398031108952414</v>
      </c>
      <c r="U300">
        <f>SUM($I$2:I300)</f>
        <v>1012322.8999999994</v>
      </c>
      <c r="V300" s="1">
        <f>Table1[[#This Row],[Running total ]]/SUM(I:I)</f>
        <v>0.29211831706742697</v>
      </c>
    </row>
    <row r="301" spans="1:22" x14ac:dyDescent="0.3">
      <c r="A301" t="s">
        <v>786</v>
      </c>
      <c r="B301" t="s">
        <v>299</v>
      </c>
      <c r="C301" t="s">
        <v>238</v>
      </c>
      <c r="D301" t="s">
        <v>17</v>
      </c>
      <c r="E301" t="s">
        <v>97</v>
      </c>
      <c r="F301" t="s">
        <v>19</v>
      </c>
      <c r="G301" t="s">
        <v>36</v>
      </c>
      <c r="H301" t="s">
        <v>222</v>
      </c>
      <c r="I301">
        <v>3936.48</v>
      </c>
      <c r="J301">
        <v>8</v>
      </c>
      <c r="K301" s="1">
        <v>0</v>
      </c>
      <c r="L301">
        <v>821.47</v>
      </c>
      <c r="M301" t="s">
        <v>31</v>
      </c>
      <c r="N301" t="s">
        <v>32</v>
      </c>
      <c r="O301" t="str">
        <f t="shared" si="24"/>
        <v>27/04/2024</v>
      </c>
      <c r="P301">
        <f t="shared" si="25"/>
        <v>2024</v>
      </c>
      <c r="Q301">
        <f t="shared" si="26"/>
        <v>4</v>
      </c>
      <c r="R301" t="str">
        <f t="shared" si="27"/>
        <v>April</v>
      </c>
      <c r="S301" t="str">
        <f t="shared" si="28"/>
        <v>No Discount</v>
      </c>
      <c r="T301" s="1">
        <f t="shared" si="29"/>
        <v>0.20868135999674836</v>
      </c>
      <c r="U301">
        <f>SUM($I$2:I301)</f>
        <v>1016259.3799999994</v>
      </c>
      <c r="V301" s="1">
        <f>Table1[[#This Row],[Running total ]]/SUM(I:I)</f>
        <v>0.29325423715060356</v>
      </c>
    </row>
    <row r="302" spans="1:22" x14ac:dyDescent="0.3">
      <c r="A302" t="s">
        <v>787</v>
      </c>
      <c r="B302" t="s">
        <v>700</v>
      </c>
      <c r="C302" t="s">
        <v>684</v>
      </c>
      <c r="D302" t="s">
        <v>27</v>
      </c>
      <c r="E302" t="s">
        <v>61</v>
      </c>
      <c r="F302" t="s">
        <v>55</v>
      </c>
      <c r="G302" t="s">
        <v>74</v>
      </c>
      <c r="H302" t="s">
        <v>133</v>
      </c>
      <c r="I302">
        <v>913</v>
      </c>
      <c r="J302">
        <v>4</v>
      </c>
      <c r="K302" s="1">
        <v>0.3</v>
      </c>
      <c r="L302">
        <v>-17.29</v>
      </c>
      <c r="M302" t="s">
        <v>44</v>
      </c>
      <c r="N302" t="s">
        <v>76</v>
      </c>
      <c r="O302" t="str">
        <f t="shared" si="24"/>
        <v>16/01/2024</v>
      </c>
      <c r="P302">
        <f t="shared" si="25"/>
        <v>2024</v>
      </c>
      <c r="Q302">
        <f t="shared" si="26"/>
        <v>1</v>
      </c>
      <c r="R302" t="str">
        <f t="shared" si="27"/>
        <v>January</v>
      </c>
      <c r="S302" t="str">
        <f t="shared" si="28"/>
        <v>Low</v>
      </c>
      <c r="T302" s="1">
        <f t="shared" si="29"/>
        <v>-1.8937568455640742E-2</v>
      </c>
      <c r="U302">
        <f>SUM($I$2:I302)</f>
        <v>1017172.3799999994</v>
      </c>
      <c r="V302" s="1">
        <f>Table1[[#This Row],[Running total ]]/SUM(I:I)</f>
        <v>0.29351769461410909</v>
      </c>
    </row>
    <row r="303" spans="1:22" x14ac:dyDescent="0.3">
      <c r="A303" t="s">
        <v>788</v>
      </c>
      <c r="B303" t="s">
        <v>362</v>
      </c>
      <c r="C303" t="s">
        <v>652</v>
      </c>
      <c r="D303" t="s">
        <v>27</v>
      </c>
      <c r="E303" t="s">
        <v>124</v>
      </c>
      <c r="F303" t="s">
        <v>55</v>
      </c>
      <c r="G303" t="s">
        <v>56</v>
      </c>
      <c r="H303" t="s">
        <v>57</v>
      </c>
      <c r="I303">
        <v>1344.54</v>
      </c>
      <c r="J303">
        <v>3</v>
      </c>
      <c r="K303" s="1">
        <v>0.3</v>
      </c>
      <c r="L303">
        <v>44.87</v>
      </c>
      <c r="M303" t="s">
        <v>38</v>
      </c>
      <c r="N303" t="s">
        <v>32</v>
      </c>
      <c r="O303" t="str">
        <f t="shared" si="24"/>
        <v>15/02/2025</v>
      </c>
      <c r="P303">
        <f t="shared" si="25"/>
        <v>2025</v>
      </c>
      <c r="Q303">
        <f t="shared" si="26"/>
        <v>2</v>
      </c>
      <c r="R303" t="str">
        <f t="shared" si="27"/>
        <v>February</v>
      </c>
      <c r="S303" t="str">
        <f t="shared" si="28"/>
        <v>Low</v>
      </c>
      <c r="T303" s="1">
        <f t="shared" si="29"/>
        <v>3.3372008270486558E-2</v>
      </c>
      <c r="U303">
        <f>SUM($I$2:I303)</f>
        <v>1018516.9199999995</v>
      </c>
      <c r="V303" s="1">
        <f>Table1[[#This Row],[Running total ]]/SUM(I:I)</f>
        <v>0.29390567829207376</v>
      </c>
    </row>
    <row r="304" spans="1:22" x14ac:dyDescent="0.3">
      <c r="A304" t="s">
        <v>789</v>
      </c>
      <c r="B304" t="s">
        <v>790</v>
      </c>
      <c r="C304" t="s">
        <v>294</v>
      </c>
      <c r="D304" t="s">
        <v>17</v>
      </c>
      <c r="E304" t="s">
        <v>97</v>
      </c>
      <c r="F304" t="s">
        <v>67</v>
      </c>
      <c r="G304" t="s">
        <v>68</v>
      </c>
      <c r="H304" t="s">
        <v>382</v>
      </c>
      <c r="I304">
        <v>48.06</v>
      </c>
      <c r="J304">
        <v>3</v>
      </c>
      <c r="K304" s="1">
        <v>0.3</v>
      </c>
      <c r="L304">
        <v>-8.16</v>
      </c>
      <c r="M304" t="s">
        <v>31</v>
      </c>
      <c r="N304" t="s">
        <v>39</v>
      </c>
      <c r="O304" t="str">
        <f t="shared" si="24"/>
        <v>05/02/2025</v>
      </c>
      <c r="P304">
        <f t="shared" si="25"/>
        <v>2025</v>
      </c>
      <c r="Q304">
        <f t="shared" si="26"/>
        <v>2</v>
      </c>
      <c r="R304" t="str">
        <f t="shared" si="27"/>
        <v>February</v>
      </c>
      <c r="S304" t="str">
        <f t="shared" si="28"/>
        <v>Low</v>
      </c>
      <c r="T304" s="1">
        <f t="shared" si="29"/>
        <v>-0.16978776529338327</v>
      </c>
      <c r="U304">
        <f>SUM($I$2:I304)</f>
        <v>1018564.9799999995</v>
      </c>
      <c r="V304" s="1">
        <f>Table1[[#This Row],[Running total ]]/SUM(I:I)</f>
        <v>0.29391954660061276</v>
      </c>
    </row>
    <row r="305" spans="1:22" x14ac:dyDescent="0.3">
      <c r="A305" t="s">
        <v>791</v>
      </c>
      <c r="B305" t="s">
        <v>596</v>
      </c>
      <c r="C305" t="s">
        <v>792</v>
      </c>
      <c r="D305" t="s">
        <v>17</v>
      </c>
      <c r="E305" t="s">
        <v>54</v>
      </c>
      <c r="F305" t="s">
        <v>67</v>
      </c>
      <c r="G305" t="s">
        <v>115</v>
      </c>
      <c r="H305" t="s">
        <v>212</v>
      </c>
      <c r="I305">
        <v>2545.56</v>
      </c>
      <c r="J305">
        <v>3</v>
      </c>
      <c r="K305" s="1">
        <v>0.3</v>
      </c>
      <c r="L305">
        <v>-138.38</v>
      </c>
      <c r="M305" t="s">
        <v>63</v>
      </c>
      <c r="N305" t="s">
        <v>23</v>
      </c>
      <c r="O305" t="str">
        <f t="shared" si="24"/>
        <v>21/11/2024</v>
      </c>
      <c r="P305">
        <f t="shared" si="25"/>
        <v>2024</v>
      </c>
      <c r="Q305">
        <f t="shared" si="26"/>
        <v>11</v>
      </c>
      <c r="R305" t="str">
        <f t="shared" si="27"/>
        <v>November</v>
      </c>
      <c r="S305" t="str">
        <f t="shared" si="28"/>
        <v>Low</v>
      </c>
      <c r="T305" s="1">
        <f t="shared" si="29"/>
        <v>-5.4361319316771163E-2</v>
      </c>
      <c r="U305">
        <f>SUM($I$2:I305)</f>
        <v>1021110.5399999996</v>
      </c>
      <c r="V305" s="1">
        <f>Table1[[#This Row],[Running total ]]/SUM(I:I)</f>
        <v>0.29465409948210358</v>
      </c>
    </row>
    <row r="306" spans="1:22" x14ac:dyDescent="0.3">
      <c r="A306" t="s">
        <v>793</v>
      </c>
      <c r="B306" t="s">
        <v>794</v>
      </c>
      <c r="C306" t="s">
        <v>157</v>
      </c>
      <c r="D306" t="s">
        <v>137</v>
      </c>
      <c r="E306" t="s">
        <v>160</v>
      </c>
      <c r="F306" t="s">
        <v>67</v>
      </c>
      <c r="G306" t="s">
        <v>115</v>
      </c>
      <c r="H306" t="s">
        <v>178</v>
      </c>
      <c r="I306">
        <v>3423.44</v>
      </c>
      <c r="J306">
        <v>8</v>
      </c>
      <c r="K306" s="1">
        <v>0.25</v>
      </c>
      <c r="L306">
        <v>-100.09</v>
      </c>
      <c r="M306" t="s">
        <v>22</v>
      </c>
      <c r="N306" t="s">
        <v>32</v>
      </c>
      <c r="O306" t="str">
        <f t="shared" si="24"/>
        <v>22/09/2025</v>
      </c>
      <c r="P306">
        <f t="shared" si="25"/>
        <v>2025</v>
      </c>
      <c r="Q306">
        <f t="shared" si="26"/>
        <v>9</v>
      </c>
      <c r="R306" t="str">
        <f t="shared" si="27"/>
        <v>September</v>
      </c>
      <c r="S306" t="str">
        <f t="shared" si="28"/>
        <v>Low</v>
      </c>
      <c r="T306" s="1">
        <f t="shared" si="29"/>
        <v>-2.9236674222419556E-2</v>
      </c>
      <c r="U306">
        <f>SUM($I$2:I306)</f>
        <v>1024533.9799999995</v>
      </c>
      <c r="V306" s="1">
        <f>Table1[[#This Row],[Running total ]]/SUM(I:I)</f>
        <v>0.29564197551590793</v>
      </c>
    </row>
    <row r="307" spans="1:22" x14ac:dyDescent="0.3">
      <c r="A307" t="s">
        <v>795</v>
      </c>
      <c r="B307" t="s">
        <v>796</v>
      </c>
      <c r="C307" t="s">
        <v>797</v>
      </c>
      <c r="D307" t="s">
        <v>48</v>
      </c>
      <c r="E307" t="s">
        <v>73</v>
      </c>
      <c r="F307" t="s">
        <v>67</v>
      </c>
      <c r="G307" t="s">
        <v>115</v>
      </c>
      <c r="H307" t="s">
        <v>116</v>
      </c>
      <c r="I307">
        <v>5921.3</v>
      </c>
      <c r="J307">
        <v>7</v>
      </c>
      <c r="K307" s="1">
        <v>0</v>
      </c>
      <c r="L307">
        <v>1155.19</v>
      </c>
      <c r="M307" t="s">
        <v>44</v>
      </c>
      <c r="N307" t="s">
        <v>32</v>
      </c>
      <c r="O307" t="str">
        <f t="shared" si="24"/>
        <v>03/04/2024</v>
      </c>
      <c r="P307">
        <f t="shared" si="25"/>
        <v>2024</v>
      </c>
      <c r="Q307">
        <f t="shared" si="26"/>
        <v>4</v>
      </c>
      <c r="R307" t="str">
        <f t="shared" si="27"/>
        <v>April</v>
      </c>
      <c r="S307" t="str">
        <f t="shared" si="28"/>
        <v>No Discount</v>
      </c>
      <c r="T307" s="1">
        <f t="shared" si="29"/>
        <v>0.19509060510360901</v>
      </c>
      <c r="U307">
        <f>SUM($I$2:I307)</f>
        <v>1030455.2799999996</v>
      </c>
      <c r="V307" s="1">
        <f>Table1[[#This Row],[Running total ]]/SUM(I:I)</f>
        <v>0.29735064000512512</v>
      </c>
    </row>
    <row r="308" spans="1:22" x14ac:dyDescent="0.3">
      <c r="A308" t="s">
        <v>798</v>
      </c>
      <c r="B308" t="s">
        <v>799</v>
      </c>
      <c r="C308" t="s">
        <v>800</v>
      </c>
      <c r="D308" t="s">
        <v>48</v>
      </c>
      <c r="E308" t="s">
        <v>73</v>
      </c>
      <c r="F308" t="s">
        <v>19</v>
      </c>
      <c r="G308" t="s">
        <v>20</v>
      </c>
      <c r="H308" t="s">
        <v>347</v>
      </c>
      <c r="I308">
        <v>420.16</v>
      </c>
      <c r="J308">
        <v>4</v>
      </c>
      <c r="K308" s="1">
        <v>0.1</v>
      </c>
      <c r="L308">
        <v>53.7</v>
      </c>
      <c r="M308" t="s">
        <v>22</v>
      </c>
      <c r="N308" t="s">
        <v>39</v>
      </c>
      <c r="O308" t="str">
        <f t="shared" si="24"/>
        <v>19/08/2025</v>
      </c>
      <c r="P308">
        <f t="shared" si="25"/>
        <v>2025</v>
      </c>
      <c r="Q308">
        <f t="shared" si="26"/>
        <v>8</v>
      </c>
      <c r="R308" t="str">
        <f t="shared" si="27"/>
        <v>August</v>
      </c>
      <c r="S308" t="str">
        <f t="shared" si="28"/>
        <v>Low</v>
      </c>
      <c r="T308" s="1">
        <f t="shared" si="29"/>
        <v>0.1278084539223153</v>
      </c>
      <c r="U308">
        <f>SUM($I$2:I308)</f>
        <v>1030875.4399999996</v>
      </c>
      <c r="V308" s="1">
        <f>Table1[[#This Row],[Running total ]]/SUM(I:I)</f>
        <v>0.29747188237956818</v>
      </c>
    </row>
    <row r="309" spans="1:22" x14ac:dyDescent="0.3">
      <c r="A309" t="s">
        <v>801</v>
      </c>
      <c r="B309" t="s">
        <v>482</v>
      </c>
      <c r="C309" t="s">
        <v>305</v>
      </c>
      <c r="D309" t="s">
        <v>27</v>
      </c>
      <c r="E309" t="s">
        <v>43</v>
      </c>
      <c r="F309" t="s">
        <v>19</v>
      </c>
      <c r="G309" t="s">
        <v>29</v>
      </c>
      <c r="H309" t="s">
        <v>30</v>
      </c>
      <c r="I309">
        <v>5047.3500000000004</v>
      </c>
      <c r="J309">
        <v>7</v>
      </c>
      <c r="K309" s="1">
        <v>0</v>
      </c>
      <c r="L309">
        <v>2028.38</v>
      </c>
      <c r="M309" t="s">
        <v>31</v>
      </c>
      <c r="N309" t="s">
        <v>23</v>
      </c>
      <c r="O309" t="str">
        <f t="shared" si="24"/>
        <v>07/08/2024</v>
      </c>
      <c r="P309">
        <f t="shared" si="25"/>
        <v>2024</v>
      </c>
      <c r="Q309">
        <f t="shared" si="26"/>
        <v>8</v>
      </c>
      <c r="R309" t="str">
        <f t="shared" si="27"/>
        <v>August</v>
      </c>
      <c r="S309" t="str">
        <f t="shared" si="28"/>
        <v>No Discount</v>
      </c>
      <c r="T309" s="1">
        <f t="shared" si="29"/>
        <v>0.40187028836914418</v>
      </c>
      <c r="U309">
        <f>SUM($I$2:I309)</f>
        <v>1035922.7899999996</v>
      </c>
      <c r="V309" s="1">
        <f>Table1[[#This Row],[Running total ]]/SUM(I:I)</f>
        <v>0.2989283577666707</v>
      </c>
    </row>
    <row r="310" spans="1:22" x14ac:dyDescent="0.3">
      <c r="A310" t="s">
        <v>802</v>
      </c>
      <c r="B310" t="s">
        <v>803</v>
      </c>
      <c r="C310" t="s">
        <v>804</v>
      </c>
      <c r="D310" t="s">
        <v>48</v>
      </c>
      <c r="E310" t="s">
        <v>110</v>
      </c>
      <c r="F310" t="s">
        <v>55</v>
      </c>
      <c r="G310" t="s">
        <v>56</v>
      </c>
      <c r="H310" t="s">
        <v>62</v>
      </c>
      <c r="I310">
        <v>997.61</v>
      </c>
      <c r="J310">
        <v>1</v>
      </c>
      <c r="K310" s="1">
        <v>0.25</v>
      </c>
      <c r="L310">
        <v>167.48</v>
      </c>
      <c r="M310" t="s">
        <v>44</v>
      </c>
      <c r="N310" t="s">
        <v>76</v>
      </c>
      <c r="O310" t="str">
        <f t="shared" si="24"/>
        <v>08/10/2025</v>
      </c>
      <c r="P310">
        <f t="shared" si="25"/>
        <v>2025</v>
      </c>
      <c r="Q310">
        <f t="shared" si="26"/>
        <v>10</v>
      </c>
      <c r="R310" t="str">
        <f t="shared" si="27"/>
        <v>October</v>
      </c>
      <c r="S310" t="str">
        <f t="shared" si="28"/>
        <v>Low</v>
      </c>
      <c r="T310" s="1">
        <f t="shared" si="29"/>
        <v>0.16788123615440903</v>
      </c>
      <c r="U310">
        <f>SUM($I$2:I310)</f>
        <v>1036920.3999999996</v>
      </c>
      <c r="V310" s="1">
        <f>Table1[[#This Row],[Running total ]]/SUM(I:I)</f>
        <v>0.29921623049412716</v>
      </c>
    </row>
    <row r="311" spans="1:22" x14ac:dyDescent="0.3">
      <c r="A311" t="s">
        <v>805</v>
      </c>
      <c r="B311" t="s">
        <v>806</v>
      </c>
      <c r="C311" t="s">
        <v>807</v>
      </c>
      <c r="D311" t="s">
        <v>48</v>
      </c>
      <c r="E311" t="s">
        <v>49</v>
      </c>
      <c r="F311" t="s">
        <v>19</v>
      </c>
      <c r="G311" t="s">
        <v>36</v>
      </c>
      <c r="H311" t="s">
        <v>37</v>
      </c>
      <c r="I311">
        <v>1324.5</v>
      </c>
      <c r="J311">
        <v>10</v>
      </c>
      <c r="K311" s="1">
        <v>0.1</v>
      </c>
      <c r="L311">
        <v>178.59</v>
      </c>
      <c r="M311" t="s">
        <v>22</v>
      </c>
      <c r="N311" t="s">
        <v>76</v>
      </c>
      <c r="O311" t="str">
        <f t="shared" si="24"/>
        <v>05/05/2024</v>
      </c>
      <c r="P311">
        <f t="shared" si="25"/>
        <v>2024</v>
      </c>
      <c r="Q311">
        <f t="shared" si="26"/>
        <v>5</v>
      </c>
      <c r="R311" t="str">
        <f t="shared" si="27"/>
        <v>May</v>
      </c>
      <c r="S311" t="str">
        <f t="shared" si="28"/>
        <v>Low</v>
      </c>
      <c r="T311" s="1">
        <f t="shared" si="29"/>
        <v>0.13483578708946772</v>
      </c>
      <c r="U311">
        <f>SUM($I$2:I311)</f>
        <v>1038244.8999999996</v>
      </c>
      <c r="V311" s="1">
        <f>Table1[[#This Row],[Running total ]]/SUM(I:I)</f>
        <v>0.29959843138176467</v>
      </c>
    </row>
    <row r="312" spans="1:22" x14ac:dyDescent="0.3">
      <c r="A312" t="s">
        <v>808</v>
      </c>
      <c r="B312" t="s">
        <v>809</v>
      </c>
      <c r="C312" t="s">
        <v>608</v>
      </c>
      <c r="D312" t="s">
        <v>137</v>
      </c>
      <c r="E312" t="s">
        <v>142</v>
      </c>
      <c r="F312" t="s">
        <v>67</v>
      </c>
      <c r="G312" t="s">
        <v>68</v>
      </c>
      <c r="H312" t="s">
        <v>69</v>
      </c>
      <c r="I312">
        <v>1904.13</v>
      </c>
      <c r="J312">
        <v>9</v>
      </c>
      <c r="K312" s="1">
        <v>0.1</v>
      </c>
      <c r="L312">
        <v>430.54</v>
      </c>
      <c r="M312" t="s">
        <v>107</v>
      </c>
      <c r="N312" t="s">
        <v>39</v>
      </c>
      <c r="O312" t="str">
        <f t="shared" si="24"/>
        <v>16/11/2025</v>
      </c>
      <c r="P312">
        <f t="shared" si="25"/>
        <v>2025</v>
      </c>
      <c r="Q312">
        <f t="shared" si="26"/>
        <v>11</v>
      </c>
      <c r="R312" t="str">
        <f t="shared" si="27"/>
        <v>November</v>
      </c>
      <c r="S312" t="str">
        <f t="shared" si="28"/>
        <v>Low</v>
      </c>
      <c r="T312" s="1">
        <f t="shared" si="29"/>
        <v>0.22610851149868968</v>
      </c>
      <c r="U312">
        <f>SUM($I$2:I312)</f>
        <v>1040149.0299999996</v>
      </c>
      <c r="V312" s="1">
        <f>Table1[[#This Row],[Running total ]]/SUM(I:I)</f>
        <v>0.30014789168842931</v>
      </c>
    </row>
    <row r="313" spans="1:22" x14ac:dyDescent="0.3">
      <c r="A313" t="s">
        <v>810</v>
      </c>
      <c r="B313" t="s">
        <v>78</v>
      </c>
      <c r="C313" t="s">
        <v>175</v>
      </c>
      <c r="D313" t="s">
        <v>17</v>
      </c>
      <c r="E313" t="s">
        <v>18</v>
      </c>
      <c r="F313" t="s">
        <v>55</v>
      </c>
      <c r="G313" t="s">
        <v>98</v>
      </c>
      <c r="H313" t="s">
        <v>99</v>
      </c>
      <c r="I313">
        <v>6568.47</v>
      </c>
      <c r="J313">
        <v>9</v>
      </c>
      <c r="K313" s="1">
        <v>0.3</v>
      </c>
      <c r="L313">
        <v>-221.21</v>
      </c>
      <c r="M313" t="s">
        <v>22</v>
      </c>
      <c r="N313" t="s">
        <v>32</v>
      </c>
      <c r="O313" t="str">
        <f t="shared" si="24"/>
        <v>11/07/2024</v>
      </c>
      <c r="P313">
        <f t="shared" si="25"/>
        <v>2024</v>
      </c>
      <c r="Q313">
        <f t="shared" si="26"/>
        <v>7</v>
      </c>
      <c r="R313" t="str">
        <f t="shared" si="27"/>
        <v>July</v>
      </c>
      <c r="S313" t="str">
        <f t="shared" si="28"/>
        <v>Low</v>
      </c>
      <c r="T313" s="1">
        <f t="shared" si="29"/>
        <v>-3.3677553524641204E-2</v>
      </c>
      <c r="U313">
        <f>SUM($I$2:I313)</f>
        <v>1046717.4999999995</v>
      </c>
      <c r="V313" s="1">
        <f>Table1[[#This Row],[Running total ]]/SUM(I:I)</f>
        <v>0.30204330510060035</v>
      </c>
    </row>
    <row r="314" spans="1:22" x14ac:dyDescent="0.3">
      <c r="A314" t="s">
        <v>811</v>
      </c>
      <c r="B314" t="s">
        <v>374</v>
      </c>
      <c r="C314" t="s">
        <v>519</v>
      </c>
      <c r="D314" t="s">
        <v>27</v>
      </c>
      <c r="E314" t="s">
        <v>124</v>
      </c>
      <c r="F314" t="s">
        <v>19</v>
      </c>
      <c r="G314" t="s">
        <v>29</v>
      </c>
      <c r="H314" t="s">
        <v>30</v>
      </c>
      <c r="I314">
        <v>2341.0500000000002</v>
      </c>
      <c r="J314">
        <v>5</v>
      </c>
      <c r="K314" s="1">
        <v>0.1</v>
      </c>
      <c r="L314">
        <v>159.77000000000001</v>
      </c>
      <c r="M314" t="s">
        <v>195</v>
      </c>
      <c r="N314" t="s">
        <v>76</v>
      </c>
      <c r="O314" t="str">
        <f t="shared" si="24"/>
        <v>07/03/2025</v>
      </c>
      <c r="P314">
        <f t="shared" si="25"/>
        <v>2025</v>
      </c>
      <c r="Q314">
        <f t="shared" si="26"/>
        <v>3</v>
      </c>
      <c r="R314" t="str">
        <f t="shared" si="27"/>
        <v>March</v>
      </c>
      <c r="S314" t="str">
        <f t="shared" si="28"/>
        <v>Low</v>
      </c>
      <c r="T314" s="1">
        <f t="shared" si="29"/>
        <v>6.8247154054804471E-2</v>
      </c>
      <c r="U314">
        <f>SUM($I$2:I314)</f>
        <v>1049058.5499999996</v>
      </c>
      <c r="V314" s="1">
        <f>Table1[[#This Row],[Running total ]]/SUM(I:I)</f>
        <v>0.30271884408739075</v>
      </c>
    </row>
    <row r="315" spans="1:22" x14ac:dyDescent="0.3">
      <c r="A315" t="s">
        <v>812</v>
      </c>
      <c r="B315" t="s">
        <v>52</v>
      </c>
      <c r="C315" t="s">
        <v>813</v>
      </c>
      <c r="D315" t="s">
        <v>17</v>
      </c>
      <c r="E315" t="s">
        <v>18</v>
      </c>
      <c r="F315" t="s">
        <v>19</v>
      </c>
      <c r="G315" t="s">
        <v>29</v>
      </c>
      <c r="H315" t="s">
        <v>30</v>
      </c>
      <c r="I315">
        <v>4523.76</v>
      </c>
      <c r="J315">
        <v>4</v>
      </c>
      <c r="K315" s="1">
        <v>0.05</v>
      </c>
      <c r="L315">
        <v>563.44000000000005</v>
      </c>
      <c r="M315" t="s">
        <v>117</v>
      </c>
      <c r="N315" t="s">
        <v>32</v>
      </c>
      <c r="O315" t="str">
        <f t="shared" si="24"/>
        <v>03/12/2024</v>
      </c>
      <c r="P315">
        <f t="shared" si="25"/>
        <v>2024</v>
      </c>
      <c r="Q315">
        <f t="shared" si="26"/>
        <v>12</v>
      </c>
      <c r="R315" t="str">
        <f t="shared" si="27"/>
        <v>December</v>
      </c>
      <c r="S315" t="str">
        <f t="shared" si="28"/>
        <v>High</v>
      </c>
      <c r="T315" s="1">
        <f t="shared" si="29"/>
        <v>0.12455125824535343</v>
      </c>
      <c r="U315">
        <f>SUM($I$2:I315)</f>
        <v>1053582.3099999996</v>
      </c>
      <c r="V315" s="1">
        <f>Table1[[#This Row],[Running total ]]/SUM(I:I)</f>
        <v>0.30402423109188992</v>
      </c>
    </row>
    <row r="316" spans="1:22" x14ac:dyDescent="0.3">
      <c r="A316" t="s">
        <v>814</v>
      </c>
      <c r="B316" t="s">
        <v>815</v>
      </c>
      <c r="C316" t="s">
        <v>792</v>
      </c>
      <c r="D316" t="s">
        <v>17</v>
      </c>
      <c r="E316" t="s">
        <v>80</v>
      </c>
      <c r="F316" t="s">
        <v>19</v>
      </c>
      <c r="G316" t="s">
        <v>20</v>
      </c>
      <c r="H316" t="s">
        <v>347</v>
      </c>
      <c r="I316">
        <v>1814.5</v>
      </c>
      <c r="J316">
        <v>10</v>
      </c>
      <c r="K316" s="1">
        <v>0.05</v>
      </c>
      <c r="L316">
        <v>294.66000000000003</v>
      </c>
      <c r="M316" t="s">
        <v>195</v>
      </c>
      <c r="N316" t="s">
        <v>32</v>
      </c>
      <c r="O316" t="str">
        <f t="shared" si="24"/>
        <v>15/08/2025</v>
      </c>
      <c r="P316">
        <f t="shared" si="25"/>
        <v>2025</v>
      </c>
      <c r="Q316">
        <f t="shared" si="26"/>
        <v>8</v>
      </c>
      <c r="R316" t="str">
        <f t="shared" si="27"/>
        <v>August</v>
      </c>
      <c r="S316" t="str">
        <f t="shared" si="28"/>
        <v>High</v>
      </c>
      <c r="T316" s="1">
        <f t="shared" si="29"/>
        <v>0.16239184348305319</v>
      </c>
      <c r="U316">
        <f>SUM($I$2:I316)</f>
        <v>1055396.8099999996</v>
      </c>
      <c r="V316" s="1">
        <f>Table1[[#This Row],[Running total ]]/SUM(I:I)</f>
        <v>0.30454782755139792</v>
      </c>
    </row>
    <row r="317" spans="1:22" x14ac:dyDescent="0.3">
      <c r="A317" t="s">
        <v>816</v>
      </c>
      <c r="B317" t="s">
        <v>592</v>
      </c>
      <c r="C317" t="s">
        <v>535</v>
      </c>
      <c r="D317" t="s">
        <v>137</v>
      </c>
      <c r="E317" t="s">
        <v>160</v>
      </c>
      <c r="F317" t="s">
        <v>55</v>
      </c>
      <c r="G317" t="s">
        <v>56</v>
      </c>
      <c r="H317" t="s">
        <v>129</v>
      </c>
      <c r="I317">
        <v>1793.56</v>
      </c>
      <c r="J317">
        <v>4</v>
      </c>
      <c r="K317" s="1">
        <v>0.25</v>
      </c>
      <c r="L317">
        <v>247.56</v>
      </c>
      <c r="M317" t="s">
        <v>44</v>
      </c>
      <c r="N317" t="s">
        <v>76</v>
      </c>
      <c r="O317" t="str">
        <f t="shared" si="24"/>
        <v>31/08/2024</v>
      </c>
      <c r="P317">
        <f t="shared" si="25"/>
        <v>2024</v>
      </c>
      <c r="Q317">
        <f t="shared" si="26"/>
        <v>8</v>
      </c>
      <c r="R317" t="str">
        <f t="shared" si="27"/>
        <v>August</v>
      </c>
      <c r="S317" t="str">
        <f t="shared" si="28"/>
        <v>Low</v>
      </c>
      <c r="T317" s="1">
        <f t="shared" si="29"/>
        <v>0.13802716385289593</v>
      </c>
      <c r="U317">
        <f>SUM($I$2:I317)</f>
        <v>1057190.3699999996</v>
      </c>
      <c r="V317" s="1">
        <f>Table1[[#This Row],[Running total ]]/SUM(I:I)</f>
        <v>0.30506538151442636</v>
      </c>
    </row>
    <row r="318" spans="1:22" x14ac:dyDescent="0.3">
      <c r="A318" t="s">
        <v>817</v>
      </c>
      <c r="B318" t="s">
        <v>119</v>
      </c>
      <c r="C318" t="s">
        <v>818</v>
      </c>
      <c r="D318" t="s">
        <v>48</v>
      </c>
      <c r="E318" t="s">
        <v>49</v>
      </c>
      <c r="F318" t="s">
        <v>19</v>
      </c>
      <c r="G318" t="s">
        <v>36</v>
      </c>
      <c r="H318" t="s">
        <v>37</v>
      </c>
      <c r="I318">
        <v>9809</v>
      </c>
      <c r="J318">
        <v>10</v>
      </c>
      <c r="K318" s="1">
        <v>0.05</v>
      </c>
      <c r="L318">
        <v>261.02999999999997</v>
      </c>
      <c r="M318" t="s">
        <v>63</v>
      </c>
      <c r="N318" t="s">
        <v>32</v>
      </c>
      <c r="O318" t="str">
        <f t="shared" si="24"/>
        <v>31/12/2025</v>
      </c>
      <c r="P318">
        <f t="shared" si="25"/>
        <v>2025</v>
      </c>
      <c r="Q318">
        <f t="shared" si="26"/>
        <v>12</v>
      </c>
      <c r="R318" t="str">
        <f t="shared" si="27"/>
        <v>December</v>
      </c>
      <c r="S318" t="str">
        <f t="shared" si="28"/>
        <v>High</v>
      </c>
      <c r="T318" s="1">
        <f t="shared" si="29"/>
        <v>2.6611275359363848E-2</v>
      </c>
      <c r="U318">
        <f>SUM($I$2:I318)</f>
        <v>1066999.3699999996</v>
      </c>
      <c r="V318" s="1">
        <f>Table1[[#This Row],[Running total ]]/SUM(I:I)</f>
        <v>0.30789589001335926</v>
      </c>
    </row>
    <row r="319" spans="1:22" x14ac:dyDescent="0.3">
      <c r="A319" t="s">
        <v>819</v>
      </c>
      <c r="B319" t="s">
        <v>820</v>
      </c>
      <c r="C319" t="s">
        <v>666</v>
      </c>
      <c r="D319" t="s">
        <v>17</v>
      </c>
      <c r="E319" t="s">
        <v>18</v>
      </c>
      <c r="F319" t="s">
        <v>55</v>
      </c>
      <c r="G319" t="s">
        <v>74</v>
      </c>
      <c r="H319" t="s">
        <v>272</v>
      </c>
      <c r="I319">
        <v>6971.58</v>
      </c>
      <c r="J319">
        <v>6</v>
      </c>
      <c r="K319" s="1">
        <v>0.1</v>
      </c>
      <c r="L319">
        <v>2152.0700000000002</v>
      </c>
      <c r="M319" t="s">
        <v>107</v>
      </c>
      <c r="N319" t="s">
        <v>76</v>
      </c>
      <c r="O319" t="str">
        <f t="shared" si="24"/>
        <v>12/05/2025</v>
      </c>
      <c r="P319">
        <f t="shared" si="25"/>
        <v>2025</v>
      </c>
      <c r="Q319">
        <f t="shared" si="26"/>
        <v>5</v>
      </c>
      <c r="R319" t="str">
        <f t="shared" si="27"/>
        <v>May</v>
      </c>
      <c r="S319" t="str">
        <f t="shared" si="28"/>
        <v>Low</v>
      </c>
      <c r="T319" s="1">
        <f t="shared" si="29"/>
        <v>0.30869186038172125</v>
      </c>
      <c r="U319">
        <f>SUM($I$2:I319)</f>
        <v>1073970.9499999997</v>
      </c>
      <c r="V319" s="1">
        <f>Table1[[#This Row],[Running total ]]/SUM(I:I)</f>
        <v>0.30990762581119707</v>
      </c>
    </row>
    <row r="320" spans="1:22" x14ac:dyDescent="0.3">
      <c r="A320" t="s">
        <v>821</v>
      </c>
      <c r="B320" t="s">
        <v>394</v>
      </c>
      <c r="C320" t="s">
        <v>501</v>
      </c>
      <c r="D320" t="s">
        <v>27</v>
      </c>
      <c r="E320" t="s">
        <v>43</v>
      </c>
      <c r="F320" t="s">
        <v>55</v>
      </c>
      <c r="G320" t="s">
        <v>98</v>
      </c>
      <c r="H320" t="s">
        <v>150</v>
      </c>
      <c r="I320">
        <v>7682.58</v>
      </c>
      <c r="J320">
        <v>9</v>
      </c>
      <c r="K320" s="1">
        <v>0.3</v>
      </c>
      <c r="L320">
        <v>122.63</v>
      </c>
      <c r="M320" t="s">
        <v>44</v>
      </c>
      <c r="N320" t="s">
        <v>39</v>
      </c>
      <c r="O320" t="str">
        <f t="shared" si="24"/>
        <v>02/09/2024</v>
      </c>
      <c r="P320">
        <f t="shared" si="25"/>
        <v>2024</v>
      </c>
      <c r="Q320">
        <f t="shared" si="26"/>
        <v>9</v>
      </c>
      <c r="R320" t="str">
        <f t="shared" si="27"/>
        <v>September</v>
      </c>
      <c r="S320" t="str">
        <f t="shared" si="28"/>
        <v>Low</v>
      </c>
      <c r="T320" s="1">
        <f t="shared" si="29"/>
        <v>1.5962085653517439E-2</v>
      </c>
      <c r="U320">
        <f>SUM($I$2:I320)</f>
        <v>1081653.5299999998</v>
      </c>
      <c r="V320" s="1">
        <f>Table1[[#This Row],[Running total ]]/SUM(I:I)</f>
        <v>0.31212452946944275</v>
      </c>
    </row>
    <row r="321" spans="1:22" x14ac:dyDescent="0.3">
      <c r="A321" t="s">
        <v>822</v>
      </c>
      <c r="B321" t="s">
        <v>823</v>
      </c>
      <c r="C321" t="s">
        <v>824</v>
      </c>
      <c r="D321" t="s">
        <v>137</v>
      </c>
      <c r="E321" t="s">
        <v>242</v>
      </c>
      <c r="F321" t="s">
        <v>19</v>
      </c>
      <c r="G321" t="s">
        <v>20</v>
      </c>
      <c r="H321" t="s">
        <v>21</v>
      </c>
      <c r="I321">
        <v>7173.18</v>
      </c>
      <c r="J321">
        <v>7</v>
      </c>
      <c r="K321" s="1">
        <v>0.15</v>
      </c>
      <c r="L321">
        <v>581.89</v>
      </c>
      <c r="M321" t="s">
        <v>87</v>
      </c>
      <c r="N321" t="s">
        <v>32</v>
      </c>
      <c r="O321" t="str">
        <f t="shared" si="24"/>
        <v>06/05/2024</v>
      </c>
      <c r="P321">
        <f t="shared" si="25"/>
        <v>2024</v>
      </c>
      <c r="Q321">
        <f t="shared" si="26"/>
        <v>5</v>
      </c>
      <c r="R321" t="str">
        <f t="shared" si="27"/>
        <v>May</v>
      </c>
      <c r="S321" t="str">
        <f t="shared" si="28"/>
        <v>Low</v>
      </c>
      <c r="T321" s="1">
        <f t="shared" si="29"/>
        <v>8.1120228406369274E-2</v>
      </c>
      <c r="U321">
        <f>SUM($I$2:I321)</f>
        <v>1088826.7099999997</v>
      </c>
      <c r="V321" s="1">
        <f>Table1[[#This Row],[Running total ]]/SUM(I:I)</f>
        <v>0.31419443944542147</v>
      </c>
    </row>
    <row r="322" spans="1:22" x14ac:dyDescent="0.3">
      <c r="A322" t="s">
        <v>825</v>
      </c>
      <c r="B322" t="s">
        <v>227</v>
      </c>
      <c r="C322" t="s">
        <v>205</v>
      </c>
      <c r="D322" t="s">
        <v>48</v>
      </c>
      <c r="E322" t="s">
        <v>110</v>
      </c>
      <c r="F322" t="s">
        <v>67</v>
      </c>
      <c r="G322" t="s">
        <v>68</v>
      </c>
      <c r="H322" t="s">
        <v>382</v>
      </c>
      <c r="I322">
        <v>1282.68</v>
      </c>
      <c r="J322">
        <v>9</v>
      </c>
      <c r="K322" s="1">
        <v>0.25</v>
      </c>
      <c r="L322">
        <v>20.190000000000001</v>
      </c>
      <c r="M322" t="s">
        <v>63</v>
      </c>
      <c r="N322" t="s">
        <v>76</v>
      </c>
      <c r="O322" t="str">
        <f t="shared" si="24"/>
        <v>02/11/2025</v>
      </c>
      <c r="P322">
        <f t="shared" si="25"/>
        <v>2025</v>
      </c>
      <c r="Q322">
        <f t="shared" si="26"/>
        <v>11</v>
      </c>
      <c r="R322" t="str">
        <f t="shared" si="27"/>
        <v>November</v>
      </c>
      <c r="S322" t="str">
        <f t="shared" si="28"/>
        <v>Low</v>
      </c>
      <c r="T322" s="1">
        <f t="shared" si="29"/>
        <v>1.5740480868182243E-2</v>
      </c>
      <c r="U322">
        <f>SUM($I$2:I322)</f>
        <v>1090109.3899999997</v>
      </c>
      <c r="V322" s="1">
        <f>Table1[[#This Row],[Running total ]]/SUM(I:I)</f>
        <v>0.31456457265384341</v>
      </c>
    </row>
    <row r="323" spans="1:22" x14ac:dyDescent="0.3">
      <c r="A323" t="s">
        <v>826</v>
      </c>
      <c r="B323" t="s">
        <v>283</v>
      </c>
      <c r="C323" t="s">
        <v>286</v>
      </c>
      <c r="D323" t="s">
        <v>48</v>
      </c>
      <c r="E323" t="s">
        <v>73</v>
      </c>
      <c r="F323" t="s">
        <v>55</v>
      </c>
      <c r="G323" t="s">
        <v>98</v>
      </c>
      <c r="H323" t="s">
        <v>154</v>
      </c>
      <c r="I323">
        <v>2711.88</v>
      </c>
      <c r="J323">
        <v>9</v>
      </c>
      <c r="K323" s="1">
        <v>0</v>
      </c>
      <c r="L323">
        <v>349.86</v>
      </c>
      <c r="M323" t="s">
        <v>143</v>
      </c>
      <c r="N323" t="s">
        <v>32</v>
      </c>
      <c r="O323" t="str">
        <f t="shared" ref="O323:O386" si="30">TEXT(B323,"dd/mm/yyyy")</f>
        <v>08/08/2025</v>
      </c>
      <c r="P323">
        <f t="shared" ref="P323:P386" si="31">YEAR(O323)</f>
        <v>2025</v>
      </c>
      <c r="Q323">
        <f t="shared" ref="Q323:Q386" si="32">MONTH(O323)</f>
        <v>8</v>
      </c>
      <c r="R323" t="str">
        <f t="shared" ref="R323:R386" si="33">TEXT(O323,"mmmm")</f>
        <v>August</v>
      </c>
      <c r="S323" t="str">
        <f t="shared" ref="S323:S386" si="34">IF(K323=0,"No Discount",IF(K323&gt;=0.1,"Low",IF(K323&gt;=0.2,"Medium","High")))</f>
        <v>No Discount</v>
      </c>
      <c r="T323" s="1">
        <f t="shared" ref="T323:T386" si="35">SUM(L323)/SUM(I323)</f>
        <v>0.12901013319173416</v>
      </c>
      <c r="U323">
        <f>SUM($I$2:I323)</f>
        <v>1092821.2699999996</v>
      </c>
      <c r="V323" s="1">
        <f>Table1[[#This Row],[Running total ]]/SUM(I:I)</f>
        <v>0.31534711923230052</v>
      </c>
    </row>
    <row r="324" spans="1:22" x14ac:dyDescent="0.3">
      <c r="A324" t="s">
        <v>827</v>
      </c>
      <c r="B324" t="s">
        <v>828</v>
      </c>
      <c r="C324" t="s">
        <v>630</v>
      </c>
      <c r="D324" t="s">
        <v>48</v>
      </c>
      <c r="E324" t="s">
        <v>49</v>
      </c>
      <c r="F324" t="s">
        <v>19</v>
      </c>
      <c r="G324" t="s">
        <v>20</v>
      </c>
      <c r="H324" t="s">
        <v>239</v>
      </c>
      <c r="I324">
        <v>605.46</v>
      </c>
      <c r="J324">
        <v>6</v>
      </c>
      <c r="K324" s="1">
        <v>0.1</v>
      </c>
      <c r="L324">
        <v>102.6</v>
      </c>
      <c r="M324" t="s">
        <v>38</v>
      </c>
      <c r="N324" t="s">
        <v>23</v>
      </c>
      <c r="O324" t="str">
        <f t="shared" si="30"/>
        <v>03/08/2024</v>
      </c>
      <c r="P324">
        <f t="shared" si="31"/>
        <v>2024</v>
      </c>
      <c r="Q324">
        <f t="shared" si="32"/>
        <v>8</v>
      </c>
      <c r="R324" t="str">
        <f t="shared" si="33"/>
        <v>August</v>
      </c>
      <c r="S324" t="str">
        <f t="shared" si="34"/>
        <v>Low</v>
      </c>
      <c r="T324" s="1">
        <f t="shared" si="35"/>
        <v>0.16945793281141611</v>
      </c>
      <c r="U324">
        <f>SUM($I$2:I324)</f>
        <v>1093426.7299999995</v>
      </c>
      <c r="V324" s="1">
        <f>Table1[[#This Row],[Running total ]]/SUM(I:I)</f>
        <v>0.31552183221790192</v>
      </c>
    </row>
    <row r="325" spans="1:22" x14ac:dyDescent="0.3">
      <c r="A325" t="s">
        <v>829</v>
      </c>
      <c r="B325" t="s">
        <v>488</v>
      </c>
      <c r="C325" t="s">
        <v>123</v>
      </c>
      <c r="D325" t="s">
        <v>137</v>
      </c>
      <c r="E325" t="s">
        <v>160</v>
      </c>
      <c r="F325" t="s">
        <v>67</v>
      </c>
      <c r="G325" t="s">
        <v>68</v>
      </c>
      <c r="H325" t="s">
        <v>103</v>
      </c>
      <c r="I325">
        <v>4686.57</v>
      </c>
      <c r="J325">
        <v>7</v>
      </c>
      <c r="K325" s="1">
        <v>0.2</v>
      </c>
      <c r="L325">
        <v>911.78</v>
      </c>
      <c r="M325" t="s">
        <v>38</v>
      </c>
      <c r="N325" t="s">
        <v>39</v>
      </c>
      <c r="O325" t="str">
        <f t="shared" si="30"/>
        <v>16/06/2025</v>
      </c>
      <c r="P325">
        <f t="shared" si="31"/>
        <v>2025</v>
      </c>
      <c r="Q325">
        <f t="shared" si="32"/>
        <v>6</v>
      </c>
      <c r="R325" t="str">
        <f t="shared" si="33"/>
        <v>June</v>
      </c>
      <c r="S325" t="str">
        <f t="shared" si="34"/>
        <v>Low</v>
      </c>
      <c r="T325" s="1">
        <f t="shared" si="35"/>
        <v>0.19455166571714497</v>
      </c>
      <c r="U325">
        <f>SUM($I$2:I325)</f>
        <v>1098113.2999999996</v>
      </c>
      <c r="V325" s="1">
        <f>Table1[[#This Row],[Running total ]]/SUM(I:I)</f>
        <v>0.31687420006537304</v>
      </c>
    </row>
    <row r="326" spans="1:22" x14ac:dyDescent="0.3">
      <c r="A326" t="s">
        <v>830</v>
      </c>
      <c r="B326" t="s">
        <v>521</v>
      </c>
      <c r="C326" t="s">
        <v>146</v>
      </c>
      <c r="D326" t="s">
        <v>48</v>
      </c>
      <c r="E326" t="s">
        <v>73</v>
      </c>
      <c r="F326" t="s">
        <v>19</v>
      </c>
      <c r="G326" t="s">
        <v>20</v>
      </c>
      <c r="H326" t="s">
        <v>239</v>
      </c>
      <c r="I326">
        <v>6021.1</v>
      </c>
      <c r="J326">
        <v>10</v>
      </c>
      <c r="K326" s="1">
        <v>0.25</v>
      </c>
      <c r="L326">
        <v>1096.19</v>
      </c>
      <c r="M326" t="s">
        <v>195</v>
      </c>
      <c r="N326" t="s">
        <v>23</v>
      </c>
      <c r="O326" t="str">
        <f t="shared" si="30"/>
        <v>07/03/2024</v>
      </c>
      <c r="P326">
        <f t="shared" si="31"/>
        <v>2024</v>
      </c>
      <c r="Q326">
        <f t="shared" si="32"/>
        <v>3</v>
      </c>
      <c r="R326" t="str">
        <f t="shared" si="33"/>
        <v>March</v>
      </c>
      <c r="S326" t="str">
        <f t="shared" si="34"/>
        <v>Low</v>
      </c>
      <c r="T326" s="1">
        <f t="shared" si="35"/>
        <v>0.18205809569679959</v>
      </c>
      <c r="U326">
        <f>SUM($I$2:I326)</f>
        <v>1104134.3999999997</v>
      </c>
      <c r="V326" s="1">
        <f>Table1[[#This Row],[Running total ]]/SUM(I:I)</f>
        <v>0.31861166308126915</v>
      </c>
    </row>
    <row r="327" spans="1:22" x14ac:dyDescent="0.3">
      <c r="A327" t="s">
        <v>831</v>
      </c>
      <c r="B327" t="s">
        <v>321</v>
      </c>
      <c r="C327" t="s">
        <v>473</v>
      </c>
      <c r="D327" t="s">
        <v>137</v>
      </c>
      <c r="E327" t="s">
        <v>242</v>
      </c>
      <c r="F327" t="s">
        <v>55</v>
      </c>
      <c r="G327" t="s">
        <v>56</v>
      </c>
      <c r="H327" t="s">
        <v>129</v>
      </c>
      <c r="I327">
        <v>2159.2199999999998</v>
      </c>
      <c r="J327">
        <v>2</v>
      </c>
      <c r="K327" s="1">
        <v>0.1</v>
      </c>
      <c r="L327">
        <v>-94.49</v>
      </c>
      <c r="M327" t="s">
        <v>63</v>
      </c>
      <c r="N327" t="s">
        <v>39</v>
      </c>
      <c r="O327" t="str">
        <f t="shared" si="30"/>
        <v>08/08/2024</v>
      </c>
      <c r="P327">
        <f t="shared" si="31"/>
        <v>2024</v>
      </c>
      <c r="Q327">
        <f t="shared" si="32"/>
        <v>8</v>
      </c>
      <c r="R327" t="str">
        <f t="shared" si="33"/>
        <v>August</v>
      </c>
      <c r="S327" t="str">
        <f t="shared" si="34"/>
        <v>Low</v>
      </c>
      <c r="T327" s="1">
        <f t="shared" si="35"/>
        <v>-4.3761173016181772E-2</v>
      </c>
      <c r="U327">
        <f>SUM($I$2:I327)</f>
        <v>1106293.6199999996</v>
      </c>
      <c r="V327" s="1">
        <f>Table1[[#This Row],[Running total ]]/SUM(I:I)</f>
        <v>0.31923473276839992</v>
      </c>
    </row>
    <row r="328" spans="1:22" x14ac:dyDescent="0.3">
      <c r="A328" t="s">
        <v>832</v>
      </c>
      <c r="B328" t="s">
        <v>833</v>
      </c>
      <c r="C328" t="s">
        <v>652</v>
      </c>
      <c r="D328" t="s">
        <v>27</v>
      </c>
      <c r="E328" t="s">
        <v>43</v>
      </c>
      <c r="F328" t="s">
        <v>55</v>
      </c>
      <c r="G328" t="s">
        <v>56</v>
      </c>
      <c r="H328" t="s">
        <v>62</v>
      </c>
      <c r="I328">
        <v>130.15</v>
      </c>
      <c r="J328">
        <v>1</v>
      </c>
      <c r="K328" s="1">
        <v>0.25</v>
      </c>
      <c r="L328">
        <v>5.98</v>
      </c>
      <c r="M328" t="s">
        <v>117</v>
      </c>
      <c r="N328" t="s">
        <v>39</v>
      </c>
      <c r="O328" t="str">
        <f t="shared" si="30"/>
        <v>16/09/2025</v>
      </c>
      <c r="P328">
        <f t="shared" si="31"/>
        <v>2025</v>
      </c>
      <c r="Q328">
        <f t="shared" si="32"/>
        <v>9</v>
      </c>
      <c r="R328" t="str">
        <f t="shared" si="33"/>
        <v>September</v>
      </c>
      <c r="S328" t="str">
        <f t="shared" si="34"/>
        <v>Low</v>
      </c>
      <c r="T328" s="1">
        <f t="shared" si="35"/>
        <v>4.5946984248943529E-2</v>
      </c>
      <c r="U328">
        <f>SUM($I$2:I328)</f>
        <v>1106423.7699999996</v>
      </c>
      <c r="V328" s="1">
        <f>Table1[[#This Row],[Running total ]]/SUM(I:I)</f>
        <v>0.31927228916366301</v>
      </c>
    </row>
    <row r="329" spans="1:22" x14ac:dyDescent="0.3">
      <c r="A329" t="s">
        <v>834</v>
      </c>
      <c r="B329" t="s">
        <v>835</v>
      </c>
      <c r="C329" t="s">
        <v>411</v>
      </c>
      <c r="D329" t="s">
        <v>27</v>
      </c>
      <c r="E329" t="s">
        <v>43</v>
      </c>
      <c r="F329" t="s">
        <v>55</v>
      </c>
      <c r="G329" t="s">
        <v>98</v>
      </c>
      <c r="H329" t="s">
        <v>99</v>
      </c>
      <c r="I329">
        <v>4889.04</v>
      </c>
      <c r="J329">
        <v>8</v>
      </c>
      <c r="K329" s="1">
        <v>0.15</v>
      </c>
      <c r="L329">
        <v>-184.21</v>
      </c>
      <c r="M329" t="s">
        <v>22</v>
      </c>
      <c r="N329" t="s">
        <v>32</v>
      </c>
      <c r="O329" t="str">
        <f t="shared" si="30"/>
        <v>31/07/2024</v>
      </c>
      <c r="P329">
        <f t="shared" si="31"/>
        <v>2024</v>
      </c>
      <c r="Q329">
        <f t="shared" si="32"/>
        <v>7</v>
      </c>
      <c r="R329" t="str">
        <f t="shared" si="33"/>
        <v>July</v>
      </c>
      <c r="S329" t="str">
        <f t="shared" si="34"/>
        <v>Low</v>
      </c>
      <c r="T329" s="1">
        <f t="shared" si="35"/>
        <v>-3.767815358434376E-2</v>
      </c>
      <c r="U329">
        <f>SUM($I$2:I329)</f>
        <v>1111312.8099999996</v>
      </c>
      <c r="V329" s="1">
        <f>Table1[[#This Row],[Running total ]]/SUM(I:I)</f>
        <v>0.32068308223855579</v>
      </c>
    </row>
    <row r="330" spans="1:22" x14ac:dyDescent="0.3">
      <c r="A330" t="s">
        <v>836</v>
      </c>
      <c r="B330" t="s">
        <v>837</v>
      </c>
      <c r="C330" t="s">
        <v>652</v>
      </c>
      <c r="D330" t="s">
        <v>48</v>
      </c>
      <c r="E330" t="s">
        <v>73</v>
      </c>
      <c r="F330" t="s">
        <v>55</v>
      </c>
      <c r="G330" t="s">
        <v>74</v>
      </c>
      <c r="H330" t="s">
        <v>133</v>
      </c>
      <c r="I330">
        <v>5888.55</v>
      </c>
      <c r="J330">
        <v>5</v>
      </c>
      <c r="K330" s="1">
        <v>0.25</v>
      </c>
      <c r="L330">
        <v>-1095.72</v>
      </c>
      <c r="M330" t="s">
        <v>195</v>
      </c>
      <c r="N330" t="s">
        <v>76</v>
      </c>
      <c r="O330" t="str">
        <f t="shared" si="30"/>
        <v>16/12/2025</v>
      </c>
      <c r="P330">
        <f t="shared" si="31"/>
        <v>2025</v>
      </c>
      <c r="Q330">
        <f t="shared" si="32"/>
        <v>12</v>
      </c>
      <c r="R330" t="str">
        <f t="shared" si="33"/>
        <v>December</v>
      </c>
      <c r="S330" t="str">
        <f t="shared" si="34"/>
        <v>Low</v>
      </c>
      <c r="T330" s="1">
        <f t="shared" si="35"/>
        <v>-0.18607636854573706</v>
      </c>
      <c r="U330">
        <f>SUM($I$2:I330)</f>
        <v>1117201.3599999996</v>
      </c>
      <c r="V330" s="1">
        <f>Table1[[#This Row],[Running total ]]/SUM(I:I)</f>
        <v>0.32238229630944898</v>
      </c>
    </row>
    <row r="331" spans="1:22" x14ac:dyDescent="0.3">
      <c r="A331" t="s">
        <v>838</v>
      </c>
      <c r="B331" t="s">
        <v>839</v>
      </c>
      <c r="C331" t="s">
        <v>395</v>
      </c>
      <c r="D331" t="s">
        <v>48</v>
      </c>
      <c r="E331" t="s">
        <v>84</v>
      </c>
      <c r="F331" t="s">
        <v>67</v>
      </c>
      <c r="G331" t="s">
        <v>115</v>
      </c>
      <c r="H331" t="s">
        <v>116</v>
      </c>
      <c r="I331">
        <v>756.2</v>
      </c>
      <c r="J331">
        <v>2</v>
      </c>
      <c r="K331" s="1">
        <v>0.15</v>
      </c>
      <c r="L331">
        <v>-0.08</v>
      </c>
      <c r="M331" t="s">
        <v>38</v>
      </c>
      <c r="N331" t="s">
        <v>32</v>
      </c>
      <c r="O331" t="str">
        <f t="shared" si="30"/>
        <v>24/06/2025</v>
      </c>
      <c r="P331">
        <f t="shared" si="31"/>
        <v>2025</v>
      </c>
      <c r="Q331">
        <f t="shared" si="32"/>
        <v>6</v>
      </c>
      <c r="R331" t="str">
        <f t="shared" si="33"/>
        <v>June</v>
      </c>
      <c r="S331" t="str">
        <f t="shared" si="34"/>
        <v>Low</v>
      </c>
      <c r="T331" s="1">
        <f t="shared" si="35"/>
        <v>-1.057921184871727E-4</v>
      </c>
      <c r="U331">
        <f>SUM($I$2:I331)</f>
        <v>1117957.5599999996</v>
      </c>
      <c r="V331" s="1">
        <f>Table1[[#This Row],[Running total ]]/SUM(I:I)</f>
        <v>0.32260050718995598</v>
      </c>
    </row>
    <row r="332" spans="1:22" x14ac:dyDescent="0.3">
      <c r="A332" t="s">
        <v>840</v>
      </c>
      <c r="B332" t="s">
        <v>127</v>
      </c>
      <c r="C332" t="s">
        <v>841</v>
      </c>
      <c r="D332" t="s">
        <v>48</v>
      </c>
      <c r="E332" t="s">
        <v>73</v>
      </c>
      <c r="F332" t="s">
        <v>19</v>
      </c>
      <c r="G332" t="s">
        <v>36</v>
      </c>
      <c r="H332" t="s">
        <v>37</v>
      </c>
      <c r="I332">
        <v>141.30000000000001</v>
      </c>
      <c r="J332">
        <v>2</v>
      </c>
      <c r="K332" s="1">
        <v>0.1</v>
      </c>
      <c r="L332">
        <v>22.34</v>
      </c>
      <c r="M332" t="s">
        <v>22</v>
      </c>
      <c r="N332" t="s">
        <v>39</v>
      </c>
      <c r="O332" t="str">
        <f t="shared" si="30"/>
        <v>20/12/2024</v>
      </c>
      <c r="P332">
        <f t="shared" si="31"/>
        <v>2024</v>
      </c>
      <c r="Q332">
        <f t="shared" si="32"/>
        <v>12</v>
      </c>
      <c r="R332" t="str">
        <f t="shared" si="33"/>
        <v>December</v>
      </c>
      <c r="S332" t="str">
        <f t="shared" si="34"/>
        <v>Low</v>
      </c>
      <c r="T332" s="1">
        <f t="shared" si="35"/>
        <v>0.15810332625619247</v>
      </c>
      <c r="U332">
        <f>SUM($I$2:I332)</f>
        <v>1118098.8599999996</v>
      </c>
      <c r="V332" s="1">
        <f>Table1[[#This Row],[Running total ]]/SUM(I:I)</f>
        <v>0.32264128105588513</v>
      </c>
    </row>
    <row r="333" spans="1:22" x14ac:dyDescent="0.3">
      <c r="A333" t="s">
        <v>842</v>
      </c>
      <c r="B333" t="s">
        <v>148</v>
      </c>
      <c r="C333" t="s">
        <v>843</v>
      </c>
      <c r="D333" t="s">
        <v>17</v>
      </c>
      <c r="E333" t="s">
        <v>80</v>
      </c>
      <c r="F333" t="s">
        <v>19</v>
      </c>
      <c r="G333" t="s">
        <v>36</v>
      </c>
      <c r="H333" t="s">
        <v>111</v>
      </c>
      <c r="I333">
        <v>1272.1199999999999</v>
      </c>
      <c r="J333">
        <v>6</v>
      </c>
      <c r="K333" s="1">
        <v>0.3</v>
      </c>
      <c r="L333">
        <v>-208.05</v>
      </c>
      <c r="M333" t="s">
        <v>38</v>
      </c>
      <c r="N333" t="s">
        <v>23</v>
      </c>
      <c r="O333" t="str">
        <f t="shared" si="30"/>
        <v>02/09/2025</v>
      </c>
      <c r="P333">
        <f t="shared" si="31"/>
        <v>2025</v>
      </c>
      <c r="Q333">
        <f t="shared" si="32"/>
        <v>9</v>
      </c>
      <c r="R333" t="str">
        <f t="shared" si="33"/>
        <v>September</v>
      </c>
      <c r="S333" t="str">
        <f t="shared" si="34"/>
        <v>Low</v>
      </c>
      <c r="T333" s="1">
        <f t="shared" si="35"/>
        <v>-0.16354589189699087</v>
      </c>
      <c r="U333">
        <f>SUM($I$2:I333)</f>
        <v>1119370.9799999997</v>
      </c>
      <c r="V333" s="1">
        <f>Table1[[#This Row],[Running total ]]/SUM(I:I)</f>
        <v>0.32300836704545216</v>
      </c>
    </row>
    <row r="334" spans="1:22" x14ac:dyDescent="0.3">
      <c r="A334" t="s">
        <v>844</v>
      </c>
      <c r="B334" t="s">
        <v>845</v>
      </c>
      <c r="C334" t="s">
        <v>846</v>
      </c>
      <c r="D334" t="s">
        <v>137</v>
      </c>
      <c r="E334" t="s">
        <v>138</v>
      </c>
      <c r="F334" t="s">
        <v>19</v>
      </c>
      <c r="G334" t="s">
        <v>20</v>
      </c>
      <c r="H334" t="s">
        <v>347</v>
      </c>
      <c r="I334">
        <v>2941.89</v>
      </c>
      <c r="J334">
        <v>3</v>
      </c>
      <c r="K334" s="1">
        <v>0.2</v>
      </c>
      <c r="L334">
        <v>401.47</v>
      </c>
      <c r="M334" t="s">
        <v>63</v>
      </c>
      <c r="N334" t="s">
        <v>32</v>
      </c>
      <c r="O334" t="str">
        <f t="shared" si="30"/>
        <v>28/05/2024</v>
      </c>
      <c r="P334">
        <f t="shared" si="31"/>
        <v>2024</v>
      </c>
      <c r="Q334">
        <f t="shared" si="32"/>
        <v>5</v>
      </c>
      <c r="R334" t="str">
        <f t="shared" si="33"/>
        <v>May</v>
      </c>
      <c r="S334" t="str">
        <f t="shared" si="34"/>
        <v>Low</v>
      </c>
      <c r="T334" s="1">
        <f t="shared" si="35"/>
        <v>0.13646669318023449</v>
      </c>
      <c r="U334">
        <f>SUM($I$2:I334)</f>
        <v>1122312.8699999996</v>
      </c>
      <c r="V334" s="1">
        <f>Table1[[#This Row],[Running total ]]/SUM(I:I)</f>
        <v>0.32385728585959483</v>
      </c>
    </row>
    <row r="335" spans="1:22" x14ac:dyDescent="0.3">
      <c r="A335" t="s">
        <v>847</v>
      </c>
      <c r="B335" t="s">
        <v>848</v>
      </c>
      <c r="C335" t="s">
        <v>535</v>
      </c>
      <c r="D335" t="s">
        <v>48</v>
      </c>
      <c r="E335" t="s">
        <v>110</v>
      </c>
      <c r="F335" t="s">
        <v>19</v>
      </c>
      <c r="G335" t="s">
        <v>36</v>
      </c>
      <c r="H335" t="s">
        <v>222</v>
      </c>
      <c r="I335">
        <v>5631</v>
      </c>
      <c r="J335">
        <v>6</v>
      </c>
      <c r="K335" s="1">
        <v>0.15</v>
      </c>
      <c r="L335">
        <v>1267.9100000000001</v>
      </c>
      <c r="M335" t="s">
        <v>38</v>
      </c>
      <c r="N335" t="s">
        <v>76</v>
      </c>
      <c r="O335" t="str">
        <f t="shared" si="30"/>
        <v>20/07/2024</v>
      </c>
      <c r="P335">
        <f t="shared" si="31"/>
        <v>2024</v>
      </c>
      <c r="Q335">
        <f t="shared" si="32"/>
        <v>7</v>
      </c>
      <c r="R335" t="str">
        <f t="shared" si="33"/>
        <v>July</v>
      </c>
      <c r="S335" t="str">
        <f t="shared" si="34"/>
        <v>Low</v>
      </c>
      <c r="T335" s="1">
        <f t="shared" si="35"/>
        <v>0.22516604510744095</v>
      </c>
      <c r="U335">
        <f>SUM($I$2:I335)</f>
        <v>1127943.8699999996</v>
      </c>
      <c r="V335" s="1">
        <f>Table1[[#This Row],[Running total ]]/SUM(I:I)</f>
        <v>0.32548218068653856</v>
      </c>
    </row>
    <row r="336" spans="1:22" x14ac:dyDescent="0.3">
      <c r="A336" t="s">
        <v>849</v>
      </c>
      <c r="B336" t="s">
        <v>850</v>
      </c>
      <c r="C336" t="s">
        <v>851</v>
      </c>
      <c r="D336" t="s">
        <v>137</v>
      </c>
      <c r="E336" t="s">
        <v>138</v>
      </c>
      <c r="F336" t="s">
        <v>67</v>
      </c>
      <c r="G336" t="s">
        <v>115</v>
      </c>
      <c r="H336" t="s">
        <v>212</v>
      </c>
      <c r="I336">
        <v>1340.43</v>
      </c>
      <c r="J336">
        <v>7</v>
      </c>
      <c r="K336" s="1">
        <v>0.2</v>
      </c>
      <c r="L336">
        <v>64.430000000000007</v>
      </c>
      <c r="M336" t="s">
        <v>107</v>
      </c>
      <c r="N336" t="s">
        <v>23</v>
      </c>
      <c r="O336" t="str">
        <f t="shared" si="30"/>
        <v>28/10/2024</v>
      </c>
      <c r="P336">
        <f t="shared" si="31"/>
        <v>2024</v>
      </c>
      <c r="Q336">
        <f t="shared" si="32"/>
        <v>10</v>
      </c>
      <c r="R336" t="str">
        <f t="shared" si="33"/>
        <v>October</v>
      </c>
      <c r="S336" t="str">
        <f t="shared" si="34"/>
        <v>Low</v>
      </c>
      <c r="T336" s="1">
        <f t="shared" si="35"/>
        <v>4.8066665174608149E-2</v>
      </c>
      <c r="U336">
        <f>SUM($I$2:I336)</f>
        <v>1129284.2999999996</v>
      </c>
      <c r="V336" s="1">
        <f>Table1[[#This Row],[Running total ]]/SUM(I:I)</f>
        <v>0.32586897837307383</v>
      </c>
    </row>
    <row r="337" spans="1:22" x14ac:dyDescent="0.3">
      <c r="A337" t="s">
        <v>852</v>
      </c>
      <c r="B337" t="s">
        <v>313</v>
      </c>
      <c r="C337" t="s">
        <v>189</v>
      </c>
      <c r="D337" t="s">
        <v>27</v>
      </c>
      <c r="E337" t="s">
        <v>43</v>
      </c>
      <c r="F337" t="s">
        <v>19</v>
      </c>
      <c r="G337" t="s">
        <v>20</v>
      </c>
      <c r="H337" t="s">
        <v>347</v>
      </c>
      <c r="I337">
        <v>11019.7</v>
      </c>
      <c r="J337">
        <v>10</v>
      </c>
      <c r="K337" s="1">
        <v>0.05</v>
      </c>
      <c r="L337">
        <v>3253.1</v>
      </c>
      <c r="M337" t="s">
        <v>117</v>
      </c>
      <c r="N337" t="s">
        <v>23</v>
      </c>
      <c r="O337" t="str">
        <f t="shared" si="30"/>
        <v>21/04/2025</v>
      </c>
      <c r="P337">
        <f t="shared" si="31"/>
        <v>2025</v>
      </c>
      <c r="Q337">
        <f t="shared" si="32"/>
        <v>4</v>
      </c>
      <c r="R337" t="str">
        <f t="shared" si="33"/>
        <v>April</v>
      </c>
      <c r="S337" t="str">
        <f t="shared" si="34"/>
        <v>High</v>
      </c>
      <c r="T337" s="1">
        <f t="shared" si="35"/>
        <v>0.29520767353013239</v>
      </c>
      <c r="U337">
        <f>SUM($I$2:I337)</f>
        <v>1140303.9999999995</v>
      </c>
      <c r="V337" s="1">
        <f>Table1[[#This Row],[Running total ]]/SUM(I:I)</f>
        <v>0.32904884935948331</v>
      </c>
    </row>
    <row r="338" spans="1:22" x14ac:dyDescent="0.3">
      <c r="A338" t="s">
        <v>853</v>
      </c>
      <c r="B338" t="s">
        <v>854</v>
      </c>
      <c r="C338" t="s">
        <v>346</v>
      </c>
      <c r="D338" t="s">
        <v>17</v>
      </c>
      <c r="E338" t="s">
        <v>54</v>
      </c>
      <c r="F338" t="s">
        <v>67</v>
      </c>
      <c r="G338" t="s">
        <v>85</v>
      </c>
      <c r="H338" t="s">
        <v>253</v>
      </c>
      <c r="I338">
        <v>10230</v>
      </c>
      <c r="J338">
        <v>10</v>
      </c>
      <c r="K338" s="1">
        <v>0.3</v>
      </c>
      <c r="L338">
        <v>-1953.84</v>
      </c>
      <c r="M338" t="s">
        <v>31</v>
      </c>
      <c r="N338" t="s">
        <v>39</v>
      </c>
      <c r="O338" t="str">
        <f t="shared" si="30"/>
        <v>04/05/2025</v>
      </c>
      <c r="P338">
        <f t="shared" si="31"/>
        <v>2025</v>
      </c>
      <c r="Q338">
        <f t="shared" si="32"/>
        <v>5</v>
      </c>
      <c r="R338" t="str">
        <f t="shared" si="33"/>
        <v>May</v>
      </c>
      <c r="S338" t="str">
        <f t="shared" si="34"/>
        <v>Low</v>
      </c>
      <c r="T338" s="1">
        <f t="shared" si="35"/>
        <v>-0.19099120234604106</v>
      </c>
      <c r="U338">
        <f>SUM($I$2:I338)</f>
        <v>1150533.9999999995</v>
      </c>
      <c r="V338" s="1">
        <f>Table1[[#This Row],[Running total ]]/SUM(I:I)</f>
        <v>0.33200084262526813</v>
      </c>
    </row>
    <row r="339" spans="1:22" x14ac:dyDescent="0.3">
      <c r="A339" t="s">
        <v>855</v>
      </c>
      <c r="B339" t="s">
        <v>856</v>
      </c>
      <c r="C339" t="s">
        <v>857</v>
      </c>
      <c r="D339" t="s">
        <v>137</v>
      </c>
      <c r="E339" t="s">
        <v>138</v>
      </c>
      <c r="F339" t="s">
        <v>67</v>
      </c>
      <c r="G339" t="s">
        <v>68</v>
      </c>
      <c r="H339" t="s">
        <v>103</v>
      </c>
      <c r="I339">
        <v>3400.11</v>
      </c>
      <c r="J339">
        <v>9</v>
      </c>
      <c r="K339" s="1">
        <v>0.15</v>
      </c>
      <c r="L339">
        <v>874.13</v>
      </c>
      <c r="M339" t="s">
        <v>87</v>
      </c>
      <c r="N339" t="s">
        <v>23</v>
      </c>
      <c r="O339" t="str">
        <f t="shared" si="30"/>
        <v>30/09/2024</v>
      </c>
      <c r="P339">
        <f t="shared" si="31"/>
        <v>2024</v>
      </c>
      <c r="Q339">
        <f t="shared" si="32"/>
        <v>9</v>
      </c>
      <c r="R339" t="str">
        <f t="shared" si="33"/>
        <v>September</v>
      </c>
      <c r="S339" t="str">
        <f t="shared" si="34"/>
        <v>Low</v>
      </c>
      <c r="T339" s="1">
        <f t="shared" si="35"/>
        <v>0.25708874124660669</v>
      </c>
      <c r="U339">
        <f>SUM($I$2:I339)</f>
        <v>1153934.1099999996</v>
      </c>
      <c r="V339" s="1">
        <f>Table1[[#This Row],[Running total ]]/SUM(I:I)</f>
        <v>0.33298198649847716</v>
      </c>
    </row>
    <row r="340" spans="1:22" x14ac:dyDescent="0.3">
      <c r="A340" t="s">
        <v>858</v>
      </c>
      <c r="B340" t="s">
        <v>835</v>
      </c>
      <c r="C340" t="s">
        <v>859</v>
      </c>
      <c r="D340" t="s">
        <v>17</v>
      </c>
      <c r="E340" t="s">
        <v>80</v>
      </c>
      <c r="F340" t="s">
        <v>67</v>
      </c>
      <c r="G340" t="s">
        <v>85</v>
      </c>
      <c r="H340" t="s">
        <v>253</v>
      </c>
      <c r="I340">
        <v>519.08000000000004</v>
      </c>
      <c r="J340">
        <v>2</v>
      </c>
      <c r="K340" s="1">
        <v>0.05</v>
      </c>
      <c r="L340">
        <v>161.53</v>
      </c>
      <c r="M340" t="s">
        <v>31</v>
      </c>
      <c r="N340" t="s">
        <v>39</v>
      </c>
      <c r="O340" t="str">
        <f t="shared" si="30"/>
        <v>31/07/2024</v>
      </c>
      <c r="P340">
        <f t="shared" si="31"/>
        <v>2024</v>
      </c>
      <c r="Q340">
        <f t="shared" si="32"/>
        <v>7</v>
      </c>
      <c r="R340" t="str">
        <f t="shared" si="33"/>
        <v>July</v>
      </c>
      <c r="S340" t="str">
        <f t="shared" si="34"/>
        <v>High</v>
      </c>
      <c r="T340" s="1">
        <f t="shared" si="35"/>
        <v>0.31118517376897586</v>
      </c>
      <c r="U340">
        <f>SUM($I$2:I340)</f>
        <v>1154453.1899999997</v>
      </c>
      <c r="V340" s="1">
        <f>Table1[[#This Row],[Running total ]]/SUM(I:I)</f>
        <v>0.33313177346469452</v>
      </c>
    </row>
    <row r="341" spans="1:22" x14ac:dyDescent="0.3">
      <c r="A341" t="s">
        <v>860</v>
      </c>
      <c r="B341" t="s">
        <v>861</v>
      </c>
      <c r="C341" t="s">
        <v>149</v>
      </c>
      <c r="D341" t="s">
        <v>17</v>
      </c>
      <c r="E341" t="s">
        <v>80</v>
      </c>
      <c r="F341" t="s">
        <v>55</v>
      </c>
      <c r="G341" t="s">
        <v>98</v>
      </c>
      <c r="H341" t="s">
        <v>99</v>
      </c>
      <c r="I341">
        <v>936.74</v>
      </c>
      <c r="J341">
        <v>2</v>
      </c>
      <c r="K341" s="1">
        <v>0.25</v>
      </c>
      <c r="L341">
        <v>50.32</v>
      </c>
      <c r="M341" t="s">
        <v>87</v>
      </c>
      <c r="N341" t="s">
        <v>39</v>
      </c>
      <c r="O341" t="str">
        <f t="shared" si="30"/>
        <v>18/10/2024</v>
      </c>
      <c r="P341">
        <f t="shared" si="31"/>
        <v>2024</v>
      </c>
      <c r="Q341">
        <f t="shared" si="32"/>
        <v>10</v>
      </c>
      <c r="R341" t="str">
        <f t="shared" si="33"/>
        <v>October</v>
      </c>
      <c r="S341" t="str">
        <f t="shared" si="34"/>
        <v>Low</v>
      </c>
      <c r="T341" s="1">
        <f t="shared" si="35"/>
        <v>5.3718214232337684E-2</v>
      </c>
      <c r="U341">
        <f>SUM($I$2:I341)</f>
        <v>1155389.9299999997</v>
      </c>
      <c r="V341" s="1">
        <f>Table1[[#This Row],[Running total ]]/SUM(I:I)</f>
        <v>0.33340208139937599</v>
      </c>
    </row>
    <row r="342" spans="1:22" x14ac:dyDescent="0.3">
      <c r="A342" t="s">
        <v>862</v>
      </c>
      <c r="B342" t="s">
        <v>863</v>
      </c>
      <c r="C342" t="s">
        <v>864</v>
      </c>
      <c r="D342" t="s">
        <v>137</v>
      </c>
      <c r="E342" t="s">
        <v>160</v>
      </c>
      <c r="F342" t="s">
        <v>19</v>
      </c>
      <c r="G342" t="s">
        <v>29</v>
      </c>
      <c r="H342" t="s">
        <v>199</v>
      </c>
      <c r="I342">
        <v>3373.92</v>
      </c>
      <c r="J342">
        <v>3</v>
      </c>
      <c r="K342" s="1">
        <v>0.3</v>
      </c>
      <c r="L342">
        <v>-292.88</v>
      </c>
      <c r="M342" t="s">
        <v>117</v>
      </c>
      <c r="N342" t="s">
        <v>76</v>
      </c>
      <c r="O342" t="str">
        <f t="shared" si="30"/>
        <v>29/09/2024</v>
      </c>
      <c r="P342">
        <f t="shared" si="31"/>
        <v>2024</v>
      </c>
      <c r="Q342">
        <f t="shared" si="32"/>
        <v>9</v>
      </c>
      <c r="R342" t="str">
        <f t="shared" si="33"/>
        <v>September</v>
      </c>
      <c r="S342" t="str">
        <f t="shared" si="34"/>
        <v>Low</v>
      </c>
      <c r="T342" s="1">
        <f t="shared" si="35"/>
        <v>-8.6807037511262855E-2</v>
      </c>
      <c r="U342">
        <f>SUM($I$2:I342)</f>
        <v>1158763.8499999996</v>
      </c>
      <c r="V342" s="1">
        <f>Table1[[#This Row],[Running total ]]/SUM(I:I)</f>
        <v>0.33437566782354966</v>
      </c>
    </row>
    <row r="343" spans="1:22" x14ac:dyDescent="0.3">
      <c r="A343" t="s">
        <v>865</v>
      </c>
      <c r="B343" t="s">
        <v>866</v>
      </c>
      <c r="C343" t="s">
        <v>120</v>
      </c>
      <c r="D343" t="s">
        <v>137</v>
      </c>
      <c r="E343" t="s">
        <v>160</v>
      </c>
      <c r="F343" t="s">
        <v>67</v>
      </c>
      <c r="G343" t="s">
        <v>68</v>
      </c>
      <c r="H343" t="s">
        <v>69</v>
      </c>
      <c r="I343">
        <v>864.71</v>
      </c>
      <c r="J343">
        <v>7</v>
      </c>
      <c r="K343" s="1">
        <v>0.05</v>
      </c>
      <c r="L343">
        <v>171.25</v>
      </c>
      <c r="M343" t="s">
        <v>107</v>
      </c>
      <c r="N343" t="s">
        <v>32</v>
      </c>
      <c r="O343" t="str">
        <f t="shared" si="30"/>
        <v>09/09/2025</v>
      </c>
      <c r="P343">
        <f t="shared" si="31"/>
        <v>2025</v>
      </c>
      <c r="Q343">
        <f t="shared" si="32"/>
        <v>9</v>
      </c>
      <c r="R343" t="str">
        <f t="shared" si="33"/>
        <v>September</v>
      </c>
      <c r="S343" t="str">
        <f t="shared" si="34"/>
        <v>High</v>
      </c>
      <c r="T343" s="1">
        <f t="shared" si="35"/>
        <v>0.19804327462386231</v>
      </c>
      <c r="U343">
        <f>SUM($I$2:I343)</f>
        <v>1159628.5599999996</v>
      </c>
      <c r="V343" s="1">
        <f>Table1[[#This Row],[Running total ]]/SUM(I:I)</f>
        <v>0.33462519060916612</v>
      </c>
    </row>
    <row r="344" spans="1:22" x14ac:dyDescent="0.3">
      <c r="A344" t="s">
        <v>867</v>
      </c>
      <c r="B344" t="s">
        <v>413</v>
      </c>
      <c r="C344" t="s">
        <v>175</v>
      </c>
      <c r="D344" t="s">
        <v>48</v>
      </c>
      <c r="E344" t="s">
        <v>84</v>
      </c>
      <c r="F344" t="s">
        <v>55</v>
      </c>
      <c r="G344" t="s">
        <v>56</v>
      </c>
      <c r="H344" t="s">
        <v>129</v>
      </c>
      <c r="I344">
        <v>9461.0400000000009</v>
      </c>
      <c r="J344">
        <v>8</v>
      </c>
      <c r="K344" s="1">
        <v>0.05</v>
      </c>
      <c r="L344">
        <v>3596.88</v>
      </c>
      <c r="M344" t="s">
        <v>117</v>
      </c>
      <c r="N344" t="s">
        <v>23</v>
      </c>
      <c r="O344" t="str">
        <f t="shared" si="30"/>
        <v>14/01/2025</v>
      </c>
      <c r="P344">
        <f t="shared" si="31"/>
        <v>2025</v>
      </c>
      <c r="Q344">
        <f t="shared" si="32"/>
        <v>1</v>
      </c>
      <c r="R344" t="str">
        <f t="shared" si="33"/>
        <v>January</v>
      </c>
      <c r="S344" t="str">
        <f t="shared" si="34"/>
        <v>High</v>
      </c>
      <c r="T344" s="1">
        <f t="shared" si="35"/>
        <v>0.38017807767433598</v>
      </c>
      <c r="U344">
        <f>SUM($I$2:I344)</f>
        <v>1169089.5999999996</v>
      </c>
      <c r="V344" s="1">
        <f>Table1[[#This Row],[Running total ]]/SUM(I:I)</f>
        <v>0.33735529093832756</v>
      </c>
    </row>
    <row r="345" spans="1:22" x14ac:dyDescent="0.3">
      <c r="A345" t="s">
        <v>868</v>
      </c>
      <c r="B345" t="s">
        <v>869</v>
      </c>
      <c r="C345" t="s">
        <v>367</v>
      </c>
      <c r="D345" t="s">
        <v>27</v>
      </c>
      <c r="E345" t="s">
        <v>28</v>
      </c>
      <c r="F345" t="s">
        <v>19</v>
      </c>
      <c r="G345" t="s">
        <v>20</v>
      </c>
      <c r="H345" t="s">
        <v>21</v>
      </c>
      <c r="I345">
        <v>706.32</v>
      </c>
      <c r="J345">
        <v>6</v>
      </c>
      <c r="K345" s="1">
        <v>0.15</v>
      </c>
      <c r="L345">
        <v>175.47</v>
      </c>
      <c r="M345" t="s">
        <v>87</v>
      </c>
      <c r="N345" t="s">
        <v>23</v>
      </c>
      <c r="O345" t="str">
        <f t="shared" si="30"/>
        <v>23/08/2024</v>
      </c>
      <c r="P345">
        <f t="shared" si="31"/>
        <v>2024</v>
      </c>
      <c r="Q345">
        <f t="shared" si="32"/>
        <v>8</v>
      </c>
      <c r="R345" t="str">
        <f t="shared" si="33"/>
        <v>August</v>
      </c>
      <c r="S345" t="str">
        <f t="shared" si="34"/>
        <v>Low</v>
      </c>
      <c r="T345" s="1">
        <f t="shared" si="35"/>
        <v>0.24842847434590551</v>
      </c>
      <c r="U345">
        <f>SUM($I$2:I345)</f>
        <v>1169795.9199999997</v>
      </c>
      <c r="V345" s="1">
        <f>Table1[[#This Row],[Running total ]]/SUM(I:I)</f>
        <v>0.33755910832674291</v>
      </c>
    </row>
    <row r="346" spans="1:22" x14ac:dyDescent="0.3">
      <c r="A346" t="s">
        <v>870</v>
      </c>
      <c r="B346" t="s">
        <v>632</v>
      </c>
      <c r="C346" t="s">
        <v>871</v>
      </c>
      <c r="D346" t="s">
        <v>48</v>
      </c>
      <c r="E346" t="s">
        <v>73</v>
      </c>
      <c r="F346" t="s">
        <v>67</v>
      </c>
      <c r="G346" t="s">
        <v>68</v>
      </c>
      <c r="H346" t="s">
        <v>69</v>
      </c>
      <c r="I346">
        <v>617.46</v>
      </c>
      <c r="J346">
        <v>3</v>
      </c>
      <c r="K346" s="1">
        <v>0.05</v>
      </c>
      <c r="L346">
        <v>118.29</v>
      </c>
      <c r="M346" t="s">
        <v>44</v>
      </c>
      <c r="N346" t="s">
        <v>23</v>
      </c>
      <c r="O346" t="str">
        <f t="shared" si="30"/>
        <v>08/04/2025</v>
      </c>
      <c r="P346">
        <f t="shared" si="31"/>
        <v>2025</v>
      </c>
      <c r="Q346">
        <f t="shared" si="32"/>
        <v>4</v>
      </c>
      <c r="R346" t="str">
        <f t="shared" si="33"/>
        <v>April</v>
      </c>
      <c r="S346" t="str">
        <f t="shared" si="34"/>
        <v>High</v>
      </c>
      <c r="T346" s="1">
        <f t="shared" si="35"/>
        <v>0.19157516276357983</v>
      </c>
      <c r="U346">
        <f>SUM($I$2:I346)</f>
        <v>1170413.3799999997</v>
      </c>
      <c r="V346" s="1">
        <f>Table1[[#This Row],[Running total ]]/SUM(I:I)</f>
        <v>0.33773728406104314</v>
      </c>
    </row>
    <row r="347" spans="1:22" x14ac:dyDescent="0.3">
      <c r="A347" t="s">
        <v>872</v>
      </c>
      <c r="B347" t="s">
        <v>873</v>
      </c>
      <c r="C347" t="s">
        <v>618</v>
      </c>
      <c r="D347" t="s">
        <v>48</v>
      </c>
      <c r="E347" t="s">
        <v>84</v>
      </c>
      <c r="F347" t="s">
        <v>67</v>
      </c>
      <c r="G347" t="s">
        <v>68</v>
      </c>
      <c r="H347" t="s">
        <v>382</v>
      </c>
      <c r="I347">
        <v>5789.45</v>
      </c>
      <c r="J347">
        <v>5</v>
      </c>
      <c r="K347" s="1">
        <v>0.2</v>
      </c>
      <c r="L347">
        <v>-442.27</v>
      </c>
      <c r="M347" t="s">
        <v>44</v>
      </c>
      <c r="N347" t="s">
        <v>39</v>
      </c>
      <c r="O347" t="str">
        <f t="shared" si="30"/>
        <v>11/08/2025</v>
      </c>
      <c r="P347">
        <f t="shared" si="31"/>
        <v>2025</v>
      </c>
      <c r="Q347">
        <f t="shared" si="32"/>
        <v>8</v>
      </c>
      <c r="R347" t="str">
        <f t="shared" si="33"/>
        <v>August</v>
      </c>
      <c r="S347" t="str">
        <f t="shared" si="34"/>
        <v>Low</v>
      </c>
      <c r="T347" s="1">
        <f t="shared" si="35"/>
        <v>-7.639240342346855E-2</v>
      </c>
      <c r="U347">
        <f>SUM($I$2:I347)</f>
        <v>1176202.8299999996</v>
      </c>
      <c r="V347" s="1">
        <f>Table1[[#This Row],[Running total ]]/SUM(I:I)</f>
        <v>0.33940790159893153</v>
      </c>
    </row>
    <row r="348" spans="1:22" x14ac:dyDescent="0.3">
      <c r="A348" t="s">
        <v>874</v>
      </c>
      <c r="B348" t="s">
        <v>875</v>
      </c>
      <c r="C348" t="s">
        <v>851</v>
      </c>
      <c r="D348" t="s">
        <v>137</v>
      </c>
      <c r="E348" t="s">
        <v>242</v>
      </c>
      <c r="F348" t="s">
        <v>19</v>
      </c>
      <c r="G348" t="s">
        <v>20</v>
      </c>
      <c r="H348" t="s">
        <v>21</v>
      </c>
      <c r="I348">
        <v>71.16</v>
      </c>
      <c r="J348">
        <v>1</v>
      </c>
      <c r="K348" s="1">
        <v>0.2</v>
      </c>
      <c r="L348">
        <v>-9.0500000000000007</v>
      </c>
      <c r="M348" t="s">
        <v>63</v>
      </c>
      <c r="N348" t="s">
        <v>32</v>
      </c>
      <c r="O348" t="str">
        <f t="shared" si="30"/>
        <v>01/12/2025</v>
      </c>
      <c r="P348">
        <f t="shared" si="31"/>
        <v>2025</v>
      </c>
      <c r="Q348">
        <f t="shared" si="32"/>
        <v>12</v>
      </c>
      <c r="R348" t="str">
        <f t="shared" si="33"/>
        <v>December</v>
      </c>
      <c r="S348" t="str">
        <f t="shared" si="34"/>
        <v>Low</v>
      </c>
      <c r="T348" s="1">
        <f t="shared" si="35"/>
        <v>-0.12717818999437888</v>
      </c>
      <c r="U348">
        <f>SUM($I$2:I348)</f>
        <v>1176273.9899999995</v>
      </c>
      <c r="V348" s="1">
        <f>Table1[[#This Row],[Running total ]]/SUM(I:I)</f>
        <v>0.33942843569871578</v>
      </c>
    </row>
    <row r="349" spans="1:22" x14ac:dyDescent="0.3">
      <c r="A349" t="s">
        <v>876</v>
      </c>
      <c r="B349" t="s">
        <v>877</v>
      </c>
      <c r="C349" t="s">
        <v>661</v>
      </c>
      <c r="D349" t="s">
        <v>137</v>
      </c>
      <c r="E349" t="s">
        <v>138</v>
      </c>
      <c r="F349" t="s">
        <v>19</v>
      </c>
      <c r="G349" t="s">
        <v>20</v>
      </c>
      <c r="H349" t="s">
        <v>239</v>
      </c>
      <c r="I349">
        <v>1045.19</v>
      </c>
      <c r="J349">
        <v>1</v>
      </c>
      <c r="K349" s="1">
        <v>0</v>
      </c>
      <c r="L349">
        <v>261.37</v>
      </c>
      <c r="M349" t="s">
        <v>44</v>
      </c>
      <c r="N349" t="s">
        <v>76</v>
      </c>
      <c r="O349" t="str">
        <f t="shared" si="30"/>
        <v>28/12/2025</v>
      </c>
      <c r="P349">
        <f t="shared" si="31"/>
        <v>2025</v>
      </c>
      <c r="Q349">
        <f t="shared" si="32"/>
        <v>12</v>
      </c>
      <c r="R349" t="str">
        <f t="shared" si="33"/>
        <v>December</v>
      </c>
      <c r="S349" t="str">
        <f t="shared" si="34"/>
        <v>No Discount</v>
      </c>
      <c r="T349" s="1">
        <f t="shared" si="35"/>
        <v>0.25006936537854363</v>
      </c>
      <c r="U349">
        <f>SUM($I$2:I349)</f>
        <v>1177319.1799999995</v>
      </c>
      <c r="V349" s="1">
        <f>Table1[[#This Row],[Running total ]]/SUM(I:I)</f>
        <v>0.33973003822476322</v>
      </c>
    </row>
    <row r="350" spans="1:22" x14ac:dyDescent="0.3">
      <c r="A350" t="s">
        <v>878</v>
      </c>
      <c r="B350" t="s">
        <v>879</v>
      </c>
      <c r="C350" t="s">
        <v>163</v>
      </c>
      <c r="D350" t="s">
        <v>17</v>
      </c>
      <c r="E350" t="s">
        <v>97</v>
      </c>
      <c r="F350" t="s">
        <v>55</v>
      </c>
      <c r="G350" t="s">
        <v>74</v>
      </c>
      <c r="H350" t="s">
        <v>133</v>
      </c>
      <c r="I350">
        <v>206.46</v>
      </c>
      <c r="J350">
        <v>6</v>
      </c>
      <c r="K350" s="1">
        <v>0</v>
      </c>
      <c r="L350">
        <v>89.12</v>
      </c>
      <c r="M350" t="s">
        <v>44</v>
      </c>
      <c r="N350" t="s">
        <v>76</v>
      </c>
      <c r="O350" t="str">
        <f t="shared" si="30"/>
        <v>27/06/2024</v>
      </c>
      <c r="P350">
        <f t="shared" si="31"/>
        <v>2024</v>
      </c>
      <c r="Q350">
        <f t="shared" si="32"/>
        <v>6</v>
      </c>
      <c r="R350" t="str">
        <f t="shared" si="33"/>
        <v>June</v>
      </c>
      <c r="S350" t="str">
        <f t="shared" si="34"/>
        <v>No Discount</v>
      </c>
      <c r="T350" s="1">
        <f t="shared" si="35"/>
        <v>0.43165746391552845</v>
      </c>
      <c r="U350">
        <f>SUM($I$2:I350)</f>
        <v>1177525.6399999994</v>
      </c>
      <c r="V350" s="1">
        <f>Table1[[#This Row],[Running total ]]/SUM(I:I)</f>
        <v>0.33978961481612724</v>
      </c>
    </row>
    <row r="351" spans="1:22" x14ac:dyDescent="0.3">
      <c r="A351" t="s">
        <v>880</v>
      </c>
      <c r="B351" t="s">
        <v>877</v>
      </c>
      <c r="C351" t="s">
        <v>851</v>
      </c>
      <c r="D351" t="s">
        <v>48</v>
      </c>
      <c r="E351" t="s">
        <v>73</v>
      </c>
      <c r="F351" t="s">
        <v>19</v>
      </c>
      <c r="G351" t="s">
        <v>36</v>
      </c>
      <c r="H351" t="s">
        <v>222</v>
      </c>
      <c r="I351">
        <v>262.68</v>
      </c>
      <c r="J351">
        <v>4</v>
      </c>
      <c r="K351" s="1">
        <v>0.1</v>
      </c>
      <c r="L351">
        <v>83.55</v>
      </c>
      <c r="M351" t="s">
        <v>38</v>
      </c>
      <c r="N351" t="s">
        <v>23</v>
      </c>
      <c r="O351" t="str">
        <f t="shared" si="30"/>
        <v>28/12/2025</v>
      </c>
      <c r="P351">
        <f t="shared" si="31"/>
        <v>2025</v>
      </c>
      <c r="Q351">
        <f t="shared" si="32"/>
        <v>12</v>
      </c>
      <c r="R351" t="str">
        <f t="shared" si="33"/>
        <v>December</v>
      </c>
      <c r="S351" t="str">
        <f t="shared" si="34"/>
        <v>Low</v>
      </c>
      <c r="T351" s="1">
        <f t="shared" si="35"/>
        <v>0.31806761078117862</v>
      </c>
      <c r="U351">
        <f>SUM($I$2:I351)</f>
        <v>1177788.3199999994</v>
      </c>
      <c r="V351" s="1">
        <f>Table1[[#This Row],[Running total ]]/SUM(I:I)</f>
        <v>0.33986541438514545</v>
      </c>
    </row>
    <row r="352" spans="1:22" x14ac:dyDescent="0.3">
      <c r="A352" t="s">
        <v>881</v>
      </c>
      <c r="B352" t="s">
        <v>882</v>
      </c>
      <c r="C352" t="s">
        <v>588</v>
      </c>
      <c r="D352" t="s">
        <v>137</v>
      </c>
      <c r="E352" t="s">
        <v>242</v>
      </c>
      <c r="F352" t="s">
        <v>67</v>
      </c>
      <c r="G352" t="s">
        <v>68</v>
      </c>
      <c r="H352" t="s">
        <v>103</v>
      </c>
      <c r="I352">
        <v>4052.93</v>
      </c>
      <c r="J352">
        <v>7</v>
      </c>
      <c r="K352" s="1">
        <v>0.3</v>
      </c>
      <c r="L352">
        <v>253.33</v>
      </c>
      <c r="M352" t="s">
        <v>87</v>
      </c>
      <c r="N352" t="s">
        <v>23</v>
      </c>
      <c r="O352" t="str">
        <f t="shared" si="30"/>
        <v>05/10/2025</v>
      </c>
      <c r="P352">
        <f t="shared" si="31"/>
        <v>2025</v>
      </c>
      <c r="Q352">
        <f t="shared" si="32"/>
        <v>10</v>
      </c>
      <c r="R352" t="str">
        <f t="shared" si="33"/>
        <v>October</v>
      </c>
      <c r="S352" t="str">
        <f t="shared" si="34"/>
        <v>Low</v>
      </c>
      <c r="T352" s="1">
        <f t="shared" si="35"/>
        <v>6.2505397329832985E-2</v>
      </c>
      <c r="U352">
        <f>SUM($I$2:I352)</f>
        <v>1181841.2499999993</v>
      </c>
      <c r="V352" s="1">
        <f>Table1[[#This Row],[Running total ]]/SUM(I:I)</f>
        <v>0.34103493755882064</v>
      </c>
    </row>
    <row r="353" spans="1:22" x14ac:dyDescent="0.3">
      <c r="A353" t="s">
        <v>883</v>
      </c>
      <c r="B353" t="s">
        <v>884</v>
      </c>
      <c r="C353" t="s">
        <v>141</v>
      </c>
      <c r="D353" t="s">
        <v>27</v>
      </c>
      <c r="E353" t="s">
        <v>43</v>
      </c>
      <c r="F353" t="s">
        <v>67</v>
      </c>
      <c r="G353" t="s">
        <v>115</v>
      </c>
      <c r="H353" t="s">
        <v>116</v>
      </c>
      <c r="I353">
        <v>3228.66</v>
      </c>
      <c r="J353">
        <v>9</v>
      </c>
      <c r="K353" s="1">
        <v>0.1</v>
      </c>
      <c r="L353">
        <v>467.87</v>
      </c>
      <c r="M353" t="s">
        <v>107</v>
      </c>
      <c r="N353" t="s">
        <v>32</v>
      </c>
      <c r="O353" t="str">
        <f t="shared" si="30"/>
        <v>19/01/2024</v>
      </c>
      <c r="P353">
        <f t="shared" si="31"/>
        <v>2024</v>
      </c>
      <c r="Q353">
        <f t="shared" si="32"/>
        <v>1</v>
      </c>
      <c r="R353" t="str">
        <f t="shared" si="33"/>
        <v>January</v>
      </c>
      <c r="S353" t="str">
        <f t="shared" si="34"/>
        <v>Low</v>
      </c>
      <c r="T353" s="1">
        <f t="shared" si="35"/>
        <v>0.14491151127712426</v>
      </c>
      <c r="U353">
        <f>SUM($I$2:I353)</f>
        <v>1185069.9099999992</v>
      </c>
      <c r="V353" s="1">
        <f>Table1[[#This Row],[Running total ]]/SUM(I:I)</f>
        <v>0.34196660740999446</v>
      </c>
    </row>
    <row r="354" spans="1:22" x14ac:dyDescent="0.3">
      <c r="A354" t="s">
        <v>885</v>
      </c>
      <c r="B354" t="s">
        <v>562</v>
      </c>
      <c r="C354" t="s">
        <v>745</v>
      </c>
      <c r="D354" t="s">
        <v>27</v>
      </c>
      <c r="E354" t="s">
        <v>61</v>
      </c>
      <c r="F354" t="s">
        <v>67</v>
      </c>
      <c r="G354" t="s">
        <v>85</v>
      </c>
      <c r="H354" t="s">
        <v>125</v>
      </c>
      <c r="I354">
        <v>4011.66</v>
      </c>
      <c r="J354">
        <v>6</v>
      </c>
      <c r="K354" s="1">
        <v>0.25</v>
      </c>
      <c r="L354">
        <v>-745.53</v>
      </c>
      <c r="M354" t="s">
        <v>63</v>
      </c>
      <c r="N354" t="s">
        <v>32</v>
      </c>
      <c r="O354" t="str">
        <f t="shared" si="30"/>
        <v>17/02/2024</v>
      </c>
      <c r="P354">
        <f t="shared" si="31"/>
        <v>2024</v>
      </c>
      <c r="Q354">
        <f t="shared" si="32"/>
        <v>2</v>
      </c>
      <c r="R354" t="str">
        <f t="shared" si="33"/>
        <v>February</v>
      </c>
      <c r="S354" t="str">
        <f t="shared" si="34"/>
        <v>Low</v>
      </c>
      <c r="T354" s="1">
        <f t="shared" si="35"/>
        <v>-0.18584077414337208</v>
      </c>
      <c r="U354">
        <f>SUM($I$2:I354)</f>
        <v>1189081.5699999991</v>
      </c>
      <c r="V354" s="1">
        <f>Table1[[#This Row],[Running total ]]/SUM(I:I)</f>
        <v>0.34312422161376949</v>
      </c>
    </row>
    <row r="355" spans="1:22" x14ac:dyDescent="0.3">
      <c r="A355" t="s">
        <v>886</v>
      </c>
      <c r="B355" t="s">
        <v>887</v>
      </c>
      <c r="C355" t="s">
        <v>666</v>
      </c>
      <c r="D355" t="s">
        <v>48</v>
      </c>
      <c r="E355" t="s">
        <v>73</v>
      </c>
      <c r="F355" t="s">
        <v>55</v>
      </c>
      <c r="G355" t="s">
        <v>56</v>
      </c>
      <c r="H355" t="s">
        <v>129</v>
      </c>
      <c r="I355">
        <v>420.4</v>
      </c>
      <c r="J355">
        <v>4</v>
      </c>
      <c r="K355" s="1">
        <v>0.1</v>
      </c>
      <c r="L355">
        <v>79.849999999999994</v>
      </c>
      <c r="M355" t="s">
        <v>117</v>
      </c>
      <c r="N355" t="s">
        <v>23</v>
      </c>
      <c r="O355" t="str">
        <f t="shared" si="30"/>
        <v>06/10/2024</v>
      </c>
      <c r="P355">
        <f t="shared" si="31"/>
        <v>2024</v>
      </c>
      <c r="Q355">
        <f t="shared" si="32"/>
        <v>10</v>
      </c>
      <c r="R355" t="str">
        <f t="shared" si="33"/>
        <v>October</v>
      </c>
      <c r="S355" t="str">
        <f t="shared" si="34"/>
        <v>Low</v>
      </c>
      <c r="T355" s="1">
        <f t="shared" si="35"/>
        <v>0.18993815413891532</v>
      </c>
      <c r="U355">
        <f>SUM($I$2:I355)</f>
        <v>1189501.969999999</v>
      </c>
      <c r="V355" s="1">
        <f>Table1[[#This Row],[Running total ]]/SUM(I:I)</f>
        <v>0.34324553324318646</v>
      </c>
    </row>
    <row r="356" spans="1:22" x14ac:dyDescent="0.3">
      <c r="A356" t="s">
        <v>888</v>
      </c>
      <c r="B356" t="s">
        <v>148</v>
      </c>
      <c r="C356" t="s">
        <v>316</v>
      </c>
      <c r="D356" t="s">
        <v>27</v>
      </c>
      <c r="E356" t="s">
        <v>124</v>
      </c>
      <c r="F356" t="s">
        <v>55</v>
      </c>
      <c r="G356" t="s">
        <v>98</v>
      </c>
      <c r="H356" t="s">
        <v>99</v>
      </c>
      <c r="I356">
        <v>3379.98</v>
      </c>
      <c r="J356">
        <v>3</v>
      </c>
      <c r="K356" s="1">
        <v>0.2</v>
      </c>
      <c r="L356">
        <v>-132.01</v>
      </c>
      <c r="M356" t="s">
        <v>63</v>
      </c>
      <c r="N356" t="s">
        <v>23</v>
      </c>
      <c r="O356" t="str">
        <f t="shared" si="30"/>
        <v>02/09/2025</v>
      </c>
      <c r="P356">
        <f t="shared" si="31"/>
        <v>2025</v>
      </c>
      <c r="Q356">
        <f t="shared" si="32"/>
        <v>9</v>
      </c>
      <c r="R356" t="str">
        <f t="shared" si="33"/>
        <v>September</v>
      </c>
      <c r="S356" t="str">
        <f t="shared" si="34"/>
        <v>Low</v>
      </c>
      <c r="T356" s="1">
        <f t="shared" si="35"/>
        <v>-3.9056444120971125E-2</v>
      </c>
      <c r="U356">
        <f>SUM($I$2:I356)</f>
        <v>1192881.949999999</v>
      </c>
      <c r="V356" s="1">
        <f>Table1[[#This Row],[Running total ]]/SUM(I:I)</f>
        <v>0.34422086835545307</v>
      </c>
    </row>
    <row r="357" spans="1:22" x14ac:dyDescent="0.3">
      <c r="A357" t="s">
        <v>889</v>
      </c>
      <c r="B357" t="s">
        <v>518</v>
      </c>
      <c r="C357" t="s">
        <v>625</v>
      </c>
      <c r="D357" t="s">
        <v>137</v>
      </c>
      <c r="E357" t="s">
        <v>138</v>
      </c>
      <c r="F357" t="s">
        <v>55</v>
      </c>
      <c r="G357" t="s">
        <v>74</v>
      </c>
      <c r="H357" t="s">
        <v>272</v>
      </c>
      <c r="I357">
        <v>9321.2000000000007</v>
      </c>
      <c r="J357">
        <v>10</v>
      </c>
      <c r="K357" s="1">
        <v>0.3</v>
      </c>
      <c r="L357">
        <v>-2233.0700000000002</v>
      </c>
      <c r="M357" t="s">
        <v>195</v>
      </c>
      <c r="N357" t="s">
        <v>23</v>
      </c>
      <c r="O357" t="str">
        <f t="shared" si="30"/>
        <v>28/01/2025</v>
      </c>
      <c r="P357">
        <f t="shared" si="31"/>
        <v>2025</v>
      </c>
      <c r="Q357">
        <f t="shared" si="32"/>
        <v>1</v>
      </c>
      <c r="R357" t="str">
        <f t="shared" si="33"/>
        <v>January</v>
      </c>
      <c r="S357" t="str">
        <f t="shared" si="34"/>
        <v>Low</v>
      </c>
      <c r="T357" s="1">
        <f t="shared" si="35"/>
        <v>-0.23956893962150796</v>
      </c>
      <c r="U357">
        <f>SUM($I$2:I357)</f>
        <v>1202203.149999999</v>
      </c>
      <c r="V357" s="1">
        <f>Table1[[#This Row],[Running total ]]/SUM(I:I)</f>
        <v>0.34691061611977697</v>
      </c>
    </row>
    <row r="358" spans="1:22" x14ac:dyDescent="0.3">
      <c r="A358" t="s">
        <v>890</v>
      </c>
      <c r="B358" t="s">
        <v>488</v>
      </c>
      <c r="C358" t="s">
        <v>172</v>
      </c>
      <c r="D358" t="s">
        <v>27</v>
      </c>
      <c r="E358" t="s">
        <v>43</v>
      </c>
      <c r="F358" t="s">
        <v>19</v>
      </c>
      <c r="G358" t="s">
        <v>20</v>
      </c>
      <c r="H358" t="s">
        <v>347</v>
      </c>
      <c r="I358">
        <v>1562.48</v>
      </c>
      <c r="J358">
        <v>8</v>
      </c>
      <c r="K358" s="1">
        <v>0</v>
      </c>
      <c r="L358">
        <v>549.61</v>
      </c>
      <c r="M358" t="s">
        <v>22</v>
      </c>
      <c r="N358" t="s">
        <v>32</v>
      </c>
      <c r="O358" t="str">
        <f t="shared" si="30"/>
        <v>16/06/2025</v>
      </c>
      <c r="P358">
        <f t="shared" si="31"/>
        <v>2025</v>
      </c>
      <c r="Q358">
        <f t="shared" si="32"/>
        <v>6</v>
      </c>
      <c r="R358" t="str">
        <f t="shared" si="33"/>
        <v>June</v>
      </c>
      <c r="S358" t="str">
        <f t="shared" si="34"/>
        <v>No Discount</v>
      </c>
      <c r="T358" s="1">
        <f t="shared" si="35"/>
        <v>0.35175490246275154</v>
      </c>
      <c r="U358">
        <f>SUM($I$2:I358)</f>
        <v>1203765.629999999</v>
      </c>
      <c r="V358" s="1">
        <f>Table1[[#This Row],[Running total ]]/SUM(I:I)</f>
        <v>0.34736148908536085</v>
      </c>
    </row>
    <row r="359" spans="1:22" x14ac:dyDescent="0.3">
      <c r="A359" t="s">
        <v>891</v>
      </c>
      <c r="B359" t="s">
        <v>892</v>
      </c>
      <c r="C359" t="s">
        <v>797</v>
      </c>
      <c r="D359" t="s">
        <v>48</v>
      </c>
      <c r="E359" t="s">
        <v>49</v>
      </c>
      <c r="F359" t="s">
        <v>55</v>
      </c>
      <c r="G359" t="s">
        <v>56</v>
      </c>
      <c r="H359" t="s">
        <v>57</v>
      </c>
      <c r="I359">
        <v>11197.8</v>
      </c>
      <c r="J359">
        <v>10</v>
      </c>
      <c r="K359" s="1">
        <v>0.3</v>
      </c>
      <c r="L359">
        <v>-106.38</v>
      </c>
      <c r="M359" t="s">
        <v>22</v>
      </c>
      <c r="N359" t="s">
        <v>76</v>
      </c>
      <c r="O359" t="str">
        <f t="shared" si="30"/>
        <v>03/02/2025</v>
      </c>
      <c r="P359">
        <f t="shared" si="31"/>
        <v>2025</v>
      </c>
      <c r="Q359">
        <f t="shared" si="32"/>
        <v>2</v>
      </c>
      <c r="R359" t="str">
        <f t="shared" si="33"/>
        <v>February</v>
      </c>
      <c r="S359" t="str">
        <f t="shared" si="34"/>
        <v>Low</v>
      </c>
      <c r="T359" s="1">
        <f t="shared" si="35"/>
        <v>-9.5000803729303977E-3</v>
      </c>
      <c r="U359">
        <f>SUM($I$2:I359)</f>
        <v>1214963.429999999</v>
      </c>
      <c r="V359" s="1">
        <f>Table1[[#This Row],[Running total ]]/SUM(I:I)</f>
        <v>0.3505927530337094</v>
      </c>
    </row>
    <row r="360" spans="1:22" x14ac:dyDescent="0.3">
      <c r="A360" t="s">
        <v>893</v>
      </c>
      <c r="B360" t="s">
        <v>894</v>
      </c>
      <c r="C360" t="s">
        <v>128</v>
      </c>
      <c r="D360" t="s">
        <v>48</v>
      </c>
      <c r="E360" t="s">
        <v>84</v>
      </c>
      <c r="F360" t="s">
        <v>19</v>
      </c>
      <c r="G360" t="s">
        <v>36</v>
      </c>
      <c r="H360" t="s">
        <v>111</v>
      </c>
      <c r="I360">
        <v>190.44</v>
      </c>
      <c r="J360">
        <v>6</v>
      </c>
      <c r="K360" s="1">
        <v>0</v>
      </c>
      <c r="L360">
        <v>43.34</v>
      </c>
      <c r="M360" t="s">
        <v>63</v>
      </c>
      <c r="N360" t="s">
        <v>32</v>
      </c>
      <c r="O360" t="str">
        <f t="shared" si="30"/>
        <v>28/03/2024</v>
      </c>
      <c r="P360">
        <f t="shared" si="31"/>
        <v>2024</v>
      </c>
      <c r="Q360">
        <f t="shared" si="32"/>
        <v>3</v>
      </c>
      <c r="R360" t="str">
        <f t="shared" si="33"/>
        <v>March</v>
      </c>
      <c r="S360" t="str">
        <f t="shared" si="34"/>
        <v>No Discount</v>
      </c>
      <c r="T360" s="1">
        <f t="shared" si="35"/>
        <v>0.22757823986557449</v>
      </c>
      <c r="U360">
        <f>SUM($I$2:I360)</f>
        <v>1215153.8699999989</v>
      </c>
      <c r="V360" s="1">
        <f>Table1[[#This Row],[Running total ]]/SUM(I:I)</f>
        <v>0.35064770685556046</v>
      </c>
    </row>
    <row r="361" spans="1:22" x14ac:dyDescent="0.3">
      <c r="A361" t="s">
        <v>895</v>
      </c>
      <c r="B361" t="s">
        <v>765</v>
      </c>
      <c r="C361" t="s">
        <v>186</v>
      </c>
      <c r="D361" t="s">
        <v>17</v>
      </c>
      <c r="E361" t="s">
        <v>54</v>
      </c>
      <c r="F361" t="s">
        <v>19</v>
      </c>
      <c r="G361" t="s">
        <v>36</v>
      </c>
      <c r="H361" t="s">
        <v>111</v>
      </c>
      <c r="I361">
        <v>6080.85</v>
      </c>
      <c r="J361">
        <v>9</v>
      </c>
      <c r="K361" s="1">
        <v>0.1</v>
      </c>
      <c r="L361">
        <v>80.41</v>
      </c>
      <c r="M361" t="s">
        <v>31</v>
      </c>
      <c r="N361" t="s">
        <v>23</v>
      </c>
      <c r="O361" t="str">
        <f t="shared" si="30"/>
        <v>09/04/2024</v>
      </c>
      <c r="P361">
        <f t="shared" si="31"/>
        <v>2024</v>
      </c>
      <c r="Q361">
        <f t="shared" si="32"/>
        <v>4</v>
      </c>
      <c r="R361" t="str">
        <f t="shared" si="33"/>
        <v>April</v>
      </c>
      <c r="S361" t="str">
        <f t="shared" si="34"/>
        <v>Low</v>
      </c>
      <c r="T361" s="1">
        <f t="shared" si="35"/>
        <v>1.3223480270028037E-2</v>
      </c>
      <c r="U361">
        <f>SUM($I$2:I361)</f>
        <v>1221234.719999999</v>
      </c>
      <c r="V361" s="1">
        <f>Table1[[#This Row],[Running total ]]/SUM(I:I)</f>
        <v>0.35240241147435303</v>
      </c>
    </row>
    <row r="362" spans="1:22" x14ac:dyDescent="0.3">
      <c r="A362" t="s">
        <v>896</v>
      </c>
      <c r="B362" t="s">
        <v>897</v>
      </c>
      <c r="C362" t="s">
        <v>556</v>
      </c>
      <c r="D362" t="s">
        <v>48</v>
      </c>
      <c r="E362" t="s">
        <v>49</v>
      </c>
      <c r="F362" t="s">
        <v>19</v>
      </c>
      <c r="G362" t="s">
        <v>36</v>
      </c>
      <c r="H362" t="s">
        <v>222</v>
      </c>
      <c r="I362">
        <v>920.82</v>
      </c>
      <c r="J362">
        <v>3</v>
      </c>
      <c r="K362" s="1">
        <v>0.15</v>
      </c>
      <c r="L362">
        <v>-60.36</v>
      </c>
      <c r="M362" t="s">
        <v>107</v>
      </c>
      <c r="N362" t="s">
        <v>76</v>
      </c>
      <c r="O362" t="str">
        <f t="shared" si="30"/>
        <v>23/03/2024</v>
      </c>
      <c r="P362">
        <f t="shared" si="31"/>
        <v>2024</v>
      </c>
      <c r="Q362">
        <f t="shared" si="32"/>
        <v>3</v>
      </c>
      <c r="R362" t="str">
        <f t="shared" si="33"/>
        <v>March</v>
      </c>
      <c r="S362" t="str">
        <f t="shared" si="34"/>
        <v>Low</v>
      </c>
      <c r="T362" s="1">
        <f t="shared" si="35"/>
        <v>-6.555027041115527E-2</v>
      </c>
      <c r="U362">
        <f>SUM($I$2:I362)</f>
        <v>1222155.5399999991</v>
      </c>
      <c r="V362" s="1">
        <f>Table1[[#This Row],[Running total ]]/SUM(I:I)</f>
        <v>0.35266812549576065</v>
      </c>
    </row>
    <row r="363" spans="1:22" x14ac:dyDescent="0.3">
      <c r="A363" t="s">
        <v>898</v>
      </c>
      <c r="B363" t="s">
        <v>545</v>
      </c>
      <c r="C363" t="s">
        <v>678</v>
      </c>
      <c r="D363" t="s">
        <v>27</v>
      </c>
      <c r="E363" t="s">
        <v>124</v>
      </c>
      <c r="F363" t="s">
        <v>67</v>
      </c>
      <c r="G363" t="s">
        <v>115</v>
      </c>
      <c r="H363" t="s">
        <v>178</v>
      </c>
      <c r="I363">
        <v>4115.1000000000004</v>
      </c>
      <c r="J363">
        <v>5</v>
      </c>
      <c r="K363" s="1">
        <v>0.3</v>
      </c>
      <c r="L363">
        <v>-766.16</v>
      </c>
      <c r="M363" t="s">
        <v>63</v>
      </c>
      <c r="N363" t="s">
        <v>39</v>
      </c>
      <c r="O363" t="str">
        <f t="shared" si="30"/>
        <v>16/04/2025</v>
      </c>
      <c r="P363">
        <f t="shared" si="31"/>
        <v>2025</v>
      </c>
      <c r="Q363">
        <f t="shared" si="32"/>
        <v>4</v>
      </c>
      <c r="R363" t="str">
        <f t="shared" si="33"/>
        <v>April</v>
      </c>
      <c r="S363" t="str">
        <f t="shared" si="34"/>
        <v>Low</v>
      </c>
      <c r="T363" s="1">
        <f t="shared" si="35"/>
        <v>-0.18618259580569121</v>
      </c>
      <c r="U363">
        <f>SUM($I$2:I363)</f>
        <v>1226270.6399999992</v>
      </c>
      <c r="V363" s="1">
        <f>Table1[[#This Row],[Running total ]]/SUM(I:I)</f>
        <v>0.35385558859331995</v>
      </c>
    </row>
    <row r="364" spans="1:22" x14ac:dyDescent="0.3">
      <c r="A364" t="s">
        <v>899</v>
      </c>
      <c r="B364" t="s">
        <v>900</v>
      </c>
      <c r="C364" t="s">
        <v>625</v>
      </c>
      <c r="D364" t="s">
        <v>48</v>
      </c>
      <c r="E364" t="s">
        <v>110</v>
      </c>
      <c r="F364" t="s">
        <v>67</v>
      </c>
      <c r="G364" t="s">
        <v>85</v>
      </c>
      <c r="H364" t="s">
        <v>125</v>
      </c>
      <c r="I364">
        <v>77.81</v>
      </c>
      <c r="J364">
        <v>1</v>
      </c>
      <c r="K364" s="1">
        <v>0</v>
      </c>
      <c r="L364">
        <v>32.72</v>
      </c>
      <c r="M364" t="s">
        <v>31</v>
      </c>
      <c r="N364" t="s">
        <v>39</v>
      </c>
      <c r="O364" t="str">
        <f t="shared" si="30"/>
        <v>13/05/2024</v>
      </c>
      <c r="P364">
        <f t="shared" si="31"/>
        <v>2024</v>
      </c>
      <c r="Q364">
        <f t="shared" si="32"/>
        <v>5</v>
      </c>
      <c r="R364" t="str">
        <f t="shared" si="33"/>
        <v>May</v>
      </c>
      <c r="S364" t="str">
        <f t="shared" si="34"/>
        <v>No Discount</v>
      </c>
      <c r="T364" s="1">
        <f t="shared" si="35"/>
        <v>0.42051150237758639</v>
      </c>
      <c r="U364">
        <f>SUM($I$2:I364)</f>
        <v>1226348.4499999993</v>
      </c>
      <c r="V364" s="1">
        <f>Table1[[#This Row],[Running total ]]/SUM(I:I)</f>
        <v>0.35387804163300818</v>
      </c>
    </row>
    <row r="365" spans="1:22" x14ac:dyDescent="0.3">
      <c r="A365" t="s">
        <v>901</v>
      </c>
      <c r="B365" t="s">
        <v>902</v>
      </c>
      <c r="C365" t="s">
        <v>903</v>
      </c>
      <c r="D365" t="s">
        <v>27</v>
      </c>
      <c r="E365" t="s">
        <v>43</v>
      </c>
      <c r="F365" t="s">
        <v>19</v>
      </c>
      <c r="G365" t="s">
        <v>29</v>
      </c>
      <c r="H365" t="s">
        <v>30</v>
      </c>
      <c r="I365">
        <v>5690.16</v>
      </c>
      <c r="J365">
        <v>8</v>
      </c>
      <c r="K365" s="1">
        <v>0.05</v>
      </c>
      <c r="L365">
        <v>236.39</v>
      </c>
      <c r="M365" t="s">
        <v>195</v>
      </c>
      <c r="N365" t="s">
        <v>76</v>
      </c>
      <c r="O365" t="str">
        <f t="shared" si="30"/>
        <v>07/06/2025</v>
      </c>
      <c r="P365">
        <f t="shared" si="31"/>
        <v>2025</v>
      </c>
      <c r="Q365">
        <f t="shared" si="32"/>
        <v>6</v>
      </c>
      <c r="R365" t="str">
        <f t="shared" si="33"/>
        <v>June</v>
      </c>
      <c r="S365" t="str">
        <f t="shared" si="34"/>
        <v>High</v>
      </c>
      <c r="T365" s="1">
        <f t="shared" si="35"/>
        <v>4.1543647278811137E-2</v>
      </c>
      <c r="U365">
        <f>SUM($I$2:I365)</f>
        <v>1232038.6099999992</v>
      </c>
      <c r="V365" s="1">
        <f>Table1[[#This Row],[Running total ]]/SUM(I:I)</f>
        <v>0.35552000781103732</v>
      </c>
    </row>
    <row r="366" spans="1:22" x14ac:dyDescent="0.3">
      <c r="A366" t="s">
        <v>904</v>
      </c>
      <c r="B366" t="s">
        <v>905</v>
      </c>
      <c r="C366" t="s">
        <v>906</v>
      </c>
      <c r="D366" t="s">
        <v>17</v>
      </c>
      <c r="E366" t="s">
        <v>97</v>
      </c>
      <c r="F366" t="s">
        <v>19</v>
      </c>
      <c r="G366" t="s">
        <v>29</v>
      </c>
      <c r="H366" t="s">
        <v>50</v>
      </c>
      <c r="I366">
        <v>2428.11</v>
      </c>
      <c r="J366">
        <v>9</v>
      </c>
      <c r="K366" s="1">
        <v>0.1</v>
      </c>
      <c r="L366">
        <v>812.06</v>
      </c>
      <c r="M366" t="s">
        <v>87</v>
      </c>
      <c r="N366" t="s">
        <v>39</v>
      </c>
      <c r="O366" t="str">
        <f t="shared" si="30"/>
        <v>04/08/2024</v>
      </c>
      <c r="P366">
        <f t="shared" si="31"/>
        <v>2024</v>
      </c>
      <c r="Q366">
        <f t="shared" si="32"/>
        <v>8</v>
      </c>
      <c r="R366" t="str">
        <f t="shared" si="33"/>
        <v>August</v>
      </c>
      <c r="S366" t="str">
        <f t="shared" si="34"/>
        <v>Low</v>
      </c>
      <c r="T366" s="1">
        <f t="shared" si="35"/>
        <v>0.33444119088509167</v>
      </c>
      <c r="U366">
        <f>SUM($I$2:I366)</f>
        <v>1234466.7199999993</v>
      </c>
      <c r="V366" s="1">
        <f>Table1[[#This Row],[Running total ]]/SUM(I:I)</f>
        <v>0.356220669039638</v>
      </c>
    </row>
    <row r="367" spans="1:22" x14ac:dyDescent="0.3">
      <c r="A367" t="s">
        <v>907</v>
      </c>
      <c r="B367" t="s">
        <v>908</v>
      </c>
      <c r="C367" t="s">
        <v>548</v>
      </c>
      <c r="D367" t="s">
        <v>48</v>
      </c>
      <c r="E367" t="s">
        <v>73</v>
      </c>
      <c r="F367" t="s">
        <v>67</v>
      </c>
      <c r="G367" t="s">
        <v>85</v>
      </c>
      <c r="H367" t="s">
        <v>86</v>
      </c>
      <c r="I367">
        <v>4051.74</v>
      </c>
      <c r="J367">
        <v>7</v>
      </c>
      <c r="K367" s="1">
        <v>0.2</v>
      </c>
      <c r="L367">
        <v>888.98</v>
      </c>
      <c r="M367" t="s">
        <v>22</v>
      </c>
      <c r="N367" t="s">
        <v>76</v>
      </c>
      <c r="O367" t="str">
        <f t="shared" si="30"/>
        <v>09/06/2025</v>
      </c>
      <c r="P367">
        <f t="shared" si="31"/>
        <v>2025</v>
      </c>
      <c r="Q367">
        <f t="shared" si="32"/>
        <v>6</v>
      </c>
      <c r="R367" t="str">
        <f t="shared" si="33"/>
        <v>June</v>
      </c>
      <c r="S367" t="str">
        <f t="shared" si="34"/>
        <v>Low</v>
      </c>
      <c r="T367" s="1">
        <f t="shared" si="35"/>
        <v>0.21940697083228441</v>
      </c>
      <c r="U367">
        <f>SUM($I$2:I367)</f>
        <v>1238518.4599999993</v>
      </c>
      <c r="V367" s="1">
        <f>Table1[[#This Row],[Running total ]]/SUM(I:I)</f>
        <v>0.35738984882406727</v>
      </c>
    </row>
    <row r="368" spans="1:22" x14ac:dyDescent="0.3">
      <c r="A368" t="s">
        <v>909</v>
      </c>
      <c r="B368" t="s">
        <v>910</v>
      </c>
      <c r="C368" t="s">
        <v>911</v>
      </c>
      <c r="D368" t="s">
        <v>27</v>
      </c>
      <c r="E368" t="s">
        <v>43</v>
      </c>
      <c r="F368" t="s">
        <v>55</v>
      </c>
      <c r="G368" t="s">
        <v>74</v>
      </c>
      <c r="H368" t="s">
        <v>133</v>
      </c>
      <c r="I368">
        <v>1722.35</v>
      </c>
      <c r="J368">
        <v>5</v>
      </c>
      <c r="K368" s="1">
        <v>0.05</v>
      </c>
      <c r="L368">
        <v>585.01</v>
      </c>
      <c r="M368" t="s">
        <v>117</v>
      </c>
      <c r="N368" t="s">
        <v>32</v>
      </c>
      <c r="O368" t="str">
        <f t="shared" si="30"/>
        <v>23/10/2024</v>
      </c>
      <c r="P368">
        <f t="shared" si="31"/>
        <v>2024</v>
      </c>
      <c r="Q368">
        <f t="shared" si="32"/>
        <v>10</v>
      </c>
      <c r="R368" t="str">
        <f t="shared" si="33"/>
        <v>October</v>
      </c>
      <c r="S368" t="str">
        <f t="shared" si="34"/>
        <v>High</v>
      </c>
      <c r="T368" s="1">
        <f t="shared" si="35"/>
        <v>0.3396580253723111</v>
      </c>
      <c r="U368">
        <f>SUM($I$2:I368)</f>
        <v>1240240.8099999994</v>
      </c>
      <c r="V368" s="1">
        <f>Table1[[#This Row],[Running total ]]/SUM(I:I)</f>
        <v>0.35788685425919187</v>
      </c>
    </row>
    <row r="369" spans="1:22" x14ac:dyDescent="0.3">
      <c r="A369" t="s">
        <v>912</v>
      </c>
      <c r="B369" t="s">
        <v>913</v>
      </c>
      <c r="C369" t="s">
        <v>175</v>
      </c>
      <c r="D369" t="s">
        <v>27</v>
      </c>
      <c r="E369" t="s">
        <v>43</v>
      </c>
      <c r="F369" t="s">
        <v>19</v>
      </c>
      <c r="G369" t="s">
        <v>29</v>
      </c>
      <c r="H369" t="s">
        <v>50</v>
      </c>
      <c r="I369">
        <v>2599</v>
      </c>
      <c r="J369">
        <v>4</v>
      </c>
      <c r="K369" s="1">
        <v>0.25</v>
      </c>
      <c r="L369">
        <v>-200.76</v>
      </c>
      <c r="M369" t="s">
        <v>107</v>
      </c>
      <c r="N369" t="s">
        <v>76</v>
      </c>
      <c r="O369" t="str">
        <f t="shared" si="30"/>
        <v>24/10/2025</v>
      </c>
      <c r="P369">
        <f t="shared" si="31"/>
        <v>2025</v>
      </c>
      <c r="Q369">
        <f t="shared" si="32"/>
        <v>10</v>
      </c>
      <c r="R369" t="str">
        <f t="shared" si="33"/>
        <v>October</v>
      </c>
      <c r="S369" t="str">
        <f t="shared" si="34"/>
        <v>Low</v>
      </c>
      <c r="T369" s="1">
        <f t="shared" si="35"/>
        <v>-7.7245094267025777E-2</v>
      </c>
      <c r="U369">
        <f>SUM($I$2:I369)</f>
        <v>1242839.8099999994</v>
      </c>
      <c r="V369" s="1">
        <f>Table1[[#This Row],[Running total ]]/SUM(I:I)</f>
        <v>0.35863682791488832</v>
      </c>
    </row>
    <row r="370" spans="1:22" x14ac:dyDescent="0.3">
      <c r="A370" t="s">
        <v>914</v>
      </c>
      <c r="B370" t="s">
        <v>444</v>
      </c>
      <c r="C370" t="s">
        <v>608</v>
      </c>
      <c r="D370" t="s">
        <v>48</v>
      </c>
      <c r="E370" t="s">
        <v>110</v>
      </c>
      <c r="F370" t="s">
        <v>67</v>
      </c>
      <c r="G370" t="s">
        <v>85</v>
      </c>
      <c r="H370" t="s">
        <v>253</v>
      </c>
      <c r="I370">
        <v>776.03</v>
      </c>
      <c r="J370">
        <v>1</v>
      </c>
      <c r="K370" s="1">
        <v>0.05</v>
      </c>
      <c r="L370">
        <v>57.34</v>
      </c>
      <c r="M370" t="s">
        <v>63</v>
      </c>
      <c r="N370" t="s">
        <v>39</v>
      </c>
      <c r="O370" t="str">
        <f t="shared" si="30"/>
        <v>06/12/2025</v>
      </c>
      <c r="P370">
        <f t="shared" si="31"/>
        <v>2025</v>
      </c>
      <c r="Q370">
        <f t="shared" si="32"/>
        <v>12</v>
      </c>
      <c r="R370" t="str">
        <f t="shared" si="33"/>
        <v>December</v>
      </c>
      <c r="S370" t="str">
        <f t="shared" si="34"/>
        <v>High</v>
      </c>
      <c r="T370" s="1">
        <f t="shared" si="35"/>
        <v>7.3888896047833205E-2</v>
      </c>
      <c r="U370">
        <f>SUM($I$2:I370)</f>
        <v>1243615.8399999994</v>
      </c>
      <c r="V370" s="1">
        <f>Table1[[#This Row],[Running total ]]/SUM(I:I)</f>
        <v>0.35886076098762021</v>
      </c>
    </row>
    <row r="371" spans="1:22" x14ac:dyDescent="0.3">
      <c r="A371" t="s">
        <v>915</v>
      </c>
      <c r="B371" t="s">
        <v>916</v>
      </c>
      <c r="C371" t="s">
        <v>917</v>
      </c>
      <c r="D371" t="s">
        <v>27</v>
      </c>
      <c r="E371" t="s">
        <v>28</v>
      </c>
      <c r="F371" t="s">
        <v>55</v>
      </c>
      <c r="G371" t="s">
        <v>74</v>
      </c>
      <c r="H371" t="s">
        <v>133</v>
      </c>
      <c r="I371">
        <v>1129.81</v>
      </c>
      <c r="J371">
        <v>1</v>
      </c>
      <c r="K371" s="1">
        <v>0.2</v>
      </c>
      <c r="L371">
        <v>5.17</v>
      </c>
      <c r="M371" t="s">
        <v>87</v>
      </c>
      <c r="N371" t="s">
        <v>76</v>
      </c>
      <c r="O371" t="str">
        <f t="shared" si="30"/>
        <v>24/04/2025</v>
      </c>
      <c r="P371">
        <f t="shared" si="31"/>
        <v>2025</v>
      </c>
      <c r="Q371">
        <f t="shared" si="32"/>
        <v>4</v>
      </c>
      <c r="R371" t="str">
        <f t="shared" si="33"/>
        <v>April</v>
      </c>
      <c r="S371" t="str">
        <f t="shared" si="34"/>
        <v>Low</v>
      </c>
      <c r="T371" s="1">
        <f t="shared" si="35"/>
        <v>4.5759906532956869E-3</v>
      </c>
      <c r="U371">
        <f>SUM($I$2:I371)</f>
        <v>1244745.6499999994</v>
      </c>
      <c r="V371" s="1">
        <f>Table1[[#This Row],[Running total ]]/SUM(I:I)</f>
        <v>0.35918678166324253</v>
      </c>
    </row>
    <row r="372" spans="1:22" x14ac:dyDescent="0.3">
      <c r="A372" t="s">
        <v>918</v>
      </c>
      <c r="B372" t="s">
        <v>315</v>
      </c>
      <c r="C372" t="s">
        <v>687</v>
      </c>
      <c r="D372" t="s">
        <v>137</v>
      </c>
      <c r="E372" t="s">
        <v>160</v>
      </c>
      <c r="F372" t="s">
        <v>67</v>
      </c>
      <c r="G372" t="s">
        <v>68</v>
      </c>
      <c r="H372" t="s">
        <v>69</v>
      </c>
      <c r="I372">
        <v>1094.04</v>
      </c>
      <c r="J372">
        <v>1</v>
      </c>
      <c r="K372" s="1">
        <v>0.1</v>
      </c>
      <c r="L372">
        <v>-33.33</v>
      </c>
      <c r="M372" t="s">
        <v>38</v>
      </c>
      <c r="N372" t="s">
        <v>23</v>
      </c>
      <c r="O372" t="str">
        <f t="shared" si="30"/>
        <v>16/09/2024</v>
      </c>
      <c r="P372">
        <f t="shared" si="31"/>
        <v>2024</v>
      </c>
      <c r="Q372">
        <f t="shared" si="32"/>
        <v>9</v>
      </c>
      <c r="R372" t="str">
        <f t="shared" si="33"/>
        <v>September</v>
      </c>
      <c r="S372" t="str">
        <f t="shared" si="34"/>
        <v>Low</v>
      </c>
      <c r="T372" s="1">
        <f t="shared" si="35"/>
        <v>-3.0465065262696062E-2</v>
      </c>
      <c r="U372">
        <f>SUM($I$2:I372)</f>
        <v>1245839.6899999995</v>
      </c>
      <c r="V372" s="1">
        <f>Table1[[#This Row],[Running total ]]/SUM(I:I)</f>
        <v>0.35950248046211836</v>
      </c>
    </row>
    <row r="373" spans="1:22" x14ac:dyDescent="0.3">
      <c r="A373" t="s">
        <v>919</v>
      </c>
      <c r="B373" t="s">
        <v>920</v>
      </c>
      <c r="C373" t="s">
        <v>678</v>
      </c>
      <c r="D373" t="s">
        <v>137</v>
      </c>
      <c r="E373" t="s">
        <v>142</v>
      </c>
      <c r="F373" t="s">
        <v>55</v>
      </c>
      <c r="G373" t="s">
        <v>74</v>
      </c>
      <c r="H373" t="s">
        <v>133</v>
      </c>
      <c r="I373">
        <v>4809.6000000000004</v>
      </c>
      <c r="J373">
        <v>9</v>
      </c>
      <c r="K373" s="1">
        <v>0.3</v>
      </c>
      <c r="L373">
        <v>-127.78</v>
      </c>
      <c r="M373" t="s">
        <v>87</v>
      </c>
      <c r="N373" t="s">
        <v>39</v>
      </c>
      <c r="O373" t="str">
        <f t="shared" si="30"/>
        <v>17/04/2025</v>
      </c>
      <c r="P373">
        <f t="shared" si="31"/>
        <v>2025</v>
      </c>
      <c r="Q373">
        <f t="shared" si="32"/>
        <v>4</v>
      </c>
      <c r="R373" t="str">
        <f t="shared" si="33"/>
        <v>April</v>
      </c>
      <c r="S373" t="str">
        <f t="shared" si="34"/>
        <v>Low</v>
      </c>
      <c r="T373" s="1">
        <f t="shared" si="35"/>
        <v>-2.6567697937458414E-2</v>
      </c>
      <c r="U373">
        <f>SUM($I$2:I373)</f>
        <v>1250649.2899999996</v>
      </c>
      <c r="V373" s="1">
        <f>Table1[[#This Row],[Running total ]]/SUM(I:I)</f>
        <v>0.36089035014062459</v>
      </c>
    </row>
    <row r="374" spans="1:22" x14ac:dyDescent="0.3">
      <c r="A374" t="s">
        <v>921</v>
      </c>
      <c r="B374" t="s">
        <v>922</v>
      </c>
      <c r="C374" t="s">
        <v>311</v>
      </c>
      <c r="D374" t="s">
        <v>27</v>
      </c>
      <c r="E374" t="s">
        <v>124</v>
      </c>
      <c r="F374" t="s">
        <v>67</v>
      </c>
      <c r="G374" t="s">
        <v>85</v>
      </c>
      <c r="H374" t="s">
        <v>253</v>
      </c>
      <c r="I374">
        <v>1902.42</v>
      </c>
      <c r="J374">
        <v>9</v>
      </c>
      <c r="K374" s="1">
        <v>0.2</v>
      </c>
      <c r="L374">
        <v>31.01</v>
      </c>
      <c r="M374" t="s">
        <v>117</v>
      </c>
      <c r="N374" t="s">
        <v>76</v>
      </c>
      <c r="O374" t="str">
        <f t="shared" si="30"/>
        <v>23/02/2024</v>
      </c>
      <c r="P374">
        <f t="shared" si="31"/>
        <v>2024</v>
      </c>
      <c r="Q374">
        <f t="shared" si="32"/>
        <v>2</v>
      </c>
      <c r="R374" t="str">
        <f t="shared" si="33"/>
        <v>February</v>
      </c>
      <c r="S374" t="str">
        <f t="shared" si="34"/>
        <v>Low</v>
      </c>
      <c r="T374" s="1">
        <f t="shared" si="35"/>
        <v>1.6300291208040284E-2</v>
      </c>
      <c r="U374">
        <f>SUM($I$2:I374)</f>
        <v>1252551.7099999995</v>
      </c>
      <c r="V374" s="1">
        <f>Table1[[#This Row],[Running total ]]/SUM(I:I)</f>
        <v>0.36143931700559961</v>
      </c>
    </row>
    <row r="375" spans="1:22" x14ac:dyDescent="0.3">
      <c r="A375" t="s">
        <v>923</v>
      </c>
      <c r="B375" t="s">
        <v>924</v>
      </c>
      <c r="C375" t="s">
        <v>324</v>
      </c>
      <c r="D375" t="s">
        <v>27</v>
      </c>
      <c r="E375" t="s">
        <v>28</v>
      </c>
      <c r="F375" t="s">
        <v>67</v>
      </c>
      <c r="G375" t="s">
        <v>68</v>
      </c>
      <c r="H375" t="s">
        <v>382</v>
      </c>
      <c r="I375">
        <v>4467.6000000000004</v>
      </c>
      <c r="J375">
        <v>4</v>
      </c>
      <c r="K375" s="1">
        <v>0.3</v>
      </c>
      <c r="L375">
        <v>-892.64</v>
      </c>
      <c r="M375" t="s">
        <v>107</v>
      </c>
      <c r="N375" t="s">
        <v>32</v>
      </c>
      <c r="O375" t="str">
        <f t="shared" si="30"/>
        <v>29/11/2025</v>
      </c>
      <c r="P375">
        <f t="shared" si="31"/>
        <v>2025</v>
      </c>
      <c r="Q375">
        <f t="shared" si="32"/>
        <v>11</v>
      </c>
      <c r="R375" t="str">
        <f t="shared" si="33"/>
        <v>November</v>
      </c>
      <c r="S375" t="str">
        <f t="shared" si="34"/>
        <v>Low</v>
      </c>
      <c r="T375" s="1">
        <f t="shared" si="35"/>
        <v>-0.19980302623332435</v>
      </c>
      <c r="U375">
        <f>SUM($I$2:I375)</f>
        <v>1257019.3099999996</v>
      </c>
      <c r="V375" s="1">
        <f>Table1[[#This Row],[Running total ]]/SUM(I:I)</f>
        <v>0.36272849834618809</v>
      </c>
    </row>
    <row r="376" spans="1:22" x14ac:dyDescent="0.3">
      <c r="A376" t="s">
        <v>925</v>
      </c>
      <c r="B376" t="s">
        <v>926</v>
      </c>
      <c r="C376" t="s">
        <v>672</v>
      </c>
      <c r="D376" t="s">
        <v>27</v>
      </c>
      <c r="E376" t="s">
        <v>43</v>
      </c>
      <c r="F376" t="s">
        <v>19</v>
      </c>
      <c r="G376" t="s">
        <v>36</v>
      </c>
      <c r="H376" t="s">
        <v>222</v>
      </c>
      <c r="I376">
        <v>5519.1</v>
      </c>
      <c r="J376">
        <v>5</v>
      </c>
      <c r="K376" s="1">
        <v>0.3</v>
      </c>
      <c r="L376">
        <v>-699.89</v>
      </c>
      <c r="M376" t="s">
        <v>107</v>
      </c>
      <c r="N376" t="s">
        <v>32</v>
      </c>
      <c r="O376" t="str">
        <f t="shared" si="30"/>
        <v>19/07/2024</v>
      </c>
      <c r="P376">
        <f t="shared" si="31"/>
        <v>2024</v>
      </c>
      <c r="Q376">
        <f t="shared" si="32"/>
        <v>7</v>
      </c>
      <c r="R376" t="str">
        <f t="shared" si="33"/>
        <v>July</v>
      </c>
      <c r="S376" t="str">
        <f t="shared" si="34"/>
        <v>Low</v>
      </c>
      <c r="T376" s="1">
        <f t="shared" si="35"/>
        <v>-0.12681234259208929</v>
      </c>
      <c r="U376">
        <f>SUM($I$2:I376)</f>
        <v>1262538.4099999997</v>
      </c>
      <c r="V376" s="1">
        <f>Table1[[#This Row],[Running total ]]/SUM(I:I)</f>
        <v>0.36432110304151494</v>
      </c>
    </row>
    <row r="377" spans="1:22" x14ac:dyDescent="0.3">
      <c r="A377" t="s">
        <v>927</v>
      </c>
      <c r="B377" t="s">
        <v>394</v>
      </c>
      <c r="C377" t="s">
        <v>42</v>
      </c>
      <c r="D377" t="s">
        <v>27</v>
      </c>
      <c r="E377" t="s">
        <v>61</v>
      </c>
      <c r="F377" t="s">
        <v>67</v>
      </c>
      <c r="G377" t="s">
        <v>115</v>
      </c>
      <c r="H377" t="s">
        <v>212</v>
      </c>
      <c r="I377">
        <v>927.51</v>
      </c>
      <c r="J377">
        <v>1</v>
      </c>
      <c r="K377" s="1">
        <v>0.05</v>
      </c>
      <c r="L377">
        <v>166.03</v>
      </c>
      <c r="M377" t="s">
        <v>31</v>
      </c>
      <c r="N377" t="s">
        <v>23</v>
      </c>
      <c r="O377" t="str">
        <f t="shared" si="30"/>
        <v>02/09/2024</v>
      </c>
      <c r="P377">
        <f t="shared" si="31"/>
        <v>2024</v>
      </c>
      <c r="Q377">
        <f t="shared" si="32"/>
        <v>9</v>
      </c>
      <c r="R377" t="str">
        <f t="shared" si="33"/>
        <v>September</v>
      </c>
      <c r="S377" t="str">
        <f t="shared" si="34"/>
        <v>High</v>
      </c>
      <c r="T377" s="1">
        <f t="shared" si="35"/>
        <v>0.17900615626785696</v>
      </c>
      <c r="U377">
        <f>SUM($I$2:I377)</f>
        <v>1263465.9199999997</v>
      </c>
      <c r="V377" s="1">
        <f>Table1[[#This Row],[Running total ]]/SUM(I:I)</f>
        <v>0.36458874754532217</v>
      </c>
    </row>
    <row r="378" spans="1:22" x14ac:dyDescent="0.3">
      <c r="A378" t="s">
        <v>928</v>
      </c>
      <c r="B378" t="s">
        <v>929</v>
      </c>
      <c r="C378" t="s">
        <v>128</v>
      </c>
      <c r="D378" t="s">
        <v>27</v>
      </c>
      <c r="E378" t="s">
        <v>43</v>
      </c>
      <c r="F378" t="s">
        <v>55</v>
      </c>
      <c r="G378" t="s">
        <v>56</v>
      </c>
      <c r="H378" t="s">
        <v>57</v>
      </c>
      <c r="I378">
        <v>1457.25</v>
      </c>
      <c r="J378">
        <v>5</v>
      </c>
      <c r="K378" s="1">
        <v>0.05</v>
      </c>
      <c r="L378">
        <v>327.16000000000003</v>
      </c>
      <c r="M378" t="s">
        <v>38</v>
      </c>
      <c r="N378" t="s">
        <v>76</v>
      </c>
      <c r="O378" t="str">
        <f t="shared" si="30"/>
        <v>07/12/2024</v>
      </c>
      <c r="P378">
        <f t="shared" si="31"/>
        <v>2024</v>
      </c>
      <c r="Q378">
        <f t="shared" si="32"/>
        <v>12</v>
      </c>
      <c r="R378" t="str">
        <f t="shared" si="33"/>
        <v>December</v>
      </c>
      <c r="S378" t="str">
        <f t="shared" si="34"/>
        <v>High</v>
      </c>
      <c r="T378" s="1">
        <f t="shared" si="35"/>
        <v>0.22450506090238465</v>
      </c>
      <c r="U378">
        <f>SUM($I$2:I378)</f>
        <v>1264923.1699999997</v>
      </c>
      <c r="V378" s="1">
        <f>Table1[[#This Row],[Running total ]]/SUM(I:I)</f>
        <v>0.36500925509044096</v>
      </c>
    </row>
    <row r="379" spans="1:22" x14ac:dyDescent="0.3">
      <c r="A379" t="s">
        <v>930</v>
      </c>
      <c r="B379" t="s">
        <v>931</v>
      </c>
      <c r="C379" t="s">
        <v>932</v>
      </c>
      <c r="D379" t="s">
        <v>48</v>
      </c>
      <c r="E379" t="s">
        <v>73</v>
      </c>
      <c r="F379" t="s">
        <v>67</v>
      </c>
      <c r="G379" t="s">
        <v>68</v>
      </c>
      <c r="H379" t="s">
        <v>69</v>
      </c>
      <c r="I379">
        <v>3953.94</v>
      </c>
      <c r="J379">
        <v>6</v>
      </c>
      <c r="K379" s="1">
        <v>0</v>
      </c>
      <c r="L379">
        <v>1452.52</v>
      </c>
      <c r="M379" t="s">
        <v>87</v>
      </c>
      <c r="N379" t="s">
        <v>39</v>
      </c>
      <c r="O379" t="str">
        <f t="shared" si="30"/>
        <v>19/07/2025</v>
      </c>
      <c r="P379">
        <f t="shared" si="31"/>
        <v>2025</v>
      </c>
      <c r="Q379">
        <f t="shared" si="32"/>
        <v>7</v>
      </c>
      <c r="R379" t="str">
        <f t="shared" si="33"/>
        <v>July</v>
      </c>
      <c r="S379" t="str">
        <f t="shared" si="34"/>
        <v>No Discount</v>
      </c>
      <c r="T379" s="1">
        <f t="shared" si="35"/>
        <v>0.36736015215203061</v>
      </c>
      <c r="U379">
        <f>SUM($I$2:I379)</f>
        <v>1268877.1099999996</v>
      </c>
      <c r="V379" s="1">
        <f>Table1[[#This Row],[Running total ]]/SUM(I:I)</f>
        <v>0.36615021347297438</v>
      </c>
    </row>
    <row r="380" spans="1:22" x14ac:dyDescent="0.3">
      <c r="A380" t="s">
        <v>933</v>
      </c>
      <c r="B380" t="s">
        <v>497</v>
      </c>
      <c r="C380" t="s">
        <v>186</v>
      </c>
      <c r="D380" t="s">
        <v>27</v>
      </c>
      <c r="E380" t="s">
        <v>28</v>
      </c>
      <c r="F380" t="s">
        <v>55</v>
      </c>
      <c r="G380" t="s">
        <v>74</v>
      </c>
      <c r="H380" t="s">
        <v>75</v>
      </c>
      <c r="I380">
        <v>9544.32</v>
      </c>
      <c r="J380">
        <v>9</v>
      </c>
      <c r="K380" s="1">
        <v>0</v>
      </c>
      <c r="L380">
        <v>3838.14</v>
      </c>
      <c r="M380" t="s">
        <v>195</v>
      </c>
      <c r="N380" t="s">
        <v>39</v>
      </c>
      <c r="O380" t="str">
        <f t="shared" si="30"/>
        <v>17/12/2025</v>
      </c>
      <c r="P380">
        <f t="shared" si="31"/>
        <v>2025</v>
      </c>
      <c r="Q380">
        <f t="shared" si="32"/>
        <v>12</v>
      </c>
      <c r="R380" t="str">
        <f t="shared" si="33"/>
        <v>December</v>
      </c>
      <c r="S380" t="str">
        <f t="shared" si="34"/>
        <v>No Discount</v>
      </c>
      <c r="T380" s="1">
        <f t="shared" si="35"/>
        <v>0.40213865419432709</v>
      </c>
      <c r="U380">
        <f>SUM($I$2:I380)</f>
        <v>1278421.4299999997</v>
      </c>
      <c r="V380" s="1">
        <f>Table1[[#This Row],[Running total ]]/SUM(I:I)</f>
        <v>0.36890434527810595</v>
      </c>
    </row>
    <row r="381" spans="1:22" x14ac:dyDescent="0.3">
      <c r="A381" t="s">
        <v>934</v>
      </c>
      <c r="B381" t="s">
        <v>935</v>
      </c>
      <c r="C381" t="s">
        <v>120</v>
      </c>
      <c r="D381" t="s">
        <v>17</v>
      </c>
      <c r="E381" t="s">
        <v>80</v>
      </c>
      <c r="F381" t="s">
        <v>67</v>
      </c>
      <c r="G381" t="s">
        <v>115</v>
      </c>
      <c r="H381" t="s">
        <v>116</v>
      </c>
      <c r="I381">
        <v>1246</v>
      </c>
      <c r="J381">
        <v>2</v>
      </c>
      <c r="K381" s="1">
        <v>0</v>
      </c>
      <c r="L381">
        <v>545.95000000000005</v>
      </c>
      <c r="M381" t="s">
        <v>38</v>
      </c>
      <c r="N381" t="s">
        <v>39</v>
      </c>
      <c r="O381" t="str">
        <f t="shared" si="30"/>
        <v>26/05/2025</v>
      </c>
      <c r="P381">
        <f t="shared" si="31"/>
        <v>2025</v>
      </c>
      <c r="Q381">
        <f t="shared" si="32"/>
        <v>5</v>
      </c>
      <c r="R381" t="str">
        <f t="shared" si="33"/>
        <v>May</v>
      </c>
      <c r="S381" t="str">
        <f t="shared" si="34"/>
        <v>No Discount</v>
      </c>
      <c r="T381" s="1">
        <f t="shared" si="35"/>
        <v>0.43816211878009637</v>
      </c>
      <c r="U381">
        <f>SUM($I$2:I381)</f>
        <v>1279667.4299999997</v>
      </c>
      <c r="V381" s="1">
        <f>Table1[[#This Row],[Running total ]]/SUM(I:I)</f>
        <v>0.36926389401800508</v>
      </c>
    </row>
    <row r="382" spans="1:22" x14ac:dyDescent="0.3">
      <c r="A382" t="s">
        <v>936</v>
      </c>
      <c r="B382" t="s">
        <v>937</v>
      </c>
      <c r="C382" t="s">
        <v>630</v>
      </c>
      <c r="D382" t="s">
        <v>137</v>
      </c>
      <c r="E382" t="s">
        <v>160</v>
      </c>
      <c r="F382" t="s">
        <v>67</v>
      </c>
      <c r="G382" t="s">
        <v>85</v>
      </c>
      <c r="H382" t="s">
        <v>253</v>
      </c>
      <c r="I382">
        <v>2544.9899999999998</v>
      </c>
      <c r="J382">
        <v>7</v>
      </c>
      <c r="K382" s="1">
        <v>0</v>
      </c>
      <c r="L382">
        <v>242.95</v>
      </c>
      <c r="M382" t="s">
        <v>22</v>
      </c>
      <c r="N382" t="s">
        <v>39</v>
      </c>
      <c r="O382" t="str">
        <f t="shared" si="30"/>
        <v>29/06/2025</v>
      </c>
      <c r="P382">
        <f t="shared" si="31"/>
        <v>2025</v>
      </c>
      <c r="Q382">
        <f t="shared" si="32"/>
        <v>6</v>
      </c>
      <c r="R382" t="str">
        <f t="shared" si="33"/>
        <v>June</v>
      </c>
      <c r="S382" t="str">
        <f t="shared" si="34"/>
        <v>No Discount</v>
      </c>
      <c r="T382" s="1">
        <f t="shared" si="35"/>
        <v>9.5462064683947676E-2</v>
      </c>
      <c r="U382">
        <f>SUM($I$2:I382)</f>
        <v>1282212.4199999997</v>
      </c>
      <c r="V382" s="1">
        <f>Table1[[#This Row],[Running total ]]/SUM(I:I)</f>
        <v>0.36999828241893268</v>
      </c>
    </row>
    <row r="383" spans="1:22" x14ac:dyDescent="0.3">
      <c r="A383" t="s">
        <v>938</v>
      </c>
      <c r="B383" t="s">
        <v>113</v>
      </c>
      <c r="C383" t="s">
        <v>163</v>
      </c>
      <c r="D383" t="s">
        <v>48</v>
      </c>
      <c r="E383" t="s">
        <v>110</v>
      </c>
      <c r="F383" t="s">
        <v>67</v>
      </c>
      <c r="G383" t="s">
        <v>85</v>
      </c>
      <c r="H383" t="s">
        <v>253</v>
      </c>
      <c r="I383">
        <v>7918.6</v>
      </c>
      <c r="J383">
        <v>10</v>
      </c>
      <c r="K383" s="1">
        <v>0</v>
      </c>
      <c r="L383">
        <v>3551.09</v>
      </c>
      <c r="M383" t="s">
        <v>22</v>
      </c>
      <c r="N383" t="s">
        <v>23</v>
      </c>
      <c r="O383" t="str">
        <f t="shared" si="30"/>
        <v>26/01/2024</v>
      </c>
      <c r="P383">
        <f t="shared" si="31"/>
        <v>2024</v>
      </c>
      <c r="Q383">
        <f t="shared" si="32"/>
        <v>1</v>
      </c>
      <c r="R383" t="str">
        <f t="shared" si="33"/>
        <v>January</v>
      </c>
      <c r="S383" t="str">
        <f t="shared" si="34"/>
        <v>No Discount</v>
      </c>
      <c r="T383" s="1">
        <f t="shared" si="35"/>
        <v>0.44844922082186245</v>
      </c>
      <c r="U383">
        <f>SUM($I$2:I383)</f>
        <v>1290131.0199999998</v>
      </c>
      <c r="V383" s="1">
        <f>Table1[[#This Row],[Running total ]]/SUM(I:I)</f>
        <v>0.37228329257283732</v>
      </c>
    </row>
    <row r="384" spans="1:22" x14ac:dyDescent="0.3">
      <c r="A384" t="s">
        <v>939</v>
      </c>
      <c r="B384" t="s">
        <v>940</v>
      </c>
      <c r="C384" t="s">
        <v>305</v>
      </c>
      <c r="D384" t="s">
        <v>27</v>
      </c>
      <c r="E384" t="s">
        <v>61</v>
      </c>
      <c r="F384" t="s">
        <v>67</v>
      </c>
      <c r="G384" t="s">
        <v>115</v>
      </c>
      <c r="H384" t="s">
        <v>178</v>
      </c>
      <c r="I384">
        <v>6563.6</v>
      </c>
      <c r="J384">
        <v>8</v>
      </c>
      <c r="K384" s="1">
        <v>0.3</v>
      </c>
      <c r="L384">
        <v>435.24</v>
      </c>
      <c r="M384" t="s">
        <v>31</v>
      </c>
      <c r="N384" t="s">
        <v>32</v>
      </c>
      <c r="O384" t="str">
        <f t="shared" si="30"/>
        <v>09/10/2024</v>
      </c>
      <c r="P384">
        <f t="shared" si="31"/>
        <v>2024</v>
      </c>
      <c r="Q384">
        <f t="shared" si="32"/>
        <v>10</v>
      </c>
      <c r="R384" t="str">
        <f t="shared" si="33"/>
        <v>October</v>
      </c>
      <c r="S384" t="str">
        <f t="shared" si="34"/>
        <v>Low</v>
      </c>
      <c r="T384" s="1">
        <f t="shared" si="35"/>
        <v>6.6311170699006647E-2</v>
      </c>
      <c r="U384">
        <f>SUM($I$2:I384)</f>
        <v>1296694.6199999999</v>
      </c>
      <c r="V384" s="1">
        <f>Table1[[#This Row],[Running total ]]/SUM(I:I)</f>
        <v>0.3741773006861614</v>
      </c>
    </row>
    <row r="385" spans="1:22" x14ac:dyDescent="0.3">
      <c r="A385" t="s">
        <v>941</v>
      </c>
      <c r="B385" t="s">
        <v>848</v>
      </c>
      <c r="C385" t="s">
        <v>942</v>
      </c>
      <c r="D385" t="s">
        <v>137</v>
      </c>
      <c r="E385" t="s">
        <v>142</v>
      </c>
      <c r="F385" t="s">
        <v>55</v>
      </c>
      <c r="G385" t="s">
        <v>98</v>
      </c>
      <c r="H385" t="s">
        <v>150</v>
      </c>
      <c r="I385">
        <v>619.22</v>
      </c>
      <c r="J385">
        <v>1</v>
      </c>
      <c r="K385" s="1">
        <v>0.2</v>
      </c>
      <c r="L385">
        <v>92.4</v>
      </c>
      <c r="M385" t="s">
        <v>107</v>
      </c>
      <c r="N385" t="s">
        <v>76</v>
      </c>
      <c r="O385" t="str">
        <f t="shared" si="30"/>
        <v>20/07/2024</v>
      </c>
      <c r="P385">
        <f t="shared" si="31"/>
        <v>2024</v>
      </c>
      <c r="Q385">
        <f t="shared" si="32"/>
        <v>7</v>
      </c>
      <c r="R385" t="str">
        <f t="shared" si="33"/>
        <v>July</v>
      </c>
      <c r="S385" t="str">
        <f t="shared" si="34"/>
        <v>Low</v>
      </c>
      <c r="T385" s="1">
        <f t="shared" si="35"/>
        <v>0.1492199864345467</v>
      </c>
      <c r="U385">
        <f>SUM($I$2:I385)</f>
        <v>1297313.8399999999</v>
      </c>
      <c r="V385" s="1">
        <f>Table1[[#This Row],[Running total ]]/SUM(I:I)</f>
        <v>0.37435598429027078</v>
      </c>
    </row>
    <row r="386" spans="1:22" x14ac:dyDescent="0.3">
      <c r="A386" t="s">
        <v>943</v>
      </c>
      <c r="B386" t="s">
        <v>944</v>
      </c>
      <c r="C386" t="s">
        <v>252</v>
      </c>
      <c r="D386" t="s">
        <v>27</v>
      </c>
      <c r="E386" t="s">
        <v>43</v>
      </c>
      <c r="F386" t="s">
        <v>19</v>
      </c>
      <c r="G386" t="s">
        <v>29</v>
      </c>
      <c r="H386" t="s">
        <v>30</v>
      </c>
      <c r="I386">
        <v>1987.6</v>
      </c>
      <c r="J386">
        <v>4</v>
      </c>
      <c r="K386" s="1">
        <v>0.3</v>
      </c>
      <c r="L386">
        <v>-46.51</v>
      </c>
      <c r="M386" t="s">
        <v>107</v>
      </c>
      <c r="N386" t="s">
        <v>32</v>
      </c>
      <c r="O386" t="str">
        <f t="shared" si="30"/>
        <v>22/06/2024</v>
      </c>
      <c r="P386">
        <f t="shared" si="31"/>
        <v>2024</v>
      </c>
      <c r="Q386">
        <f t="shared" si="32"/>
        <v>6</v>
      </c>
      <c r="R386" t="str">
        <f t="shared" si="33"/>
        <v>June</v>
      </c>
      <c r="S386" t="str">
        <f t="shared" si="34"/>
        <v>Low</v>
      </c>
      <c r="T386" s="1">
        <f t="shared" si="35"/>
        <v>-2.3400080499094384E-2</v>
      </c>
      <c r="U386">
        <f>SUM($I$2:I386)</f>
        <v>1299301.44</v>
      </c>
      <c r="V386" s="1">
        <f>Table1[[#This Row],[Running total ]]/SUM(I:I)</f>
        <v>0.37492953089976</v>
      </c>
    </row>
    <row r="387" spans="1:22" x14ac:dyDescent="0.3">
      <c r="A387" t="s">
        <v>945</v>
      </c>
      <c r="B387" t="s">
        <v>512</v>
      </c>
      <c r="C387" t="s">
        <v>123</v>
      </c>
      <c r="D387" t="s">
        <v>27</v>
      </c>
      <c r="E387" t="s">
        <v>43</v>
      </c>
      <c r="F387" t="s">
        <v>19</v>
      </c>
      <c r="G387" t="s">
        <v>36</v>
      </c>
      <c r="H387" t="s">
        <v>222</v>
      </c>
      <c r="I387">
        <v>2743.74</v>
      </c>
      <c r="J387">
        <v>3</v>
      </c>
      <c r="K387" s="1">
        <v>0.3</v>
      </c>
      <c r="L387">
        <v>320.45</v>
      </c>
      <c r="M387" t="s">
        <v>87</v>
      </c>
      <c r="N387" t="s">
        <v>23</v>
      </c>
      <c r="O387" t="str">
        <f t="shared" ref="O387:O450" si="36">TEXT(B387,"dd/mm/yyyy")</f>
        <v>02/01/2024</v>
      </c>
      <c r="P387">
        <f t="shared" ref="P387:P450" si="37">YEAR(O387)</f>
        <v>2024</v>
      </c>
      <c r="Q387">
        <f t="shared" ref="Q387:Q450" si="38">MONTH(O387)</f>
        <v>1</v>
      </c>
      <c r="R387" t="str">
        <f t="shared" ref="R387:R450" si="39">TEXT(O387,"mmmm")</f>
        <v>January</v>
      </c>
      <c r="S387" t="str">
        <f t="shared" ref="S387:S450" si="40">IF(K387=0,"No Discount",IF(K387&gt;=0.1,"Low",IF(K387&gt;=0.2,"Medium","High")))</f>
        <v>Low</v>
      </c>
      <c r="T387" s="1">
        <f t="shared" ref="T387:T450" si="41">SUM(L387)/SUM(I387)</f>
        <v>0.11679313637589568</v>
      </c>
      <c r="U387">
        <f>SUM($I$2:I387)</f>
        <v>1302045.18</v>
      </c>
      <c r="V387" s="1">
        <f>Table1[[#This Row],[Running total ]]/SUM(I:I)</f>
        <v>0.37572127107601261</v>
      </c>
    </row>
    <row r="388" spans="1:22" x14ac:dyDescent="0.3">
      <c r="A388" t="s">
        <v>946</v>
      </c>
      <c r="B388" t="s">
        <v>947</v>
      </c>
      <c r="C388" t="s">
        <v>79</v>
      </c>
      <c r="D388" t="s">
        <v>137</v>
      </c>
      <c r="E388" t="s">
        <v>242</v>
      </c>
      <c r="F388" t="s">
        <v>55</v>
      </c>
      <c r="G388" t="s">
        <v>74</v>
      </c>
      <c r="H388" t="s">
        <v>272</v>
      </c>
      <c r="I388">
        <v>4763.9399999999996</v>
      </c>
      <c r="J388">
        <v>6</v>
      </c>
      <c r="K388" s="1">
        <v>0.25</v>
      </c>
      <c r="L388">
        <v>-311.02</v>
      </c>
      <c r="M388" t="s">
        <v>22</v>
      </c>
      <c r="N388" t="s">
        <v>23</v>
      </c>
      <c r="O388" t="str">
        <f t="shared" si="36"/>
        <v>21/01/2025</v>
      </c>
      <c r="P388">
        <f t="shared" si="37"/>
        <v>2025</v>
      </c>
      <c r="Q388">
        <f t="shared" si="38"/>
        <v>1</v>
      </c>
      <c r="R388" t="str">
        <f t="shared" si="39"/>
        <v>January</v>
      </c>
      <c r="S388" t="str">
        <f t="shared" si="40"/>
        <v>Low</v>
      </c>
      <c r="T388" s="1">
        <f t="shared" si="41"/>
        <v>-6.5286296636817426E-2</v>
      </c>
      <c r="U388">
        <f>SUM($I$2:I388)</f>
        <v>1306809.1199999999</v>
      </c>
      <c r="V388" s="1">
        <f>Table1[[#This Row],[Running total ]]/SUM(I:I)</f>
        <v>0.37709596499571962</v>
      </c>
    </row>
    <row r="389" spans="1:22" x14ac:dyDescent="0.3">
      <c r="A389" t="s">
        <v>948</v>
      </c>
      <c r="B389" t="s">
        <v>949</v>
      </c>
      <c r="C389" t="s">
        <v>950</v>
      </c>
      <c r="D389" t="s">
        <v>17</v>
      </c>
      <c r="E389" t="s">
        <v>97</v>
      </c>
      <c r="F389" t="s">
        <v>19</v>
      </c>
      <c r="G389" t="s">
        <v>29</v>
      </c>
      <c r="H389" t="s">
        <v>50</v>
      </c>
      <c r="I389">
        <v>4875.7</v>
      </c>
      <c r="J389">
        <v>5</v>
      </c>
      <c r="K389" s="1">
        <v>0.25</v>
      </c>
      <c r="L389">
        <v>314.04000000000002</v>
      </c>
      <c r="M389" t="s">
        <v>38</v>
      </c>
      <c r="N389" t="s">
        <v>39</v>
      </c>
      <c r="O389" t="str">
        <f t="shared" si="36"/>
        <v>27/04/2025</v>
      </c>
      <c r="P389">
        <f t="shared" si="37"/>
        <v>2025</v>
      </c>
      <c r="Q389">
        <f t="shared" si="38"/>
        <v>4</v>
      </c>
      <c r="R389" t="str">
        <f t="shared" si="39"/>
        <v>April</v>
      </c>
      <c r="S389" t="str">
        <f t="shared" si="40"/>
        <v>Low</v>
      </c>
      <c r="T389" s="1">
        <f t="shared" si="41"/>
        <v>6.4409213036076884E-2</v>
      </c>
      <c r="U389">
        <f>SUM($I$2:I389)</f>
        <v>1311684.8199999998</v>
      </c>
      <c r="V389" s="1">
        <f>Table1[[#This Row],[Running total ]]/SUM(I:I)</f>
        <v>0.37850290864830877</v>
      </c>
    </row>
    <row r="390" spans="1:22" x14ac:dyDescent="0.3">
      <c r="A390" t="s">
        <v>951</v>
      </c>
      <c r="B390" t="s">
        <v>952</v>
      </c>
      <c r="C390" t="s">
        <v>169</v>
      </c>
      <c r="D390" t="s">
        <v>17</v>
      </c>
      <c r="E390" t="s">
        <v>54</v>
      </c>
      <c r="F390" t="s">
        <v>67</v>
      </c>
      <c r="G390" t="s">
        <v>115</v>
      </c>
      <c r="H390" t="s">
        <v>116</v>
      </c>
      <c r="I390">
        <v>11977.1</v>
      </c>
      <c r="J390">
        <v>10</v>
      </c>
      <c r="K390" s="1">
        <v>0</v>
      </c>
      <c r="L390">
        <v>1120.08</v>
      </c>
      <c r="M390" t="s">
        <v>87</v>
      </c>
      <c r="N390" t="s">
        <v>32</v>
      </c>
      <c r="O390" t="str">
        <f t="shared" si="36"/>
        <v>10/04/2024</v>
      </c>
      <c r="P390">
        <f t="shared" si="37"/>
        <v>2024</v>
      </c>
      <c r="Q390">
        <f t="shared" si="38"/>
        <v>4</v>
      </c>
      <c r="R390" t="str">
        <f t="shared" si="39"/>
        <v>April</v>
      </c>
      <c r="S390" t="str">
        <f t="shared" si="40"/>
        <v>No Discount</v>
      </c>
      <c r="T390" s="1">
        <f t="shared" si="41"/>
        <v>9.3518464402902193E-2</v>
      </c>
      <c r="U390">
        <f>SUM($I$2:I390)</f>
        <v>1323661.92</v>
      </c>
      <c r="V390" s="1">
        <f>Table1[[#This Row],[Running total ]]/SUM(I:I)</f>
        <v>0.38195904926840968</v>
      </c>
    </row>
    <row r="391" spans="1:22" x14ac:dyDescent="0.3">
      <c r="A391" t="s">
        <v>953</v>
      </c>
      <c r="B391" t="s">
        <v>954</v>
      </c>
      <c r="C391" t="s">
        <v>637</v>
      </c>
      <c r="D391" t="s">
        <v>48</v>
      </c>
      <c r="E391" t="s">
        <v>84</v>
      </c>
      <c r="F391" t="s">
        <v>19</v>
      </c>
      <c r="G391" t="s">
        <v>36</v>
      </c>
      <c r="H391" t="s">
        <v>111</v>
      </c>
      <c r="I391">
        <v>222.84</v>
      </c>
      <c r="J391">
        <v>3</v>
      </c>
      <c r="K391" s="1">
        <v>0.2</v>
      </c>
      <c r="L391">
        <v>10.35</v>
      </c>
      <c r="M391" t="s">
        <v>63</v>
      </c>
      <c r="N391" t="s">
        <v>39</v>
      </c>
      <c r="O391" t="str">
        <f t="shared" si="36"/>
        <v>25/06/2025</v>
      </c>
      <c r="P391">
        <f t="shared" si="37"/>
        <v>2025</v>
      </c>
      <c r="Q391">
        <f t="shared" si="38"/>
        <v>6</v>
      </c>
      <c r="R391" t="str">
        <f t="shared" si="39"/>
        <v>June</v>
      </c>
      <c r="S391" t="str">
        <f t="shared" si="40"/>
        <v>Low</v>
      </c>
      <c r="T391" s="1">
        <f t="shared" si="41"/>
        <v>4.6445880452342485E-2</v>
      </c>
      <c r="U391">
        <f>SUM($I$2:I391)</f>
        <v>1323884.76</v>
      </c>
      <c r="V391" s="1">
        <f>Table1[[#This Row],[Running total ]]/SUM(I:I)</f>
        <v>0.38202335251174768</v>
      </c>
    </row>
    <row r="392" spans="1:22" x14ac:dyDescent="0.3">
      <c r="A392" t="s">
        <v>955</v>
      </c>
      <c r="B392" t="s">
        <v>956</v>
      </c>
      <c r="C392" t="s">
        <v>932</v>
      </c>
      <c r="D392" t="s">
        <v>27</v>
      </c>
      <c r="E392" t="s">
        <v>43</v>
      </c>
      <c r="F392" t="s">
        <v>55</v>
      </c>
      <c r="G392" t="s">
        <v>74</v>
      </c>
      <c r="H392" t="s">
        <v>75</v>
      </c>
      <c r="I392">
        <v>3795.03</v>
      </c>
      <c r="J392">
        <v>9</v>
      </c>
      <c r="K392" s="1">
        <v>0.15</v>
      </c>
      <c r="L392">
        <v>650.94000000000005</v>
      </c>
      <c r="M392" t="s">
        <v>31</v>
      </c>
      <c r="N392" t="s">
        <v>32</v>
      </c>
      <c r="O392" t="str">
        <f t="shared" si="36"/>
        <v>10/03/2025</v>
      </c>
      <c r="P392">
        <f t="shared" si="37"/>
        <v>2025</v>
      </c>
      <c r="Q392">
        <f t="shared" si="38"/>
        <v>3</v>
      </c>
      <c r="R392" t="str">
        <f t="shared" si="39"/>
        <v>March</v>
      </c>
      <c r="S392" t="str">
        <f t="shared" si="40"/>
        <v>Low</v>
      </c>
      <c r="T392" s="1">
        <f t="shared" si="41"/>
        <v>0.17152433577600176</v>
      </c>
      <c r="U392">
        <f>SUM($I$2:I392)</f>
        <v>1327679.79</v>
      </c>
      <c r="V392" s="1">
        <f>Table1[[#This Row],[Running total ]]/SUM(I:I)</f>
        <v>0.38311845544463635</v>
      </c>
    </row>
    <row r="393" spans="1:22" x14ac:dyDescent="0.3">
      <c r="A393" t="s">
        <v>957</v>
      </c>
      <c r="B393" t="s">
        <v>958</v>
      </c>
      <c r="C393" t="s">
        <v>959</v>
      </c>
      <c r="D393" t="s">
        <v>27</v>
      </c>
      <c r="E393" t="s">
        <v>43</v>
      </c>
      <c r="F393" t="s">
        <v>19</v>
      </c>
      <c r="G393" t="s">
        <v>36</v>
      </c>
      <c r="H393" t="s">
        <v>111</v>
      </c>
      <c r="I393">
        <v>1673.07</v>
      </c>
      <c r="J393">
        <v>7</v>
      </c>
      <c r="K393" s="1">
        <v>0</v>
      </c>
      <c r="L393">
        <v>412</v>
      </c>
      <c r="M393" t="s">
        <v>143</v>
      </c>
      <c r="N393" t="s">
        <v>32</v>
      </c>
      <c r="O393" t="str">
        <f t="shared" si="36"/>
        <v>02/04/2025</v>
      </c>
      <c r="P393">
        <f t="shared" si="37"/>
        <v>2025</v>
      </c>
      <c r="Q393">
        <f t="shared" si="38"/>
        <v>4</v>
      </c>
      <c r="R393" t="str">
        <f t="shared" si="39"/>
        <v>April</v>
      </c>
      <c r="S393" t="str">
        <f t="shared" si="40"/>
        <v>No Discount</v>
      </c>
      <c r="T393" s="1">
        <f t="shared" si="41"/>
        <v>0.24625389254484273</v>
      </c>
      <c r="U393">
        <f>SUM($I$2:I393)</f>
        <v>1329352.8600000001</v>
      </c>
      <c r="V393" s="1">
        <f>Table1[[#This Row],[Running total ]]/SUM(I:I)</f>
        <v>0.3836012405251043</v>
      </c>
    </row>
    <row r="394" spans="1:22" x14ac:dyDescent="0.3">
      <c r="A394" t="s">
        <v>960</v>
      </c>
      <c r="B394" t="s">
        <v>940</v>
      </c>
      <c r="C394" t="s">
        <v>252</v>
      </c>
      <c r="D394" t="s">
        <v>48</v>
      </c>
      <c r="E394" t="s">
        <v>49</v>
      </c>
      <c r="F394" t="s">
        <v>19</v>
      </c>
      <c r="G394" t="s">
        <v>36</v>
      </c>
      <c r="H394" t="s">
        <v>111</v>
      </c>
      <c r="I394">
        <v>6213.48</v>
      </c>
      <c r="J394">
        <v>6</v>
      </c>
      <c r="K394" s="1">
        <v>0.15</v>
      </c>
      <c r="L394">
        <v>-428.53</v>
      </c>
      <c r="M394" t="s">
        <v>22</v>
      </c>
      <c r="N394" t="s">
        <v>32</v>
      </c>
      <c r="O394" t="str">
        <f t="shared" si="36"/>
        <v>09/10/2024</v>
      </c>
      <c r="P394">
        <f t="shared" si="37"/>
        <v>2024</v>
      </c>
      <c r="Q394">
        <f t="shared" si="38"/>
        <v>10</v>
      </c>
      <c r="R394" t="str">
        <f t="shared" si="39"/>
        <v>October</v>
      </c>
      <c r="S394" t="str">
        <f t="shared" si="40"/>
        <v>Low</v>
      </c>
      <c r="T394" s="1">
        <f t="shared" si="41"/>
        <v>-6.8967792605753947E-2</v>
      </c>
      <c r="U394">
        <f>SUM($I$2:I394)</f>
        <v>1335566.3400000001</v>
      </c>
      <c r="V394" s="1">
        <f>Table1[[#This Row],[Running total ]]/SUM(I:I)</f>
        <v>0.38539421717389105</v>
      </c>
    </row>
    <row r="395" spans="1:22" x14ac:dyDescent="0.3">
      <c r="A395" t="s">
        <v>961</v>
      </c>
      <c r="B395" t="s">
        <v>962</v>
      </c>
      <c r="C395" t="s">
        <v>566</v>
      </c>
      <c r="D395" t="s">
        <v>17</v>
      </c>
      <c r="E395" t="s">
        <v>54</v>
      </c>
      <c r="F395" t="s">
        <v>67</v>
      </c>
      <c r="G395" t="s">
        <v>85</v>
      </c>
      <c r="H395" t="s">
        <v>125</v>
      </c>
      <c r="I395">
        <v>7988.48</v>
      </c>
      <c r="J395">
        <v>8</v>
      </c>
      <c r="K395" s="1">
        <v>0.25</v>
      </c>
      <c r="L395">
        <v>-360.36</v>
      </c>
      <c r="M395" t="s">
        <v>117</v>
      </c>
      <c r="N395" t="s">
        <v>23</v>
      </c>
      <c r="O395" t="str">
        <f t="shared" si="36"/>
        <v>05/04/2024</v>
      </c>
      <c r="P395">
        <f t="shared" si="37"/>
        <v>2024</v>
      </c>
      <c r="Q395">
        <f t="shared" si="38"/>
        <v>4</v>
      </c>
      <c r="R395" t="str">
        <f t="shared" si="39"/>
        <v>April</v>
      </c>
      <c r="S395" t="str">
        <f t="shared" si="40"/>
        <v>Low</v>
      </c>
      <c r="T395" s="1">
        <f t="shared" si="41"/>
        <v>-4.5109958340009616E-2</v>
      </c>
      <c r="U395">
        <f>SUM($I$2:I395)</f>
        <v>1343554.82</v>
      </c>
      <c r="V395" s="1">
        <f>Table1[[#This Row],[Running total ]]/SUM(I:I)</f>
        <v>0.3876993920677187</v>
      </c>
    </row>
    <row r="396" spans="1:22" x14ac:dyDescent="0.3">
      <c r="A396" t="s">
        <v>963</v>
      </c>
      <c r="B396" t="s">
        <v>415</v>
      </c>
      <c r="C396" t="s">
        <v>408</v>
      </c>
      <c r="D396" t="s">
        <v>27</v>
      </c>
      <c r="E396" t="s">
        <v>61</v>
      </c>
      <c r="F396" t="s">
        <v>19</v>
      </c>
      <c r="G396" t="s">
        <v>29</v>
      </c>
      <c r="H396" t="s">
        <v>30</v>
      </c>
      <c r="I396">
        <v>1410</v>
      </c>
      <c r="J396">
        <v>6</v>
      </c>
      <c r="K396" s="1">
        <v>0.15</v>
      </c>
      <c r="L396">
        <v>260.58</v>
      </c>
      <c r="M396" t="s">
        <v>22</v>
      </c>
      <c r="N396" t="s">
        <v>32</v>
      </c>
      <c r="O396" t="str">
        <f t="shared" si="36"/>
        <v>10/12/2024</v>
      </c>
      <c r="P396">
        <f t="shared" si="37"/>
        <v>2024</v>
      </c>
      <c r="Q396">
        <f t="shared" si="38"/>
        <v>12</v>
      </c>
      <c r="R396" t="str">
        <f t="shared" si="39"/>
        <v>December</v>
      </c>
      <c r="S396" t="str">
        <f t="shared" si="40"/>
        <v>Low</v>
      </c>
      <c r="T396" s="1">
        <f t="shared" si="41"/>
        <v>0.18480851063829787</v>
      </c>
      <c r="U396">
        <f>SUM($I$2:I396)</f>
        <v>1344964.82</v>
      </c>
      <c r="V396" s="1">
        <f>Table1[[#This Row],[Running total ]]/SUM(I:I)</f>
        <v>0.3881062650398357</v>
      </c>
    </row>
    <row r="397" spans="1:22" x14ac:dyDescent="0.3">
      <c r="A397" t="s">
        <v>964</v>
      </c>
      <c r="B397" t="s">
        <v>965</v>
      </c>
      <c r="C397" t="s">
        <v>966</v>
      </c>
      <c r="D397" t="s">
        <v>27</v>
      </c>
      <c r="E397" t="s">
        <v>61</v>
      </c>
      <c r="F397" t="s">
        <v>19</v>
      </c>
      <c r="G397" t="s">
        <v>36</v>
      </c>
      <c r="H397" t="s">
        <v>222</v>
      </c>
      <c r="I397">
        <v>4630.38</v>
      </c>
      <c r="J397">
        <v>6</v>
      </c>
      <c r="K397" s="1">
        <v>0.3</v>
      </c>
      <c r="L397">
        <v>94.83</v>
      </c>
      <c r="M397" t="s">
        <v>107</v>
      </c>
      <c r="N397" t="s">
        <v>23</v>
      </c>
      <c r="O397" t="str">
        <f t="shared" si="36"/>
        <v>06/11/2025</v>
      </c>
      <c r="P397">
        <f t="shared" si="37"/>
        <v>2025</v>
      </c>
      <c r="Q397">
        <f t="shared" si="38"/>
        <v>11</v>
      </c>
      <c r="R397" t="str">
        <f t="shared" si="39"/>
        <v>November</v>
      </c>
      <c r="S397" t="str">
        <f t="shared" si="40"/>
        <v>Low</v>
      </c>
      <c r="T397" s="1">
        <f t="shared" si="41"/>
        <v>2.0479960607984658E-2</v>
      </c>
      <c r="U397">
        <f>SUM($I$2:I397)</f>
        <v>1349595.2</v>
      </c>
      <c r="V397" s="1">
        <f>Table1[[#This Row],[Running total ]]/SUM(I:I)</f>
        <v>0.38944241856652428</v>
      </c>
    </row>
    <row r="398" spans="1:22" x14ac:dyDescent="0.3">
      <c r="A398" t="s">
        <v>967</v>
      </c>
      <c r="B398" t="s">
        <v>968</v>
      </c>
      <c r="C398" t="s">
        <v>123</v>
      </c>
      <c r="D398" t="s">
        <v>137</v>
      </c>
      <c r="E398" t="s">
        <v>138</v>
      </c>
      <c r="F398" t="s">
        <v>55</v>
      </c>
      <c r="G398" t="s">
        <v>74</v>
      </c>
      <c r="H398" t="s">
        <v>75</v>
      </c>
      <c r="I398">
        <v>4290.4799999999996</v>
      </c>
      <c r="J398">
        <v>4</v>
      </c>
      <c r="K398" s="1">
        <v>0.05</v>
      </c>
      <c r="L398">
        <v>1310.92</v>
      </c>
      <c r="M398" t="s">
        <v>87</v>
      </c>
      <c r="N398" t="s">
        <v>76</v>
      </c>
      <c r="O398" t="str">
        <f t="shared" si="36"/>
        <v>04/12/2025</v>
      </c>
      <c r="P398">
        <f t="shared" si="37"/>
        <v>2025</v>
      </c>
      <c r="Q398">
        <f t="shared" si="38"/>
        <v>12</v>
      </c>
      <c r="R398" t="str">
        <f t="shared" si="39"/>
        <v>December</v>
      </c>
      <c r="S398" t="str">
        <f t="shared" si="40"/>
        <v>High</v>
      </c>
      <c r="T398" s="1">
        <f t="shared" si="41"/>
        <v>0.30554157110626323</v>
      </c>
      <c r="U398">
        <f>SUM($I$2:I398)</f>
        <v>1353885.68</v>
      </c>
      <c r="V398" s="1">
        <f>Table1[[#This Row],[Running total ]]/SUM(I:I)</f>
        <v>0.39068048973631753</v>
      </c>
    </row>
    <row r="399" spans="1:22" x14ac:dyDescent="0.3">
      <c r="A399" t="s">
        <v>969</v>
      </c>
      <c r="B399" t="s">
        <v>970</v>
      </c>
      <c r="C399" t="s">
        <v>646</v>
      </c>
      <c r="D399" t="s">
        <v>48</v>
      </c>
      <c r="E399" t="s">
        <v>73</v>
      </c>
      <c r="F399" t="s">
        <v>19</v>
      </c>
      <c r="G399" t="s">
        <v>29</v>
      </c>
      <c r="H399" t="s">
        <v>199</v>
      </c>
      <c r="I399">
        <v>9198.16</v>
      </c>
      <c r="J399">
        <v>8</v>
      </c>
      <c r="K399" s="1">
        <v>0.25</v>
      </c>
      <c r="L399">
        <v>1113.92</v>
      </c>
      <c r="M399" t="s">
        <v>195</v>
      </c>
      <c r="N399" t="s">
        <v>76</v>
      </c>
      <c r="O399" t="str">
        <f t="shared" si="36"/>
        <v>23/12/2025</v>
      </c>
      <c r="P399">
        <f t="shared" si="37"/>
        <v>2025</v>
      </c>
      <c r="Q399">
        <f t="shared" si="38"/>
        <v>12</v>
      </c>
      <c r="R399" t="str">
        <f t="shared" si="39"/>
        <v>December</v>
      </c>
      <c r="S399" t="str">
        <f t="shared" si="40"/>
        <v>Low</v>
      </c>
      <c r="T399" s="1">
        <f t="shared" si="41"/>
        <v>0.1211024813658384</v>
      </c>
      <c r="U399">
        <f>SUM($I$2:I399)</f>
        <v>1363083.8399999999</v>
      </c>
      <c r="V399" s="1">
        <f>Table1[[#This Row],[Running total ]]/SUM(I:I)</f>
        <v>0.39333473278398234</v>
      </c>
    </row>
    <row r="400" spans="1:22" x14ac:dyDescent="0.3">
      <c r="A400" t="s">
        <v>971</v>
      </c>
      <c r="B400" t="s">
        <v>972</v>
      </c>
      <c r="C400" t="s">
        <v>843</v>
      </c>
      <c r="D400" t="s">
        <v>48</v>
      </c>
      <c r="E400" t="s">
        <v>73</v>
      </c>
      <c r="F400" t="s">
        <v>55</v>
      </c>
      <c r="G400" t="s">
        <v>98</v>
      </c>
      <c r="H400" t="s">
        <v>154</v>
      </c>
      <c r="I400">
        <v>1450</v>
      </c>
      <c r="J400">
        <v>2</v>
      </c>
      <c r="K400" s="1">
        <v>0.05</v>
      </c>
      <c r="L400">
        <v>512.65</v>
      </c>
      <c r="M400" t="s">
        <v>195</v>
      </c>
      <c r="N400" t="s">
        <v>39</v>
      </c>
      <c r="O400" t="str">
        <f t="shared" si="36"/>
        <v>20/03/2024</v>
      </c>
      <c r="P400">
        <f t="shared" si="37"/>
        <v>2024</v>
      </c>
      <c r="Q400">
        <f t="shared" si="38"/>
        <v>3</v>
      </c>
      <c r="R400" t="str">
        <f t="shared" si="39"/>
        <v>March</v>
      </c>
      <c r="S400" t="str">
        <f t="shared" si="40"/>
        <v>High</v>
      </c>
      <c r="T400" s="1">
        <f t="shared" si="41"/>
        <v>0.35355172413793101</v>
      </c>
      <c r="U400">
        <f>SUM($I$2:I400)</f>
        <v>1364533.8399999999</v>
      </c>
      <c r="V400" s="1">
        <f>Table1[[#This Row],[Running total ]]/SUM(I:I)</f>
        <v>0.39375314825176222</v>
      </c>
    </row>
    <row r="401" spans="1:22" x14ac:dyDescent="0.3">
      <c r="A401" t="s">
        <v>973</v>
      </c>
      <c r="B401" t="s">
        <v>600</v>
      </c>
      <c r="C401" t="s">
        <v>26</v>
      </c>
      <c r="D401" t="s">
        <v>17</v>
      </c>
      <c r="E401" t="s">
        <v>80</v>
      </c>
      <c r="F401" t="s">
        <v>55</v>
      </c>
      <c r="G401" t="s">
        <v>56</v>
      </c>
      <c r="H401" t="s">
        <v>62</v>
      </c>
      <c r="I401">
        <v>3355.24</v>
      </c>
      <c r="J401">
        <v>4</v>
      </c>
      <c r="K401" s="1">
        <v>0</v>
      </c>
      <c r="L401">
        <v>753.71</v>
      </c>
      <c r="M401" t="s">
        <v>38</v>
      </c>
      <c r="N401" t="s">
        <v>23</v>
      </c>
      <c r="O401" t="str">
        <f t="shared" si="36"/>
        <v>27/10/2025</v>
      </c>
      <c r="P401">
        <f t="shared" si="37"/>
        <v>2025</v>
      </c>
      <c r="Q401">
        <f t="shared" si="38"/>
        <v>10</v>
      </c>
      <c r="R401" t="str">
        <f t="shared" si="39"/>
        <v>October</v>
      </c>
      <c r="S401" t="str">
        <f t="shared" si="40"/>
        <v>No Discount</v>
      </c>
      <c r="T401" s="1">
        <f t="shared" si="41"/>
        <v>0.22463668768851114</v>
      </c>
      <c r="U401">
        <f>SUM($I$2:I401)</f>
        <v>1367889.0799999998</v>
      </c>
      <c r="V401" s="1">
        <f>Table1[[#This Row],[Running total ]]/SUM(I:I)</f>
        <v>0.3947213443304613</v>
      </c>
    </row>
    <row r="402" spans="1:22" x14ac:dyDescent="0.3">
      <c r="A402" t="s">
        <v>974</v>
      </c>
      <c r="B402" t="s">
        <v>739</v>
      </c>
      <c r="C402" t="s">
        <v>166</v>
      </c>
      <c r="D402" t="s">
        <v>17</v>
      </c>
      <c r="E402" t="s">
        <v>54</v>
      </c>
      <c r="F402" t="s">
        <v>67</v>
      </c>
      <c r="G402" t="s">
        <v>68</v>
      </c>
      <c r="H402" t="s">
        <v>382</v>
      </c>
      <c r="I402">
        <v>1529.88</v>
      </c>
      <c r="J402">
        <v>6</v>
      </c>
      <c r="K402" s="1">
        <v>0.25</v>
      </c>
      <c r="L402">
        <v>165.97</v>
      </c>
      <c r="M402" t="s">
        <v>38</v>
      </c>
      <c r="N402" t="s">
        <v>23</v>
      </c>
      <c r="O402" t="str">
        <f t="shared" si="36"/>
        <v>21/04/2024</v>
      </c>
      <c r="P402">
        <f t="shared" si="37"/>
        <v>2024</v>
      </c>
      <c r="Q402">
        <f t="shared" si="38"/>
        <v>4</v>
      </c>
      <c r="R402" t="str">
        <f t="shared" si="39"/>
        <v>April</v>
      </c>
      <c r="S402" t="str">
        <f t="shared" si="40"/>
        <v>Low</v>
      </c>
      <c r="T402" s="1">
        <f t="shared" si="41"/>
        <v>0.10848563286009359</v>
      </c>
      <c r="U402">
        <f>SUM($I$2:I402)</f>
        <v>1369418.9599999997</v>
      </c>
      <c r="V402" s="1">
        <f>Table1[[#This Row],[Running total ]]/SUM(I:I)</f>
        <v>0.39516281016207994</v>
      </c>
    </row>
    <row r="403" spans="1:22" x14ac:dyDescent="0.3">
      <c r="A403" t="s">
        <v>975</v>
      </c>
      <c r="B403" t="s">
        <v>976</v>
      </c>
      <c r="C403" t="s">
        <v>771</v>
      </c>
      <c r="D403" t="s">
        <v>137</v>
      </c>
      <c r="E403" t="s">
        <v>142</v>
      </c>
      <c r="F403" t="s">
        <v>67</v>
      </c>
      <c r="G403" t="s">
        <v>68</v>
      </c>
      <c r="H403" t="s">
        <v>103</v>
      </c>
      <c r="I403">
        <v>7087.14</v>
      </c>
      <c r="J403">
        <v>9</v>
      </c>
      <c r="K403" s="1">
        <v>0.15</v>
      </c>
      <c r="L403">
        <v>804.4</v>
      </c>
      <c r="M403" t="s">
        <v>63</v>
      </c>
      <c r="N403" t="s">
        <v>39</v>
      </c>
      <c r="O403" t="str">
        <f t="shared" si="36"/>
        <v>12/09/2024</v>
      </c>
      <c r="P403">
        <f t="shared" si="37"/>
        <v>2024</v>
      </c>
      <c r="Q403">
        <f t="shared" si="38"/>
        <v>9</v>
      </c>
      <c r="R403" t="str">
        <f t="shared" si="39"/>
        <v>September</v>
      </c>
      <c r="S403" t="str">
        <f t="shared" si="40"/>
        <v>Low</v>
      </c>
      <c r="T403" s="1">
        <f t="shared" si="41"/>
        <v>0.11350135597716426</v>
      </c>
      <c r="U403">
        <f>SUM($I$2:I403)</f>
        <v>1376506.0999999996</v>
      </c>
      <c r="V403" s="1">
        <f>Table1[[#This Row],[Running total ]]/SUM(I:I)</f>
        <v>0.39720789222988778</v>
      </c>
    </row>
    <row r="404" spans="1:22" x14ac:dyDescent="0.3">
      <c r="A404" t="s">
        <v>977</v>
      </c>
      <c r="B404" t="s">
        <v>165</v>
      </c>
      <c r="C404" t="s">
        <v>942</v>
      </c>
      <c r="D404" t="s">
        <v>48</v>
      </c>
      <c r="E404" t="s">
        <v>110</v>
      </c>
      <c r="F404" t="s">
        <v>19</v>
      </c>
      <c r="G404" t="s">
        <v>20</v>
      </c>
      <c r="H404" t="s">
        <v>239</v>
      </c>
      <c r="I404">
        <v>3653.12</v>
      </c>
      <c r="J404">
        <v>4</v>
      </c>
      <c r="K404" s="1">
        <v>0.15</v>
      </c>
      <c r="L404">
        <v>-154.34</v>
      </c>
      <c r="M404" t="s">
        <v>107</v>
      </c>
      <c r="N404" t="s">
        <v>39</v>
      </c>
      <c r="O404" t="str">
        <f t="shared" si="36"/>
        <v>06/01/2025</v>
      </c>
      <c r="P404">
        <f t="shared" si="37"/>
        <v>2025</v>
      </c>
      <c r="Q404">
        <f t="shared" si="38"/>
        <v>1</v>
      </c>
      <c r="R404" t="str">
        <f t="shared" si="39"/>
        <v>January</v>
      </c>
      <c r="S404" t="str">
        <f t="shared" si="40"/>
        <v>Low</v>
      </c>
      <c r="T404" s="1">
        <f t="shared" si="41"/>
        <v>-4.2248817449194113E-2</v>
      </c>
      <c r="U404">
        <f>SUM($I$2:I404)</f>
        <v>1380159.2199999997</v>
      </c>
      <c r="V404" s="1">
        <f>Table1[[#This Row],[Running total ]]/SUM(I:I)</f>
        <v>0.39826204527378845</v>
      </c>
    </row>
    <row r="405" spans="1:22" x14ac:dyDescent="0.3">
      <c r="A405" t="s">
        <v>978</v>
      </c>
      <c r="B405" t="s">
        <v>420</v>
      </c>
      <c r="C405" t="s">
        <v>225</v>
      </c>
      <c r="D405" t="s">
        <v>17</v>
      </c>
      <c r="E405" t="s">
        <v>54</v>
      </c>
      <c r="F405" t="s">
        <v>67</v>
      </c>
      <c r="G405" t="s">
        <v>115</v>
      </c>
      <c r="H405" t="s">
        <v>212</v>
      </c>
      <c r="I405">
        <v>1387.9</v>
      </c>
      <c r="J405">
        <v>2</v>
      </c>
      <c r="K405" s="1">
        <v>0.05</v>
      </c>
      <c r="L405">
        <v>263.99</v>
      </c>
      <c r="M405" t="s">
        <v>44</v>
      </c>
      <c r="N405" t="s">
        <v>76</v>
      </c>
      <c r="O405" t="str">
        <f t="shared" si="36"/>
        <v>26/07/2024</v>
      </c>
      <c r="P405">
        <f t="shared" si="37"/>
        <v>2024</v>
      </c>
      <c r="Q405">
        <f t="shared" si="38"/>
        <v>7</v>
      </c>
      <c r="R405" t="str">
        <f t="shared" si="39"/>
        <v>July</v>
      </c>
      <c r="S405" t="str">
        <f t="shared" si="40"/>
        <v>High</v>
      </c>
      <c r="T405" s="1">
        <f t="shared" si="41"/>
        <v>0.19020822825852007</v>
      </c>
      <c r="U405">
        <f>SUM($I$2:I405)</f>
        <v>1381547.1199999996</v>
      </c>
      <c r="V405" s="1">
        <f>Table1[[#This Row],[Running total ]]/SUM(I:I)</f>
        <v>0.39866254101705167</v>
      </c>
    </row>
    <row r="406" spans="1:22" x14ac:dyDescent="0.3">
      <c r="A406" t="s">
        <v>979</v>
      </c>
      <c r="B406" t="s">
        <v>980</v>
      </c>
      <c r="C406" t="s">
        <v>556</v>
      </c>
      <c r="D406" t="s">
        <v>137</v>
      </c>
      <c r="E406" t="s">
        <v>160</v>
      </c>
      <c r="F406" t="s">
        <v>55</v>
      </c>
      <c r="G406" t="s">
        <v>74</v>
      </c>
      <c r="H406" t="s">
        <v>272</v>
      </c>
      <c r="I406">
        <v>2789.7</v>
      </c>
      <c r="J406">
        <v>3</v>
      </c>
      <c r="K406" s="1">
        <v>0.05</v>
      </c>
      <c r="L406">
        <v>1084.24</v>
      </c>
      <c r="M406" t="s">
        <v>31</v>
      </c>
      <c r="N406" t="s">
        <v>32</v>
      </c>
      <c r="O406" t="str">
        <f t="shared" si="36"/>
        <v>10/09/2024</v>
      </c>
      <c r="P406">
        <f t="shared" si="37"/>
        <v>2024</v>
      </c>
      <c r="Q406">
        <f t="shared" si="38"/>
        <v>9</v>
      </c>
      <c r="R406" t="str">
        <f t="shared" si="39"/>
        <v>September</v>
      </c>
      <c r="S406" t="str">
        <f t="shared" si="40"/>
        <v>High</v>
      </c>
      <c r="T406" s="1">
        <f t="shared" si="41"/>
        <v>0.38865827866795716</v>
      </c>
      <c r="U406">
        <f>SUM($I$2:I406)</f>
        <v>1384336.8199999996</v>
      </c>
      <c r="V406" s="1">
        <f>Table1[[#This Row],[Running total ]]/SUM(I:I)</f>
        <v>0.39946754352082098</v>
      </c>
    </row>
    <row r="407" spans="1:22" x14ac:dyDescent="0.3">
      <c r="A407" t="s">
        <v>981</v>
      </c>
      <c r="B407" t="s">
        <v>291</v>
      </c>
      <c r="C407" t="s">
        <v>652</v>
      </c>
      <c r="D407" t="s">
        <v>137</v>
      </c>
      <c r="E407" t="s">
        <v>242</v>
      </c>
      <c r="F407" t="s">
        <v>19</v>
      </c>
      <c r="G407" t="s">
        <v>36</v>
      </c>
      <c r="H407" t="s">
        <v>222</v>
      </c>
      <c r="I407">
        <v>1766.78</v>
      </c>
      <c r="J407">
        <v>2</v>
      </c>
      <c r="K407" s="1">
        <v>0.2</v>
      </c>
      <c r="L407">
        <v>400.92</v>
      </c>
      <c r="M407" t="s">
        <v>31</v>
      </c>
      <c r="N407" t="s">
        <v>76</v>
      </c>
      <c r="O407" t="str">
        <f t="shared" si="36"/>
        <v>19/12/2024</v>
      </c>
      <c r="P407">
        <f t="shared" si="37"/>
        <v>2024</v>
      </c>
      <c r="Q407">
        <f t="shared" si="38"/>
        <v>12</v>
      </c>
      <c r="R407" t="str">
        <f t="shared" si="39"/>
        <v>December</v>
      </c>
      <c r="S407" t="str">
        <f t="shared" si="40"/>
        <v>Low</v>
      </c>
      <c r="T407" s="1">
        <f t="shared" si="41"/>
        <v>0.22692129184165546</v>
      </c>
      <c r="U407">
        <f>SUM($I$2:I407)</f>
        <v>1386103.5999999996</v>
      </c>
      <c r="V407" s="1">
        <f>Table1[[#This Row],[Running total ]]/SUM(I:I)</f>
        <v>0.39997736978300313</v>
      </c>
    </row>
    <row r="408" spans="1:22" x14ac:dyDescent="0.3">
      <c r="A408" t="s">
        <v>982</v>
      </c>
      <c r="B408" t="s">
        <v>983</v>
      </c>
      <c r="C408" t="s">
        <v>548</v>
      </c>
      <c r="D408" t="s">
        <v>137</v>
      </c>
      <c r="E408" t="s">
        <v>242</v>
      </c>
      <c r="F408" t="s">
        <v>67</v>
      </c>
      <c r="G408" t="s">
        <v>115</v>
      </c>
      <c r="H408" t="s">
        <v>116</v>
      </c>
      <c r="I408">
        <v>452.67</v>
      </c>
      <c r="J408">
        <v>3</v>
      </c>
      <c r="K408" s="1">
        <v>0.2</v>
      </c>
      <c r="L408">
        <v>-36.07</v>
      </c>
      <c r="M408" t="s">
        <v>87</v>
      </c>
      <c r="N408" t="s">
        <v>23</v>
      </c>
      <c r="O408" t="str">
        <f t="shared" si="36"/>
        <v>21/07/2024</v>
      </c>
      <c r="P408">
        <f t="shared" si="37"/>
        <v>2024</v>
      </c>
      <c r="Q408">
        <f t="shared" si="38"/>
        <v>7</v>
      </c>
      <c r="R408" t="str">
        <f t="shared" si="39"/>
        <v>July</v>
      </c>
      <c r="S408" t="str">
        <f t="shared" si="40"/>
        <v>Low</v>
      </c>
      <c r="T408" s="1">
        <f t="shared" si="41"/>
        <v>-7.968277111361477E-2</v>
      </c>
      <c r="U408">
        <f>SUM($I$2:I408)</f>
        <v>1386556.2699999996</v>
      </c>
      <c r="V408" s="1">
        <f>Table1[[#This Row],[Running total ]]/SUM(I:I)</f>
        <v>0.40010799332079611</v>
      </c>
    </row>
    <row r="409" spans="1:22" x14ac:dyDescent="0.3">
      <c r="A409" t="s">
        <v>984</v>
      </c>
      <c r="B409" t="s">
        <v>985</v>
      </c>
      <c r="C409" t="s">
        <v>498</v>
      </c>
      <c r="D409" t="s">
        <v>137</v>
      </c>
      <c r="E409" t="s">
        <v>242</v>
      </c>
      <c r="F409" t="s">
        <v>19</v>
      </c>
      <c r="G409" t="s">
        <v>36</v>
      </c>
      <c r="H409" t="s">
        <v>222</v>
      </c>
      <c r="I409">
        <v>4280.8999999999996</v>
      </c>
      <c r="J409">
        <v>5</v>
      </c>
      <c r="K409" s="1">
        <v>0.2</v>
      </c>
      <c r="L409">
        <v>-253.87</v>
      </c>
      <c r="M409" t="s">
        <v>44</v>
      </c>
      <c r="N409" t="s">
        <v>39</v>
      </c>
      <c r="O409" t="str">
        <f t="shared" si="36"/>
        <v>06/03/2025</v>
      </c>
      <c r="P409">
        <f t="shared" si="37"/>
        <v>2025</v>
      </c>
      <c r="Q409">
        <f t="shared" si="38"/>
        <v>3</v>
      </c>
      <c r="R409" t="str">
        <f t="shared" si="39"/>
        <v>March</v>
      </c>
      <c r="S409" t="str">
        <f t="shared" si="40"/>
        <v>Low</v>
      </c>
      <c r="T409" s="1">
        <f t="shared" si="41"/>
        <v>-5.9302950314186274E-2</v>
      </c>
      <c r="U409">
        <f>SUM($I$2:I409)</f>
        <v>1390837.1699999995</v>
      </c>
      <c r="V409" s="1">
        <f>Table1[[#This Row],[Running total ]]/SUM(I:I)</f>
        <v>0.40134330006287805</v>
      </c>
    </row>
    <row r="410" spans="1:22" x14ac:dyDescent="0.3">
      <c r="A410" t="s">
        <v>986</v>
      </c>
      <c r="B410" t="s">
        <v>987</v>
      </c>
      <c r="C410" t="s">
        <v>571</v>
      </c>
      <c r="D410" t="s">
        <v>137</v>
      </c>
      <c r="E410" t="s">
        <v>138</v>
      </c>
      <c r="F410" t="s">
        <v>19</v>
      </c>
      <c r="G410" t="s">
        <v>29</v>
      </c>
      <c r="H410" t="s">
        <v>50</v>
      </c>
      <c r="I410">
        <v>2076.1999999999998</v>
      </c>
      <c r="J410">
        <v>5</v>
      </c>
      <c r="K410" s="1">
        <v>0.15</v>
      </c>
      <c r="L410">
        <v>-31.49</v>
      </c>
      <c r="M410" t="s">
        <v>117</v>
      </c>
      <c r="N410" t="s">
        <v>32</v>
      </c>
      <c r="O410" t="str">
        <f t="shared" si="36"/>
        <v>20/04/2025</v>
      </c>
      <c r="P410">
        <f t="shared" si="37"/>
        <v>2025</v>
      </c>
      <c r="Q410">
        <f t="shared" si="38"/>
        <v>4</v>
      </c>
      <c r="R410" t="str">
        <f t="shared" si="39"/>
        <v>April</v>
      </c>
      <c r="S410" t="str">
        <f t="shared" si="40"/>
        <v>Low</v>
      </c>
      <c r="T410" s="1">
        <f t="shared" si="41"/>
        <v>-1.516713226086119E-2</v>
      </c>
      <c r="U410">
        <f>SUM($I$2:I410)</f>
        <v>1392913.3699999994</v>
      </c>
      <c r="V410" s="1">
        <f>Table1[[#This Row],[Running total ]]/SUM(I:I)</f>
        <v>0.40194241330026048</v>
      </c>
    </row>
    <row r="411" spans="1:22" x14ac:dyDescent="0.3">
      <c r="A411" t="s">
        <v>988</v>
      </c>
      <c r="B411" t="s">
        <v>989</v>
      </c>
      <c r="C411" t="s">
        <v>733</v>
      </c>
      <c r="D411" t="s">
        <v>17</v>
      </c>
      <c r="E411" t="s">
        <v>54</v>
      </c>
      <c r="F411" t="s">
        <v>67</v>
      </c>
      <c r="G411" t="s">
        <v>68</v>
      </c>
      <c r="H411" t="s">
        <v>382</v>
      </c>
      <c r="I411">
        <v>42.26</v>
      </c>
      <c r="J411">
        <v>1</v>
      </c>
      <c r="K411" s="1">
        <v>0.2</v>
      </c>
      <c r="L411">
        <v>4.16</v>
      </c>
      <c r="M411" t="s">
        <v>44</v>
      </c>
      <c r="N411" t="s">
        <v>76</v>
      </c>
      <c r="O411" t="str">
        <f t="shared" si="36"/>
        <v>09/08/2024</v>
      </c>
      <c r="P411">
        <f t="shared" si="37"/>
        <v>2024</v>
      </c>
      <c r="Q411">
        <f t="shared" si="38"/>
        <v>8</v>
      </c>
      <c r="R411" t="str">
        <f t="shared" si="39"/>
        <v>August</v>
      </c>
      <c r="S411" t="str">
        <f t="shared" si="40"/>
        <v>Low</v>
      </c>
      <c r="T411" s="1">
        <f t="shared" si="41"/>
        <v>9.8438239469947952E-2</v>
      </c>
      <c r="U411">
        <f>SUM($I$2:I411)</f>
        <v>1392955.6299999994</v>
      </c>
      <c r="V411" s="1">
        <f>Table1[[#This Row],[Running total ]]/SUM(I:I)</f>
        <v>0.40195460794692833</v>
      </c>
    </row>
    <row r="412" spans="1:22" x14ac:dyDescent="0.3">
      <c r="A412" t="s">
        <v>990</v>
      </c>
      <c r="B412" t="s">
        <v>908</v>
      </c>
      <c r="C412" t="s">
        <v>72</v>
      </c>
      <c r="D412" t="s">
        <v>17</v>
      </c>
      <c r="E412" t="s">
        <v>18</v>
      </c>
      <c r="F412" t="s">
        <v>55</v>
      </c>
      <c r="G412" t="s">
        <v>74</v>
      </c>
      <c r="H412" t="s">
        <v>272</v>
      </c>
      <c r="I412">
        <v>3026.55</v>
      </c>
      <c r="J412">
        <v>5</v>
      </c>
      <c r="K412" s="1">
        <v>0.05</v>
      </c>
      <c r="L412">
        <v>482.88</v>
      </c>
      <c r="M412" t="s">
        <v>107</v>
      </c>
      <c r="N412" t="s">
        <v>23</v>
      </c>
      <c r="O412" t="str">
        <f t="shared" si="36"/>
        <v>09/06/2025</v>
      </c>
      <c r="P412">
        <f t="shared" si="37"/>
        <v>2025</v>
      </c>
      <c r="Q412">
        <f t="shared" si="38"/>
        <v>6</v>
      </c>
      <c r="R412" t="str">
        <f t="shared" si="39"/>
        <v>June</v>
      </c>
      <c r="S412" t="str">
        <f t="shared" si="40"/>
        <v>High</v>
      </c>
      <c r="T412" s="1">
        <f t="shared" si="41"/>
        <v>0.15954800019824553</v>
      </c>
      <c r="U412">
        <f>SUM($I$2:I412)</f>
        <v>1395982.1799999995</v>
      </c>
      <c r="V412" s="1">
        <f>Table1[[#This Row],[Running total ]]/SUM(I:I)</f>
        <v>0.40282795645314157</v>
      </c>
    </row>
    <row r="413" spans="1:22" x14ac:dyDescent="0.3">
      <c r="A413" t="s">
        <v>991</v>
      </c>
      <c r="B413" t="s">
        <v>828</v>
      </c>
      <c r="C413" t="s">
        <v>90</v>
      </c>
      <c r="D413" t="s">
        <v>48</v>
      </c>
      <c r="E413" t="s">
        <v>49</v>
      </c>
      <c r="F413" t="s">
        <v>19</v>
      </c>
      <c r="G413" t="s">
        <v>29</v>
      </c>
      <c r="H413" t="s">
        <v>30</v>
      </c>
      <c r="I413">
        <v>8243.84</v>
      </c>
      <c r="J413">
        <v>8</v>
      </c>
      <c r="K413" s="1">
        <v>0.3</v>
      </c>
      <c r="L413">
        <v>-43.28</v>
      </c>
      <c r="M413" t="s">
        <v>22</v>
      </c>
      <c r="N413" t="s">
        <v>32</v>
      </c>
      <c r="O413" t="str">
        <f t="shared" si="36"/>
        <v>03/08/2024</v>
      </c>
      <c r="P413">
        <f t="shared" si="37"/>
        <v>2024</v>
      </c>
      <c r="Q413">
        <f t="shared" si="38"/>
        <v>8</v>
      </c>
      <c r="R413" t="str">
        <f t="shared" si="39"/>
        <v>August</v>
      </c>
      <c r="S413" t="str">
        <f t="shared" si="40"/>
        <v>Low</v>
      </c>
      <c r="T413" s="1">
        <f t="shared" si="41"/>
        <v>-5.2499805915689774E-3</v>
      </c>
      <c r="U413">
        <f>SUM($I$2:I413)</f>
        <v>1404226.0199999996</v>
      </c>
      <c r="V413" s="1">
        <f>Table1[[#This Row],[Running total ]]/SUM(I:I)</f>
        <v>0.40520681863928115</v>
      </c>
    </row>
    <row r="414" spans="1:22" x14ac:dyDescent="0.3">
      <c r="A414" t="s">
        <v>992</v>
      </c>
      <c r="B414" t="s">
        <v>993</v>
      </c>
      <c r="C414" t="s">
        <v>994</v>
      </c>
      <c r="D414" t="s">
        <v>17</v>
      </c>
      <c r="E414" t="s">
        <v>54</v>
      </c>
      <c r="F414" t="s">
        <v>55</v>
      </c>
      <c r="G414" t="s">
        <v>74</v>
      </c>
      <c r="H414" t="s">
        <v>133</v>
      </c>
      <c r="I414">
        <v>3262.12</v>
      </c>
      <c r="J414">
        <v>4</v>
      </c>
      <c r="K414" s="1">
        <v>0.25</v>
      </c>
      <c r="L414">
        <v>322.81</v>
      </c>
      <c r="M414" t="s">
        <v>22</v>
      </c>
      <c r="N414" t="s">
        <v>76</v>
      </c>
      <c r="O414" t="str">
        <f t="shared" si="36"/>
        <v>04/12/2024</v>
      </c>
      <c r="P414">
        <f t="shared" si="37"/>
        <v>2024</v>
      </c>
      <c r="Q414">
        <f t="shared" si="38"/>
        <v>12</v>
      </c>
      <c r="R414" t="str">
        <f t="shared" si="39"/>
        <v>December</v>
      </c>
      <c r="S414" t="str">
        <f t="shared" si="40"/>
        <v>Low</v>
      </c>
      <c r="T414" s="1">
        <f t="shared" si="41"/>
        <v>9.895711990975195E-2</v>
      </c>
      <c r="U414">
        <f>SUM($I$2:I414)</f>
        <v>1407488.1399999997</v>
      </c>
      <c r="V414" s="1">
        <f>Table1[[#This Row],[Running total ]]/SUM(I:I)</f>
        <v>0.40614814378807707</v>
      </c>
    </row>
    <row r="415" spans="1:22" x14ac:dyDescent="0.3">
      <c r="A415" t="s">
        <v>995</v>
      </c>
      <c r="B415" t="s">
        <v>996</v>
      </c>
      <c r="C415" t="s">
        <v>324</v>
      </c>
      <c r="D415" t="s">
        <v>17</v>
      </c>
      <c r="E415" t="s">
        <v>18</v>
      </c>
      <c r="F415" t="s">
        <v>55</v>
      </c>
      <c r="G415" t="s">
        <v>74</v>
      </c>
      <c r="H415" t="s">
        <v>75</v>
      </c>
      <c r="I415">
        <v>752.89</v>
      </c>
      <c r="J415">
        <v>1</v>
      </c>
      <c r="K415" s="1">
        <v>0.25</v>
      </c>
      <c r="L415">
        <v>-149.37</v>
      </c>
      <c r="M415" t="s">
        <v>22</v>
      </c>
      <c r="N415" t="s">
        <v>23</v>
      </c>
      <c r="O415" t="str">
        <f t="shared" si="36"/>
        <v>04/07/2025</v>
      </c>
      <c r="P415">
        <f t="shared" si="37"/>
        <v>2025</v>
      </c>
      <c r="Q415">
        <f t="shared" si="38"/>
        <v>7</v>
      </c>
      <c r="R415" t="str">
        <f t="shared" si="39"/>
        <v>July</v>
      </c>
      <c r="S415" t="str">
        <f t="shared" si="40"/>
        <v>Low</v>
      </c>
      <c r="T415" s="1">
        <f t="shared" si="41"/>
        <v>-0.19839551594522442</v>
      </c>
      <c r="U415">
        <f>SUM($I$2:I415)</f>
        <v>1408241.0299999996</v>
      </c>
      <c r="V415" s="1">
        <f>Table1[[#This Row],[Running total ]]/SUM(I:I)</f>
        <v>0.40636539952706791</v>
      </c>
    </row>
    <row r="416" spans="1:22" x14ac:dyDescent="0.3">
      <c r="A416" t="s">
        <v>997</v>
      </c>
      <c r="B416" t="s">
        <v>998</v>
      </c>
      <c r="C416" t="s">
        <v>311</v>
      </c>
      <c r="D416" t="s">
        <v>27</v>
      </c>
      <c r="E416" t="s">
        <v>43</v>
      </c>
      <c r="F416" t="s">
        <v>55</v>
      </c>
      <c r="G416" t="s">
        <v>74</v>
      </c>
      <c r="H416" t="s">
        <v>272</v>
      </c>
      <c r="I416">
        <v>508.69</v>
      </c>
      <c r="J416">
        <v>1</v>
      </c>
      <c r="K416" s="1">
        <v>0.3</v>
      </c>
      <c r="L416">
        <v>74.569999999999993</v>
      </c>
      <c r="M416" t="s">
        <v>107</v>
      </c>
      <c r="N416" t="s">
        <v>39</v>
      </c>
      <c r="O416" t="str">
        <f t="shared" si="36"/>
        <v>03/08/2025</v>
      </c>
      <c r="P416">
        <f t="shared" si="37"/>
        <v>2025</v>
      </c>
      <c r="Q416">
        <f t="shared" si="38"/>
        <v>8</v>
      </c>
      <c r="R416" t="str">
        <f t="shared" si="39"/>
        <v>August</v>
      </c>
      <c r="S416" t="str">
        <f t="shared" si="40"/>
        <v>Low</v>
      </c>
      <c r="T416" s="1">
        <f t="shared" si="41"/>
        <v>0.14659222709312153</v>
      </c>
      <c r="U416">
        <f>SUM($I$2:I416)</f>
        <v>1408749.7199999995</v>
      </c>
      <c r="V416" s="1">
        <f>Table1[[#This Row],[Running total ]]/SUM(I:I)</f>
        <v>0.40651218833003683</v>
      </c>
    </row>
    <row r="417" spans="1:22" x14ac:dyDescent="0.3">
      <c r="A417" t="s">
        <v>999</v>
      </c>
      <c r="B417" t="s">
        <v>1000</v>
      </c>
      <c r="C417" t="s">
        <v>302</v>
      </c>
      <c r="D417" t="s">
        <v>27</v>
      </c>
      <c r="E417" t="s">
        <v>43</v>
      </c>
      <c r="F417" t="s">
        <v>19</v>
      </c>
      <c r="G417" t="s">
        <v>20</v>
      </c>
      <c r="H417" t="s">
        <v>21</v>
      </c>
      <c r="I417">
        <v>4004.96</v>
      </c>
      <c r="J417">
        <v>4</v>
      </c>
      <c r="K417" s="1">
        <v>0.15</v>
      </c>
      <c r="L417">
        <v>1040.3800000000001</v>
      </c>
      <c r="M417" t="s">
        <v>22</v>
      </c>
      <c r="N417" t="s">
        <v>76</v>
      </c>
      <c r="O417" t="str">
        <f t="shared" si="36"/>
        <v>22/12/2025</v>
      </c>
      <c r="P417">
        <f t="shared" si="37"/>
        <v>2025</v>
      </c>
      <c r="Q417">
        <f t="shared" si="38"/>
        <v>12</v>
      </c>
      <c r="R417" t="str">
        <f t="shared" si="39"/>
        <v>December</v>
      </c>
      <c r="S417" t="str">
        <f t="shared" si="40"/>
        <v>Low</v>
      </c>
      <c r="T417" s="1">
        <f t="shared" si="41"/>
        <v>0.2597728816267828</v>
      </c>
      <c r="U417">
        <f>SUM($I$2:I417)</f>
        <v>1412754.6799999995</v>
      </c>
      <c r="V417" s="1">
        <f>Table1[[#This Row],[Running total ]]/SUM(I:I)</f>
        <v>0.40766786916578829</v>
      </c>
    </row>
    <row r="418" spans="1:22" x14ac:dyDescent="0.3">
      <c r="A418" t="s">
        <v>1001</v>
      </c>
      <c r="B418" t="s">
        <v>89</v>
      </c>
      <c r="C418" t="s">
        <v>749</v>
      </c>
      <c r="D418" t="s">
        <v>137</v>
      </c>
      <c r="E418" t="s">
        <v>242</v>
      </c>
      <c r="F418" t="s">
        <v>19</v>
      </c>
      <c r="G418" t="s">
        <v>36</v>
      </c>
      <c r="H418" t="s">
        <v>37</v>
      </c>
      <c r="I418">
        <v>902.06</v>
      </c>
      <c r="J418">
        <v>1</v>
      </c>
      <c r="K418" s="1">
        <v>0.2</v>
      </c>
      <c r="L418">
        <v>123.53</v>
      </c>
      <c r="M418" t="s">
        <v>22</v>
      </c>
      <c r="N418" t="s">
        <v>23</v>
      </c>
      <c r="O418" t="str">
        <f t="shared" si="36"/>
        <v>16/05/2024</v>
      </c>
      <c r="P418">
        <f t="shared" si="37"/>
        <v>2024</v>
      </c>
      <c r="Q418">
        <f t="shared" si="38"/>
        <v>5</v>
      </c>
      <c r="R418" t="str">
        <f t="shared" si="39"/>
        <v>May</v>
      </c>
      <c r="S418" t="str">
        <f t="shared" si="40"/>
        <v>Low</v>
      </c>
      <c r="T418" s="1">
        <f t="shared" si="41"/>
        <v>0.13694211028091258</v>
      </c>
      <c r="U418">
        <f>SUM($I$2:I418)</f>
        <v>1413656.7399999995</v>
      </c>
      <c r="V418" s="1">
        <f>Table1[[#This Row],[Running total ]]/SUM(I:I)</f>
        <v>0.40792816975673007</v>
      </c>
    </row>
    <row r="419" spans="1:22" x14ac:dyDescent="0.3">
      <c r="A419" t="s">
        <v>1002</v>
      </c>
      <c r="B419" t="s">
        <v>570</v>
      </c>
      <c r="C419" t="s">
        <v>841</v>
      </c>
      <c r="D419" t="s">
        <v>48</v>
      </c>
      <c r="E419" t="s">
        <v>84</v>
      </c>
      <c r="F419" t="s">
        <v>19</v>
      </c>
      <c r="G419" t="s">
        <v>20</v>
      </c>
      <c r="H419" t="s">
        <v>239</v>
      </c>
      <c r="I419">
        <v>408.2</v>
      </c>
      <c r="J419">
        <v>5</v>
      </c>
      <c r="K419" s="1">
        <v>0.15</v>
      </c>
      <c r="L419">
        <v>38.76</v>
      </c>
      <c r="M419" t="s">
        <v>107</v>
      </c>
      <c r="N419" t="s">
        <v>32</v>
      </c>
      <c r="O419" t="str">
        <f t="shared" si="36"/>
        <v>09/03/2025</v>
      </c>
      <c r="P419">
        <f t="shared" si="37"/>
        <v>2025</v>
      </c>
      <c r="Q419">
        <f t="shared" si="38"/>
        <v>3</v>
      </c>
      <c r="R419" t="str">
        <f t="shared" si="39"/>
        <v>March</v>
      </c>
      <c r="S419" t="str">
        <f t="shared" si="40"/>
        <v>Low</v>
      </c>
      <c r="T419" s="1">
        <f t="shared" si="41"/>
        <v>9.4953454189122974E-2</v>
      </c>
      <c r="U419">
        <f>SUM($I$2:I419)</f>
        <v>1414064.9399999995</v>
      </c>
      <c r="V419" s="1">
        <f>Table1[[#This Row],[Running total ]]/SUM(I:I)</f>
        <v>0.40804596092496986</v>
      </c>
    </row>
    <row r="420" spans="1:22" x14ac:dyDescent="0.3">
      <c r="A420" t="s">
        <v>1003</v>
      </c>
      <c r="B420" t="s">
        <v>1004</v>
      </c>
      <c r="C420" t="s">
        <v>136</v>
      </c>
      <c r="D420" t="s">
        <v>17</v>
      </c>
      <c r="E420" t="s">
        <v>54</v>
      </c>
      <c r="F420" t="s">
        <v>19</v>
      </c>
      <c r="G420" t="s">
        <v>36</v>
      </c>
      <c r="H420" t="s">
        <v>111</v>
      </c>
      <c r="I420">
        <v>3865.2</v>
      </c>
      <c r="J420">
        <v>10</v>
      </c>
      <c r="K420" s="1">
        <v>0.05</v>
      </c>
      <c r="L420">
        <v>625.72</v>
      </c>
      <c r="M420" t="s">
        <v>44</v>
      </c>
      <c r="N420" t="s">
        <v>76</v>
      </c>
      <c r="O420" t="str">
        <f t="shared" si="36"/>
        <v>22/03/2025</v>
      </c>
      <c r="P420">
        <f t="shared" si="37"/>
        <v>2025</v>
      </c>
      <c r="Q420">
        <f t="shared" si="38"/>
        <v>3</v>
      </c>
      <c r="R420" t="str">
        <f t="shared" si="39"/>
        <v>March</v>
      </c>
      <c r="S420" t="str">
        <f t="shared" si="40"/>
        <v>High</v>
      </c>
      <c r="T420" s="1">
        <f t="shared" si="41"/>
        <v>0.16188554279209358</v>
      </c>
      <c r="U420">
        <f>SUM($I$2:I420)</f>
        <v>1417930.1399999994</v>
      </c>
      <c r="V420" s="1">
        <f>Table1[[#This Row],[Running total ]]/SUM(I:I)</f>
        <v>0.40916131228087516</v>
      </c>
    </row>
    <row r="421" spans="1:22" x14ac:dyDescent="0.3">
      <c r="A421" t="s">
        <v>1005</v>
      </c>
      <c r="B421" t="s">
        <v>547</v>
      </c>
      <c r="C421" t="s">
        <v>1006</v>
      </c>
      <c r="D421" t="s">
        <v>137</v>
      </c>
      <c r="E421" t="s">
        <v>138</v>
      </c>
      <c r="F421" t="s">
        <v>19</v>
      </c>
      <c r="G421" t="s">
        <v>20</v>
      </c>
      <c r="H421" t="s">
        <v>347</v>
      </c>
      <c r="I421">
        <v>2394.36</v>
      </c>
      <c r="J421">
        <v>3</v>
      </c>
      <c r="K421" s="1">
        <v>0</v>
      </c>
      <c r="L421">
        <v>261.64999999999998</v>
      </c>
      <c r="M421" t="s">
        <v>87</v>
      </c>
      <c r="N421" t="s">
        <v>32</v>
      </c>
      <c r="O421" t="str">
        <f t="shared" si="36"/>
        <v>02/12/2024</v>
      </c>
      <c r="P421">
        <f t="shared" si="37"/>
        <v>2024</v>
      </c>
      <c r="Q421">
        <f t="shared" si="38"/>
        <v>12</v>
      </c>
      <c r="R421" t="str">
        <f t="shared" si="39"/>
        <v>December</v>
      </c>
      <c r="S421" t="str">
        <f t="shared" si="40"/>
        <v>No Discount</v>
      </c>
      <c r="T421" s="1">
        <f t="shared" si="41"/>
        <v>0.10927763577741023</v>
      </c>
      <c r="U421">
        <f>SUM($I$2:I421)</f>
        <v>1420324.4999999995</v>
      </c>
      <c r="V421" s="1">
        <f>Table1[[#This Row],[Running total ]]/SUM(I:I)</f>
        <v>0.4098522345287603</v>
      </c>
    </row>
    <row r="422" spans="1:22" x14ac:dyDescent="0.3">
      <c r="A422" t="s">
        <v>1007</v>
      </c>
      <c r="B422" t="s">
        <v>965</v>
      </c>
      <c r="C422" t="s">
        <v>583</v>
      </c>
      <c r="D422" t="s">
        <v>27</v>
      </c>
      <c r="E422" t="s">
        <v>43</v>
      </c>
      <c r="F422" t="s">
        <v>55</v>
      </c>
      <c r="G422" t="s">
        <v>74</v>
      </c>
      <c r="H422" t="s">
        <v>75</v>
      </c>
      <c r="I422">
        <v>146.54</v>
      </c>
      <c r="J422">
        <v>1</v>
      </c>
      <c r="K422" s="1">
        <v>0.05</v>
      </c>
      <c r="L422">
        <v>36.44</v>
      </c>
      <c r="M422" t="s">
        <v>143</v>
      </c>
      <c r="N422" t="s">
        <v>39</v>
      </c>
      <c r="O422" t="str">
        <f t="shared" si="36"/>
        <v>06/11/2025</v>
      </c>
      <c r="P422">
        <f t="shared" si="37"/>
        <v>2025</v>
      </c>
      <c r="Q422">
        <f t="shared" si="38"/>
        <v>11</v>
      </c>
      <c r="R422" t="str">
        <f t="shared" si="39"/>
        <v>November</v>
      </c>
      <c r="S422" t="str">
        <f t="shared" si="40"/>
        <v>High</v>
      </c>
      <c r="T422" s="1">
        <f t="shared" si="41"/>
        <v>0.24866930530913062</v>
      </c>
      <c r="U422">
        <f>SUM($I$2:I422)</f>
        <v>1420471.0399999996</v>
      </c>
      <c r="V422" s="1">
        <f>Table1[[#This Row],[Running total ]]/SUM(I:I)</f>
        <v>0.40989452046162134</v>
      </c>
    </row>
    <row r="423" spans="1:22" x14ac:dyDescent="0.3">
      <c r="A423" t="s">
        <v>1008</v>
      </c>
      <c r="B423" t="s">
        <v>1009</v>
      </c>
      <c r="C423" t="s">
        <v>1010</v>
      </c>
      <c r="D423" t="s">
        <v>137</v>
      </c>
      <c r="E423" t="s">
        <v>242</v>
      </c>
      <c r="F423" t="s">
        <v>67</v>
      </c>
      <c r="G423" t="s">
        <v>68</v>
      </c>
      <c r="H423" t="s">
        <v>382</v>
      </c>
      <c r="I423">
        <v>5529.66</v>
      </c>
      <c r="J423">
        <v>6</v>
      </c>
      <c r="K423" s="1">
        <v>0.05</v>
      </c>
      <c r="L423">
        <v>1605.49</v>
      </c>
      <c r="M423" t="s">
        <v>107</v>
      </c>
      <c r="N423" t="s">
        <v>23</v>
      </c>
      <c r="O423" t="str">
        <f t="shared" si="36"/>
        <v>22/08/2025</v>
      </c>
      <c r="P423">
        <f t="shared" si="37"/>
        <v>2025</v>
      </c>
      <c r="Q423">
        <f t="shared" si="38"/>
        <v>8</v>
      </c>
      <c r="R423" t="str">
        <f t="shared" si="39"/>
        <v>August</v>
      </c>
      <c r="S423" t="str">
        <f t="shared" si="40"/>
        <v>High</v>
      </c>
      <c r="T423" s="1">
        <f t="shared" si="41"/>
        <v>0.29034153998618362</v>
      </c>
      <c r="U423">
        <f>SUM($I$2:I423)</f>
        <v>1426000.6999999995</v>
      </c>
      <c r="V423" s="1">
        <f>Table1[[#This Row],[Running total ]]/SUM(I:I)</f>
        <v>0.4114901723758031</v>
      </c>
    </row>
    <row r="424" spans="1:22" x14ac:dyDescent="0.3">
      <c r="A424" t="s">
        <v>1011</v>
      </c>
      <c r="B424" t="s">
        <v>224</v>
      </c>
      <c r="C424" t="s">
        <v>343</v>
      </c>
      <c r="D424" t="s">
        <v>137</v>
      </c>
      <c r="E424" t="s">
        <v>142</v>
      </c>
      <c r="F424" t="s">
        <v>67</v>
      </c>
      <c r="G424" t="s">
        <v>115</v>
      </c>
      <c r="H424" t="s">
        <v>116</v>
      </c>
      <c r="I424">
        <v>1571.43</v>
      </c>
      <c r="J424">
        <v>3</v>
      </c>
      <c r="K424" s="1">
        <v>0</v>
      </c>
      <c r="L424">
        <v>649.99</v>
      </c>
      <c r="M424" t="s">
        <v>63</v>
      </c>
      <c r="N424" t="s">
        <v>76</v>
      </c>
      <c r="O424" t="str">
        <f t="shared" si="36"/>
        <v>14/05/2025</v>
      </c>
      <c r="P424">
        <f t="shared" si="37"/>
        <v>2025</v>
      </c>
      <c r="Q424">
        <f t="shared" si="38"/>
        <v>5</v>
      </c>
      <c r="R424" t="str">
        <f t="shared" si="39"/>
        <v>May</v>
      </c>
      <c r="S424" t="str">
        <f t="shared" si="40"/>
        <v>No Discount</v>
      </c>
      <c r="T424" s="1">
        <f t="shared" si="41"/>
        <v>0.41362962397306913</v>
      </c>
      <c r="U424">
        <f>SUM($I$2:I424)</f>
        <v>1427572.1299999994</v>
      </c>
      <c r="V424" s="1">
        <f>Table1[[#This Row],[Running total ]]/SUM(I:I)</f>
        <v>0.41194362797479156</v>
      </c>
    </row>
    <row r="425" spans="1:22" x14ac:dyDescent="0.3">
      <c r="A425" t="s">
        <v>1012</v>
      </c>
      <c r="B425" t="s">
        <v>1013</v>
      </c>
      <c r="C425" t="s">
        <v>661</v>
      </c>
      <c r="D425" t="s">
        <v>137</v>
      </c>
      <c r="E425" t="s">
        <v>138</v>
      </c>
      <c r="F425" t="s">
        <v>55</v>
      </c>
      <c r="G425" t="s">
        <v>56</v>
      </c>
      <c r="H425" t="s">
        <v>62</v>
      </c>
      <c r="I425">
        <v>207.7</v>
      </c>
      <c r="J425">
        <v>10</v>
      </c>
      <c r="K425" s="1">
        <v>0</v>
      </c>
      <c r="L425">
        <v>43.11</v>
      </c>
      <c r="M425" t="s">
        <v>143</v>
      </c>
      <c r="N425" t="s">
        <v>39</v>
      </c>
      <c r="O425" t="str">
        <f t="shared" si="36"/>
        <v>18/09/2025</v>
      </c>
      <c r="P425">
        <f t="shared" si="37"/>
        <v>2025</v>
      </c>
      <c r="Q425">
        <f t="shared" si="38"/>
        <v>9</v>
      </c>
      <c r="R425" t="str">
        <f t="shared" si="39"/>
        <v>September</v>
      </c>
      <c r="S425" t="str">
        <f t="shared" si="40"/>
        <v>No Discount</v>
      </c>
      <c r="T425" s="1">
        <f t="shared" si="41"/>
        <v>0.20755897929706307</v>
      </c>
      <c r="U425">
        <f>SUM($I$2:I425)</f>
        <v>1427779.8299999994</v>
      </c>
      <c r="V425" s="1">
        <f>Table1[[#This Row],[Running total ]]/SUM(I:I)</f>
        <v>0.41200356238352115</v>
      </c>
    </row>
    <row r="426" spans="1:22" x14ac:dyDescent="0.3">
      <c r="A426" t="s">
        <v>1014</v>
      </c>
      <c r="B426" t="s">
        <v>417</v>
      </c>
      <c r="C426" t="s">
        <v>652</v>
      </c>
      <c r="D426" t="s">
        <v>17</v>
      </c>
      <c r="E426" t="s">
        <v>54</v>
      </c>
      <c r="F426" t="s">
        <v>67</v>
      </c>
      <c r="G426" t="s">
        <v>68</v>
      </c>
      <c r="H426" t="s">
        <v>382</v>
      </c>
      <c r="I426">
        <v>11497.1</v>
      </c>
      <c r="J426">
        <v>10</v>
      </c>
      <c r="K426" s="1">
        <v>0</v>
      </c>
      <c r="L426">
        <v>1824.67</v>
      </c>
      <c r="M426" t="s">
        <v>107</v>
      </c>
      <c r="N426" t="s">
        <v>23</v>
      </c>
      <c r="O426" t="str">
        <f t="shared" si="36"/>
        <v>01/03/2024</v>
      </c>
      <c r="P426">
        <f t="shared" si="37"/>
        <v>2024</v>
      </c>
      <c r="Q426">
        <f t="shared" si="38"/>
        <v>3</v>
      </c>
      <c r="R426" t="str">
        <f t="shared" si="39"/>
        <v>March</v>
      </c>
      <c r="S426" t="str">
        <f t="shared" si="40"/>
        <v>No Discount</v>
      </c>
      <c r="T426" s="1">
        <f t="shared" si="41"/>
        <v>0.15870697828147967</v>
      </c>
      <c r="U426">
        <f>SUM($I$2:I426)</f>
        <v>1439276.9299999995</v>
      </c>
      <c r="V426" s="1">
        <f>Table1[[#This Row],[Running total ]]/SUM(I:I)</f>
        <v>0.41532119305566728</v>
      </c>
    </row>
    <row r="427" spans="1:22" x14ac:dyDescent="0.3">
      <c r="A427" t="s">
        <v>1015</v>
      </c>
      <c r="B427" t="s">
        <v>562</v>
      </c>
      <c r="C427" t="s">
        <v>256</v>
      </c>
      <c r="D427" t="s">
        <v>137</v>
      </c>
      <c r="E427" t="s">
        <v>242</v>
      </c>
      <c r="F427" t="s">
        <v>67</v>
      </c>
      <c r="G427" t="s">
        <v>68</v>
      </c>
      <c r="H427" t="s">
        <v>103</v>
      </c>
      <c r="I427">
        <v>507.81</v>
      </c>
      <c r="J427">
        <v>3</v>
      </c>
      <c r="K427" s="1">
        <v>0.25</v>
      </c>
      <c r="L427">
        <v>52.99</v>
      </c>
      <c r="M427" t="s">
        <v>31</v>
      </c>
      <c r="N427" t="s">
        <v>23</v>
      </c>
      <c r="O427" t="str">
        <f t="shared" si="36"/>
        <v>17/02/2024</v>
      </c>
      <c r="P427">
        <f t="shared" si="37"/>
        <v>2024</v>
      </c>
      <c r="Q427">
        <f t="shared" si="38"/>
        <v>2</v>
      </c>
      <c r="R427" t="str">
        <f t="shared" si="39"/>
        <v>February</v>
      </c>
      <c r="S427" t="str">
        <f t="shared" si="40"/>
        <v>Low</v>
      </c>
      <c r="T427" s="1">
        <f t="shared" si="41"/>
        <v>0.1043500521848723</v>
      </c>
      <c r="U427">
        <f>SUM($I$2:I427)</f>
        <v>1439784.7399999995</v>
      </c>
      <c r="V427" s="1">
        <f>Table1[[#This Row],[Running total ]]/SUM(I:I)</f>
        <v>0.41546772792373166</v>
      </c>
    </row>
    <row r="428" spans="1:22" x14ac:dyDescent="0.3">
      <c r="A428" t="s">
        <v>1016</v>
      </c>
      <c r="B428" t="s">
        <v>1017</v>
      </c>
      <c r="C428" t="s">
        <v>1018</v>
      </c>
      <c r="D428" t="s">
        <v>48</v>
      </c>
      <c r="E428" t="s">
        <v>110</v>
      </c>
      <c r="F428" t="s">
        <v>67</v>
      </c>
      <c r="G428" t="s">
        <v>85</v>
      </c>
      <c r="H428" t="s">
        <v>125</v>
      </c>
      <c r="I428">
        <v>1157.32</v>
      </c>
      <c r="J428">
        <v>2</v>
      </c>
      <c r="K428" s="1">
        <v>0</v>
      </c>
      <c r="L428">
        <v>466.51</v>
      </c>
      <c r="M428" t="s">
        <v>38</v>
      </c>
      <c r="N428" t="s">
        <v>39</v>
      </c>
      <c r="O428" t="str">
        <f t="shared" si="36"/>
        <v>15/04/2024</v>
      </c>
      <c r="P428">
        <f t="shared" si="37"/>
        <v>2024</v>
      </c>
      <c r="Q428">
        <f t="shared" si="38"/>
        <v>4</v>
      </c>
      <c r="R428" t="str">
        <f t="shared" si="39"/>
        <v>April</v>
      </c>
      <c r="S428" t="str">
        <f t="shared" si="40"/>
        <v>No Discount</v>
      </c>
      <c r="T428" s="1">
        <f t="shared" si="41"/>
        <v>0.40309508174057307</v>
      </c>
      <c r="U428">
        <f>SUM($I$2:I428)</f>
        <v>1440942.0599999996</v>
      </c>
      <c r="V428" s="1">
        <f>Table1[[#This Row],[Running total ]]/SUM(I:I)</f>
        <v>0.41580168695074615</v>
      </c>
    </row>
    <row r="429" spans="1:22" x14ac:dyDescent="0.3">
      <c r="A429" t="s">
        <v>1019</v>
      </c>
      <c r="B429" t="s">
        <v>598</v>
      </c>
      <c r="C429" t="s">
        <v>42</v>
      </c>
      <c r="D429" t="s">
        <v>27</v>
      </c>
      <c r="E429" t="s">
        <v>28</v>
      </c>
      <c r="F429" t="s">
        <v>19</v>
      </c>
      <c r="G429" t="s">
        <v>29</v>
      </c>
      <c r="H429" t="s">
        <v>199</v>
      </c>
      <c r="I429">
        <v>3190.4</v>
      </c>
      <c r="J429">
        <v>10</v>
      </c>
      <c r="K429" s="1">
        <v>0.1</v>
      </c>
      <c r="L429">
        <v>736.8</v>
      </c>
      <c r="M429" t="s">
        <v>117</v>
      </c>
      <c r="N429" t="s">
        <v>32</v>
      </c>
      <c r="O429" t="str">
        <f t="shared" si="36"/>
        <v>05/09/2025</v>
      </c>
      <c r="P429">
        <f t="shared" si="37"/>
        <v>2025</v>
      </c>
      <c r="Q429">
        <f t="shared" si="38"/>
        <v>9</v>
      </c>
      <c r="R429" t="str">
        <f t="shared" si="39"/>
        <v>September</v>
      </c>
      <c r="S429" t="str">
        <f t="shared" si="40"/>
        <v>Low</v>
      </c>
      <c r="T429" s="1">
        <f t="shared" si="41"/>
        <v>0.23094282848545636</v>
      </c>
      <c r="U429">
        <f>SUM($I$2:I429)</f>
        <v>1444132.4599999995</v>
      </c>
      <c r="V429" s="1">
        <f>Table1[[#This Row],[Running total ]]/SUM(I:I)</f>
        <v>0.41672231640481844</v>
      </c>
    </row>
    <row r="430" spans="1:22" x14ac:dyDescent="0.3">
      <c r="A430" t="s">
        <v>1020</v>
      </c>
      <c r="B430" t="s">
        <v>277</v>
      </c>
      <c r="C430" t="s">
        <v>1021</v>
      </c>
      <c r="D430" t="s">
        <v>48</v>
      </c>
      <c r="E430" t="s">
        <v>110</v>
      </c>
      <c r="F430" t="s">
        <v>67</v>
      </c>
      <c r="G430" t="s">
        <v>115</v>
      </c>
      <c r="H430" t="s">
        <v>116</v>
      </c>
      <c r="I430">
        <v>1805.22</v>
      </c>
      <c r="J430">
        <v>6</v>
      </c>
      <c r="K430" s="1">
        <v>0</v>
      </c>
      <c r="L430">
        <v>175.7</v>
      </c>
      <c r="M430" t="s">
        <v>22</v>
      </c>
      <c r="N430" t="s">
        <v>39</v>
      </c>
      <c r="O430" t="str">
        <f t="shared" si="36"/>
        <v>30/12/2025</v>
      </c>
      <c r="P430">
        <f t="shared" si="37"/>
        <v>2025</v>
      </c>
      <c r="Q430">
        <f t="shared" si="38"/>
        <v>12</v>
      </c>
      <c r="R430" t="str">
        <f t="shared" si="39"/>
        <v>December</v>
      </c>
      <c r="S430" t="str">
        <f t="shared" si="40"/>
        <v>No Discount</v>
      </c>
      <c r="T430" s="1">
        <f t="shared" si="41"/>
        <v>9.732885742457982E-2</v>
      </c>
      <c r="U430">
        <f>SUM($I$2:I430)</f>
        <v>1445937.6799999995</v>
      </c>
      <c r="V430" s="1">
        <f>Table1[[#This Row],[Running total ]]/SUM(I:I)</f>
        <v>0.41724323500533261</v>
      </c>
    </row>
    <row r="431" spans="1:22" x14ac:dyDescent="0.3">
      <c r="A431" t="s">
        <v>1022</v>
      </c>
      <c r="B431" t="s">
        <v>902</v>
      </c>
      <c r="C431" t="s">
        <v>275</v>
      </c>
      <c r="D431" t="s">
        <v>48</v>
      </c>
      <c r="E431" t="s">
        <v>84</v>
      </c>
      <c r="F431" t="s">
        <v>19</v>
      </c>
      <c r="G431" t="s">
        <v>20</v>
      </c>
      <c r="H431" t="s">
        <v>347</v>
      </c>
      <c r="I431">
        <v>10047.69</v>
      </c>
      <c r="J431">
        <v>9</v>
      </c>
      <c r="K431" s="1">
        <v>0.3</v>
      </c>
      <c r="L431">
        <v>844.44</v>
      </c>
      <c r="M431" t="s">
        <v>117</v>
      </c>
      <c r="N431" t="s">
        <v>76</v>
      </c>
      <c r="O431" t="str">
        <f t="shared" si="36"/>
        <v>07/06/2025</v>
      </c>
      <c r="P431">
        <f t="shared" si="37"/>
        <v>2025</v>
      </c>
      <c r="Q431">
        <f t="shared" si="38"/>
        <v>6</v>
      </c>
      <c r="R431" t="str">
        <f t="shared" si="39"/>
        <v>June</v>
      </c>
      <c r="S431" t="str">
        <f t="shared" si="40"/>
        <v>Low</v>
      </c>
      <c r="T431" s="1">
        <f t="shared" si="41"/>
        <v>8.4043197988791452E-2</v>
      </c>
      <c r="U431">
        <f>SUM($I$2:I431)</f>
        <v>1455985.3699999994</v>
      </c>
      <c r="V431" s="1">
        <f>Table1[[#This Row],[Running total ]]/SUM(I:I)</f>
        <v>0.42014262046150991</v>
      </c>
    </row>
    <row r="432" spans="1:22" x14ac:dyDescent="0.3">
      <c r="A432" t="s">
        <v>1023</v>
      </c>
      <c r="B432" t="s">
        <v>1024</v>
      </c>
      <c r="C432" t="s">
        <v>163</v>
      </c>
      <c r="D432" t="s">
        <v>17</v>
      </c>
      <c r="E432" t="s">
        <v>54</v>
      </c>
      <c r="F432" t="s">
        <v>67</v>
      </c>
      <c r="G432" t="s">
        <v>85</v>
      </c>
      <c r="H432" t="s">
        <v>86</v>
      </c>
      <c r="I432">
        <v>1361.52</v>
      </c>
      <c r="J432">
        <v>4</v>
      </c>
      <c r="K432" s="1">
        <v>0.25</v>
      </c>
      <c r="L432">
        <v>85.72</v>
      </c>
      <c r="M432" t="s">
        <v>195</v>
      </c>
      <c r="N432" t="s">
        <v>76</v>
      </c>
      <c r="O432" t="str">
        <f t="shared" si="36"/>
        <v>21/10/2025</v>
      </c>
      <c r="P432">
        <f t="shared" si="37"/>
        <v>2025</v>
      </c>
      <c r="Q432">
        <f t="shared" si="38"/>
        <v>10</v>
      </c>
      <c r="R432" t="str">
        <f t="shared" si="39"/>
        <v>October</v>
      </c>
      <c r="S432" t="str">
        <f t="shared" si="40"/>
        <v>Low</v>
      </c>
      <c r="T432" s="1">
        <f t="shared" si="41"/>
        <v>6.295904577237206E-2</v>
      </c>
      <c r="U432">
        <f>SUM($I$2:I432)</f>
        <v>1457346.8899999994</v>
      </c>
      <c r="V432" s="1">
        <f>Table1[[#This Row],[Running total ]]/SUM(I:I)</f>
        <v>0.42053550392888345</v>
      </c>
    </row>
    <row r="433" spans="1:22" x14ac:dyDescent="0.3">
      <c r="A433" t="s">
        <v>1025</v>
      </c>
      <c r="B433" t="s">
        <v>1026</v>
      </c>
      <c r="C433" t="s">
        <v>530</v>
      </c>
      <c r="D433" t="s">
        <v>137</v>
      </c>
      <c r="E433" t="s">
        <v>160</v>
      </c>
      <c r="F433" t="s">
        <v>55</v>
      </c>
      <c r="G433" t="s">
        <v>74</v>
      </c>
      <c r="H433" t="s">
        <v>272</v>
      </c>
      <c r="I433">
        <v>126.08</v>
      </c>
      <c r="J433">
        <v>8</v>
      </c>
      <c r="K433" s="1">
        <v>0</v>
      </c>
      <c r="L433">
        <v>44.9</v>
      </c>
      <c r="M433" t="s">
        <v>63</v>
      </c>
      <c r="N433" t="s">
        <v>32</v>
      </c>
      <c r="O433" t="str">
        <f t="shared" si="36"/>
        <v>14/04/2024</v>
      </c>
      <c r="P433">
        <f t="shared" si="37"/>
        <v>2024</v>
      </c>
      <c r="Q433">
        <f t="shared" si="38"/>
        <v>4</v>
      </c>
      <c r="R433" t="str">
        <f t="shared" si="39"/>
        <v>April</v>
      </c>
      <c r="S433" t="str">
        <f t="shared" si="40"/>
        <v>No Discount</v>
      </c>
      <c r="T433" s="1">
        <f t="shared" si="41"/>
        <v>0.35612309644670048</v>
      </c>
      <c r="U433">
        <f>SUM($I$2:I433)</f>
        <v>1457472.9699999995</v>
      </c>
      <c r="V433" s="1">
        <f>Table1[[#This Row],[Running total ]]/SUM(I:I)</f>
        <v>0.42057188587521288</v>
      </c>
    </row>
    <row r="434" spans="1:22" x14ac:dyDescent="0.3">
      <c r="A434" t="s">
        <v>1027</v>
      </c>
      <c r="B434" t="s">
        <v>1028</v>
      </c>
      <c r="C434" t="s">
        <v>601</v>
      </c>
      <c r="D434" t="s">
        <v>48</v>
      </c>
      <c r="E434" t="s">
        <v>110</v>
      </c>
      <c r="F434" t="s">
        <v>67</v>
      </c>
      <c r="G434" t="s">
        <v>68</v>
      </c>
      <c r="H434" t="s">
        <v>382</v>
      </c>
      <c r="I434">
        <v>2997.76</v>
      </c>
      <c r="J434">
        <v>4</v>
      </c>
      <c r="K434" s="1">
        <v>0</v>
      </c>
      <c r="L434">
        <v>1220.96</v>
      </c>
      <c r="M434" t="s">
        <v>87</v>
      </c>
      <c r="N434" t="s">
        <v>32</v>
      </c>
      <c r="O434" t="str">
        <f t="shared" si="36"/>
        <v>17/12/2024</v>
      </c>
      <c r="P434">
        <f t="shared" si="37"/>
        <v>2024</v>
      </c>
      <c r="Q434">
        <f t="shared" si="38"/>
        <v>12</v>
      </c>
      <c r="R434" t="str">
        <f t="shared" si="39"/>
        <v>December</v>
      </c>
      <c r="S434" t="str">
        <f t="shared" si="40"/>
        <v>No Discount</v>
      </c>
      <c r="T434" s="1">
        <f t="shared" si="41"/>
        <v>0.40729077711357814</v>
      </c>
      <c r="U434">
        <f>SUM($I$2:I434)</f>
        <v>1460470.7299999995</v>
      </c>
      <c r="V434" s="1">
        <f>Table1[[#This Row],[Running total ]]/SUM(I:I)</f>
        <v>0.42143692667017274</v>
      </c>
    </row>
    <row r="435" spans="1:22" x14ac:dyDescent="0.3">
      <c r="A435" t="s">
        <v>1029</v>
      </c>
      <c r="B435" t="s">
        <v>1030</v>
      </c>
      <c r="C435" t="s">
        <v>473</v>
      </c>
      <c r="D435" t="s">
        <v>137</v>
      </c>
      <c r="E435" t="s">
        <v>138</v>
      </c>
      <c r="F435" t="s">
        <v>19</v>
      </c>
      <c r="G435" t="s">
        <v>36</v>
      </c>
      <c r="H435" t="s">
        <v>222</v>
      </c>
      <c r="I435">
        <v>63.45</v>
      </c>
      <c r="J435">
        <v>3</v>
      </c>
      <c r="K435" s="1">
        <v>0</v>
      </c>
      <c r="L435">
        <v>11.62</v>
      </c>
      <c r="M435" t="s">
        <v>44</v>
      </c>
      <c r="N435" t="s">
        <v>23</v>
      </c>
      <c r="O435" t="str">
        <f t="shared" si="36"/>
        <v>30/01/2024</v>
      </c>
      <c r="P435">
        <f t="shared" si="37"/>
        <v>2024</v>
      </c>
      <c r="Q435">
        <f t="shared" si="38"/>
        <v>1</v>
      </c>
      <c r="R435" t="str">
        <f t="shared" si="39"/>
        <v>January</v>
      </c>
      <c r="S435" t="str">
        <f t="shared" si="40"/>
        <v>No Discount</v>
      </c>
      <c r="T435" s="1">
        <f t="shared" si="41"/>
        <v>0.18313632781717887</v>
      </c>
      <c r="U435">
        <f>SUM($I$2:I435)</f>
        <v>1460534.1799999995</v>
      </c>
      <c r="V435" s="1">
        <f>Table1[[#This Row],[Running total ]]/SUM(I:I)</f>
        <v>0.42145523595391798</v>
      </c>
    </row>
    <row r="436" spans="1:22" x14ac:dyDescent="0.3">
      <c r="A436" t="s">
        <v>1031</v>
      </c>
      <c r="B436" t="s">
        <v>790</v>
      </c>
      <c r="C436" t="s">
        <v>235</v>
      </c>
      <c r="D436" t="s">
        <v>27</v>
      </c>
      <c r="E436" t="s">
        <v>43</v>
      </c>
      <c r="F436" t="s">
        <v>67</v>
      </c>
      <c r="G436" t="s">
        <v>68</v>
      </c>
      <c r="H436" t="s">
        <v>382</v>
      </c>
      <c r="I436">
        <v>1024.6099999999999</v>
      </c>
      <c r="J436">
        <v>1</v>
      </c>
      <c r="K436" s="1">
        <v>0.1</v>
      </c>
      <c r="L436">
        <v>-12.82</v>
      </c>
      <c r="M436" t="s">
        <v>195</v>
      </c>
      <c r="N436" t="s">
        <v>23</v>
      </c>
      <c r="O436" t="str">
        <f t="shared" si="36"/>
        <v>05/02/2025</v>
      </c>
      <c r="P436">
        <f t="shared" si="37"/>
        <v>2025</v>
      </c>
      <c r="Q436">
        <f t="shared" si="38"/>
        <v>2</v>
      </c>
      <c r="R436" t="str">
        <f t="shared" si="39"/>
        <v>February</v>
      </c>
      <c r="S436" t="str">
        <f t="shared" si="40"/>
        <v>Low</v>
      </c>
      <c r="T436" s="1">
        <f t="shared" si="41"/>
        <v>-1.2512077766174448E-2</v>
      </c>
      <c r="U436">
        <f>SUM($I$2:I436)</f>
        <v>1461558.7899999996</v>
      </c>
      <c r="V436" s="1">
        <f>Table1[[#This Row],[Running total ]]/SUM(I:I)</f>
        <v>0.42175089986594694</v>
      </c>
    </row>
    <row r="437" spans="1:22" x14ac:dyDescent="0.3">
      <c r="A437" t="s">
        <v>1032</v>
      </c>
      <c r="B437" t="s">
        <v>1033</v>
      </c>
      <c r="C437" t="s">
        <v>335</v>
      </c>
      <c r="D437" t="s">
        <v>48</v>
      </c>
      <c r="E437" t="s">
        <v>49</v>
      </c>
      <c r="F437" t="s">
        <v>19</v>
      </c>
      <c r="G437" t="s">
        <v>20</v>
      </c>
      <c r="H437" t="s">
        <v>21</v>
      </c>
      <c r="I437">
        <v>2362.48</v>
      </c>
      <c r="J437">
        <v>2</v>
      </c>
      <c r="K437" s="1">
        <v>0.25</v>
      </c>
      <c r="L437">
        <v>418.07</v>
      </c>
      <c r="M437" t="s">
        <v>31</v>
      </c>
      <c r="N437" t="s">
        <v>32</v>
      </c>
      <c r="O437" t="str">
        <f t="shared" si="36"/>
        <v>08/06/2024</v>
      </c>
      <c r="P437">
        <f t="shared" si="37"/>
        <v>2024</v>
      </c>
      <c r="Q437">
        <f t="shared" si="38"/>
        <v>6</v>
      </c>
      <c r="R437" t="str">
        <f t="shared" si="39"/>
        <v>June</v>
      </c>
      <c r="S437" t="str">
        <f t="shared" si="40"/>
        <v>Low</v>
      </c>
      <c r="T437" s="1">
        <f t="shared" si="41"/>
        <v>0.17696234465476957</v>
      </c>
      <c r="U437">
        <f>SUM($I$2:I437)</f>
        <v>1463921.2699999996</v>
      </c>
      <c r="V437" s="1">
        <f>Table1[[#This Row],[Running total ]]/SUM(I:I)</f>
        <v>0.42243262274478871</v>
      </c>
    </row>
    <row r="438" spans="1:22" x14ac:dyDescent="0.3">
      <c r="A438" t="s">
        <v>1034</v>
      </c>
      <c r="B438" t="s">
        <v>1035</v>
      </c>
      <c r="C438" t="s">
        <v>183</v>
      </c>
      <c r="D438" t="s">
        <v>27</v>
      </c>
      <c r="E438" t="s">
        <v>124</v>
      </c>
      <c r="F438" t="s">
        <v>55</v>
      </c>
      <c r="G438" t="s">
        <v>98</v>
      </c>
      <c r="H438" t="s">
        <v>154</v>
      </c>
      <c r="I438">
        <v>9152.64</v>
      </c>
      <c r="J438">
        <v>9</v>
      </c>
      <c r="K438" s="1">
        <v>0.15</v>
      </c>
      <c r="L438">
        <v>1847.76</v>
      </c>
      <c r="M438" t="s">
        <v>87</v>
      </c>
      <c r="N438" t="s">
        <v>39</v>
      </c>
      <c r="O438" t="str">
        <f t="shared" si="36"/>
        <v>28/08/2024</v>
      </c>
      <c r="P438">
        <f t="shared" si="37"/>
        <v>2024</v>
      </c>
      <c r="Q438">
        <f t="shared" si="38"/>
        <v>8</v>
      </c>
      <c r="R438" t="str">
        <f t="shared" si="39"/>
        <v>August</v>
      </c>
      <c r="S438" t="str">
        <f t="shared" si="40"/>
        <v>Low</v>
      </c>
      <c r="T438" s="1">
        <f t="shared" si="41"/>
        <v>0.20188273547304386</v>
      </c>
      <c r="U438">
        <f>SUM($I$2:I438)</f>
        <v>1473073.9099999995</v>
      </c>
      <c r="V438" s="1">
        <f>Table1[[#This Row],[Running total ]]/SUM(I:I)</f>
        <v>0.42507373043238916</v>
      </c>
    </row>
    <row r="439" spans="1:22" x14ac:dyDescent="0.3">
      <c r="A439" t="s">
        <v>1036</v>
      </c>
      <c r="B439" t="s">
        <v>280</v>
      </c>
      <c r="C439" t="s">
        <v>797</v>
      </c>
      <c r="D439" t="s">
        <v>137</v>
      </c>
      <c r="E439" t="s">
        <v>160</v>
      </c>
      <c r="F439" t="s">
        <v>67</v>
      </c>
      <c r="G439" t="s">
        <v>85</v>
      </c>
      <c r="H439" t="s">
        <v>86</v>
      </c>
      <c r="I439">
        <v>4602.1499999999996</v>
      </c>
      <c r="J439">
        <v>5</v>
      </c>
      <c r="K439" s="1">
        <v>0</v>
      </c>
      <c r="L439">
        <v>310.10000000000002</v>
      </c>
      <c r="M439" t="s">
        <v>143</v>
      </c>
      <c r="N439" t="s">
        <v>76</v>
      </c>
      <c r="O439" t="str">
        <f t="shared" si="36"/>
        <v>25/05/2024</v>
      </c>
      <c r="P439">
        <f t="shared" si="37"/>
        <v>2024</v>
      </c>
      <c r="Q439">
        <f t="shared" si="38"/>
        <v>5</v>
      </c>
      <c r="R439" t="str">
        <f t="shared" si="39"/>
        <v>May</v>
      </c>
      <c r="S439" t="str">
        <f t="shared" si="40"/>
        <v>No Discount</v>
      </c>
      <c r="T439" s="1">
        <f t="shared" si="41"/>
        <v>6.7381549927751166E-2</v>
      </c>
      <c r="U439">
        <f>SUM($I$2:I439)</f>
        <v>1477676.0599999994</v>
      </c>
      <c r="V439" s="1">
        <f>Table1[[#This Row],[Running total ]]/SUM(I:I)</f>
        <v>0.4264017378427637</v>
      </c>
    </row>
    <row r="440" spans="1:22" x14ac:dyDescent="0.3">
      <c r="A440" t="s">
        <v>1037</v>
      </c>
      <c r="B440" t="s">
        <v>479</v>
      </c>
      <c r="C440" t="s">
        <v>66</v>
      </c>
      <c r="D440" t="s">
        <v>137</v>
      </c>
      <c r="E440" t="s">
        <v>142</v>
      </c>
      <c r="F440" t="s">
        <v>19</v>
      </c>
      <c r="G440" t="s">
        <v>36</v>
      </c>
      <c r="H440" t="s">
        <v>111</v>
      </c>
      <c r="I440">
        <v>6929.34</v>
      </c>
      <c r="J440">
        <v>6</v>
      </c>
      <c r="K440" s="1">
        <v>0.1</v>
      </c>
      <c r="L440">
        <v>487.61</v>
      </c>
      <c r="M440" t="s">
        <v>117</v>
      </c>
      <c r="N440" t="s">
        <v>32</v>
      </c>
      <c r="O440" t="str">
        <f t="shared" si="36"/>
        <v>03/02/2024</v>
      </c>
      <c r="P440">
        <f t="shared" si="37"/>
        <v>2024</v>
      </c>
      <c r="Q440">
        <f t="shared" si="38"/>
        <v>2</v>
      </c>
      <c r="R440" t="str">
        <f t="shared" si="39"/>
        <v>February</v>
      </c>
      <c r="S440" t="str">
        <f t="shared" si="40"/>
        <v>Low</v>
      </c>
      <c r="T440" s="1">
        <f t="shared" si="41"/>
        <v>7.0368895161732573E-2</v>
      </c>
      <c r="U440">
        <f>SUM($I$2:I440)</f>
        <v>1484605.3999999994</v>
      </c>
      <c r="V440" s="1">
        <f>Table1[[#This Row],[Running total ]]/SUM(I:I)</f>
        <v>0.42840128476518147</v>
      </c>
    </row>
    <row r="441" spans="1:22" x14ac:dyDescent="0.3">
      <c r="A441" t="s">
        <v>1038</v>
      </c>
      <c r="B441" t="s">
        <v>1039</v>
      </c>
      <c r="C441" t="s">
        <v>841</v>
      </c>
      <c r="D441" t="s">
        <v>48</v>
      </c>
      <c r="E441" t="s">
        <v>73</v>
      </c>
      <c r="F441" t="s">
        <v>55</v>
      </c>
      <c r="G441" t="s">
        <v>56</v>
      </c>
      <c r="H441" t="s">
        <v>129</v>
      </c>
      <c r="I441">
        <v>75.260000000000005</v>
      </c>
      <c r="J441">
        <v>2</v>
      </c>
      <c r="K441" s="1">
        <v>0.3</v>
      </c>
      <c r="L441">
        <v>5.72</v>
      </c>
      <c r="M441" t="s">
        <v>22</v>
      </c>
      <c r="N441" t="s">
        <v>39</v>
      </c>
      <c r="O441" t="str">
        <f t="shared" si="36"/>
        <v>08/11/2024</v>
      </c>
      <c r="P441">
        <f t="shared" si="37"/>
        <v>2024</v>
      </c>
      <c r="Q441">
        <f t="shared" si="38"/>
        <v>11</v>
      </c>
      <c r="R441" t="str">
        <f t="shared" si="39"/>
        <v>November</v>
      </c>
      <c r="S441" t="str">
        <f t="shared" si="40"/>
        <v>Low</v>
      </c>
      <c r="T441" s="1">
        <f t="shared" si="41"/>
        <v>7.6003188944990696E-2</v>
      </c>
      <c r="U441">
        <f>SUM($I$2:I441)</f>
        <v>1484680.6599999995</v>
      </c>
      <c r="V441" s="1">
        <f>Table1[[#This Row],[Running total ]]/SUM(I:I)</f>
        <v>0.42842300197077121</v>
      </c>
    </row>
    <row r="442" spans="1:22" x14ac:dyDescent="0.3">
      <c r="A442" t="s">
        <v>1040</v>
      </c>
      <c r="B442" t="s">
        <v>1041</v>
      </c>
      <c r="C442" t="s">
        <v>249</v>
      </c>
      <c r="D442" t="s">
        <v>27</v>
      </c>
      <c r="E442" t="s">
        <v>124</v>
      </c>
      <c r="F442" t="s">
        <v>67</v>
      </c>
      <c r="G442" t="s">
        <v>85</v>
      </c>
      <c r="H442" t="s">
        <v>253</v>
      </c>
      <c r="I442">
        <v>1335.36</v>
      </c>
      <c r="J442">
        <v>8</v>
      </c>
      <c r="K442" s="1">
        <v>0.25</v>
      </c>
      <c r="L442">
        <v>-219.81</v>
      </c>
      <c r="M442" t="s">
        <v>195</v>
      </c>
      <c r="N442" t="s">
        <v>23</v>
      </c>
      <c r="O442" t="str">
        <f t="shared" si="36"/>
        <v>27/11/2025</v>
      </c>
      <c r="P442">
        <f t="shared" si="37"/>
        <v>2025</v>
      </c>
      <c r="Q442">
        <f t="shared" si="38"/>
        <v>11</v>
      </c>
      <c r="R442" t="str">
        <f t="shared" si="39"/>
        <v>November</v>
      </c>
      <c r="S442" t="str">
        <f t="shared" si="40"/>
        <v>Low</v>
      </c>
      <c r="T442" s="1">
        <f t="shared" si="41"/>
        <v>-0.1646072969086988</v>
      </c>
      <c r="U442">
        <f>SUM($I$2:I442)</f>
        <v>1486016.0199999996</v>
      </c>
      <c r="V442" s="1">
        <f>Table1[[#This Row],[Running total ]]/SUM(I:I)</f>
        <v>0.42880833664598123</v>
      </c>
    </row>
    <row r="443" spans="1:22" x14ac:dyDescent="0.3">
      <c r="A443" t="s">
        <v>1042</v>
      </c>
      <c r="B443" t="s">
        <v>433</v>
      </c>
      <c r="C443" t="s">
        <v>418</v>
      </c>
      <c r="D443" t="s">
        <v>17</v>
      </c>
      <c r="E443" t="s">
        <v>80</v>
      </c>
      <c r="F443" t="s">
        <v>55</v>
      </c>
      <c r="G443" t="s">
        <v>74</v>
      </c>
      <c r="H443" t="s">
        <v>133</v>
      </c>
      <c r="I443">
        <v>4524.84</v>
      </c>
      <c r="J443">
        <v>6</v>
      </c>
      <c r="K443" s="1">
        <v>0.1</v>
      </c>
      <c r="L443">
        <v>1406.57</v>
      </c>
      <c r="M443" t="s">
        <v>143</v>
      </c>
      <c r="N443" t="s">
        <v>23</v>
      </c>
      <c r="O443" t="str">
        <f t="shared" si="36"/>
        <v>28/06/2024</v>
      </c>
      <c r="P443">
        <f t="shared" si="37"/>
        <v>2024</v>
      </c>
      <c r="Q443">
        <f t="shared" si="38"/>
        <v>6</v>
      </c>
      <c r="R443" t="str">
        <f t="shared" si="39"/>
        <v>June</v>
      </c>
      <c r="S443" t="str">
        <f t="shared" si="40"/>
        <v>Low</v>
      </c>
      <c r="T443" s="1">
        <f t="shared" si="41"/>
        <v>0.31085519045977311</v>
      </c>
      <c r="U443">
        <f>SUM($I$2:I443)</f>
        <v>1490540.8599999996</v>
      </c>
      <c r="V443" s="1">
        <f>Table1[[#This Row],[Running total ]]/SUM(I:I)</f>
        <v>0.43011403529786335</v>
      </c>
    </row>
    <row r="444" spans="1:22" x14ac:dyDescent="0.3">
      <c r="A444" t="s">
        <v>1043</v>
      </c>
      <c r="B444" t="s">
        <v>1044</v>
      </c>
      <c r="C444" t="s">
        <v>262</v>
      </c>
      <c r="D444" t="s">
        <v>48</v>
      </c>
      <c r="E444" t="s">
        <v>110</v>
      </c>
      <c r="F444" t="s">
        <v>19</v>
      </c>
      <c r="G444" t="s">
        <v>36</v>
      </c>
      <c r="H444" t="s">
        <v>222</v>
      </c>
      <c r="I444">
        <v>430.1</v>
      </c>
      <c r="J444">
        <v>5</v>
      </c>
      <c r="K444" s="1">
        <v>0</v>
      </c>
      <c r="L444">
        <v>67.08</v>
      </c>
      <c r="M444" t="s">
        <v>31</v>
      </c>
      <c r="N444" t="s">
        <v>23</v>
      </c>
      <c r="O444" t="str">
        <f t="shared" si="36"/>
        <v>06/09/2025</v>
      </c>
      <c r="P444">
        <f t="shared" si="37"/>
        <v>2025</v>
      </c>
      <c r="Q444">
        <f t="shared" si="38"/>
        <v>9</v>
      </c>
      <c r="R444" t="str">
        <f t="shared" si="39"/>
        <v>September</v>
      </c>
      <c r="S444" t="str">
        <f t="shared" si="40"/>
        <v>No Discount</v>
      </c>
      <c r="T444" s="1">
        <f t="shared" si="41"/>
        <v>0.15596372936526387</v>
      </c>
      <c r="U444">
        <f>SUM($I$2:I444)</f>
        <v>1490970.9599999997</v>
      </c>
      <c r="V444" s="1">
        <f>Table1[[#This Row],[Running total ]]/SUM(I:I)</f>
        <v>0.43023814598247867</v>
      </c>
    </row>
    <row r="445" spans="1:22" x14ac:dyDescent="0.3">
      <c r="A445" t="s">
        <v>1045</v>
      </c>
      <c r="B445" t="s">
        <v>1046</v>
      </c>
      <c r="C445" t="s">
        <v>169</v>
      </c>
      <c r="D445" t="s">
        <v>137</v>
      </c>
      <c r="E445" t="s">
        <v>160</v>
      </c>
      <c r="F445" t="s">
        <v>67</v>
      </c>
      <c r="G445" t="s">
        <v>68</v>
      </c>
      <c r="H445" t="s">
        <v>103</v>
      </c>
      <c r="I445">
        <v>1966.5</v>
      </c>
      <c r="J445">
        <v>6</v>
      </c>
      <c r="K445" s="1">
        <v>0</v>
      </c>
      <c r="L445">
        <v>320.10000000000002</v>
      </c>
      <c r="M445" t="s">
        <v>38</v>
      </c>
      <c r="N445" t="s">
        <v>76</v>
      </c>
      <c r="O445" t="str">
        <f t="shared" si="36"/>
        <v>18/07/2025</v>
      </c>
      <c r="P445">
        <f t="shared" si="37"/>
        <v>2025</v>
      </c>
      <c r="Q445">
        <f t="shared" si="38"/>
        <v>7</v>
      </c>
      <c r="R445" t="str">
        <f t="shared" si="39"/>
        <v>July</v>
      </c>
      <c r="S445" t="str">
        <f t="shared" si="40"/>
        <v>No Discount</v>
      </c>
      <c r="T445" s="1">
        <f t="shared" si="41"/>
        <v>0.16277650648360031</v>
      </c>
      <c r="U445">
        <f>SUM($I$2:I445)</f>
        <v>1492937.4599999997</v>
      </c>
      <c r="V445" s="1">
        <f>Table1[[#This Row],[Running total ]]/SUM(I:I)</f>
        <v>0.4308056039255056</v>
      </c>
    </row>
    <row r="446" spans="1:22" x14ac:dyDescent="0.3">
      <c r="A446" t="s">
        <v>1047</v>
      </c>
      <c r="B446" t="s">
        <v>1048</v>
      </c>
      <c r="C446" t="s">
        <v>608</v>
      </c>
      <c r="D446" t="s">
        <v>27</v>
      </c>
      <c r="E446" t="s">
        <v>43</v>
      </c>
      <c r="F446" t="s">
        <v>55</v>
      </c>
      <c r="G446" t="s">
        <v>74</v>
      </c>
      <c r="H446" t="s">
        <v>75</v>
      </c>
      <c r="I446">
        <v>1505.16</v>
      </c>
      <c r="J446">
        <v>3</v>
      </c>
      <c r="K446" s="1">
        <v>0.25</v>
      </c>
      <c r="L446">
        <v>193.35</v>
      </c>
      <c r="M446" t="s">
        <v>87</v>
      </c>
      <c r="N446" t="s">
        <v>32</v>
      </c>
      <c r="O446" t="str">
        <f t="shared" si="36"/>
        <v>28/02/2024</v>
      </c>
      <c r="P446">
        <f t="shared" si="37"/>
        <v>2024</v>
      </c>
      <c r="Q446">
        <f t="shared" si="38"/>
        <v>2</v>
      </c>
      <c r="R446" t="str">
        <f t="shared" si="39"/>
        <v>February</v>
      </c>
      <c r="S446" t="str">
        <f t="shared" si="40"/>
        <v>Low</v>
      </c>
      <c r="T446" s="1">
        <f t="shared" si="41"/>
        <v>0.12845810412182093</v>
      </c>
      <c r="U446">
        <f>SUM($I$2:I446)</f>
        <v>1494442.6199999996</v>
      </c>
      <c r="V446" s="1">
        <f>Table1[[#This Row],[Running total ]]/SUM(I:I)</f>
        <v>0.43123993649480458</v>
      </c>
    </row>
    <row r="447" spans="1:22" x14ac:dyDescent="0.3">
      <c r="A447" t="s">
        <v>1049</v>
      </c>
      <c r="B447" t="s">
        <v>610</v>
      </c>
      <c r="C447" t="s">
        <v>228</v>
      </c>
      <c r="D447" t="s">
        <v>17</v>
      </c>
      <c r="E447" t="s">
        <v>80</v>
      </c>
      <c r="F447" t="s">
        <v>55</v>
      </c>
      <c r="G447" t="s">
        <v>74</v>
      </c>
      <c r="H447" t="s">
        <v>75</v>
      </c>
      <c r="I447">
        <v>2534.1999999999998</v>
      </c>
      <c r="J447">
        <v>4</v>
      </c>
      <c r="K447" s="1">
        <v>0</v>
      </c>
      <c r="L447">
        <v>671.25</v>
      </c>
      <c r="M447" t="s">
        <v>87</v>
      </c>
      <c r="N447" t="s">
        <v>76</v>
      </c>
      <c r="O447" t="str">
        <f t="shared" si="36"/>
        <v>29/01/2025</v>
      </c>
      <c r="P447">
        <f t="shared" si="37"/>
        <v>2025</v>
      </c>
      <c r="Q447">
        <f t="shared" si="38"/>
        <v>1</v>
      </c>
      <c r="R447" t="str">
        <f t="shared" si="39"/>
        <v>January</v>
      </c>
      <c r="S447" t="str">
        <f t="shared" si="40"/>
        <v>No Discount</v>
      </c>
      <c r="T447" s="1">
        <f t="shared" si="41"/>
        <v>0.26487648962197147</v>
      </c>
      <c r="U447">
        <f>SUM($I$2:I447)</f>
        <v>1496976.8199999996</v>
      </c>
      <c r="V447" s="1">
        <f>Table1[[#This Row],[Running total ]]/SUM(I:I)</f>
        <v>0.43197121130752714</v>
      </c>
    </row>
    <row r="448" spans="1:22" x14ac:dyDescent="0.3">
      <c r="A448" t="s">
        <v>1050</v>
      </c>
      <c r="B448" t="s">
        <v>920</v>
      </c>
      <c r="C448" t="s">
        <v>102</v>
      </c>
      <c r="D448" t="s">
        <v>17</v>
      </c>
      <c r="E448" t="s">
        <v>18</v>
      </c>
      <c r="F448" t="s">
        <v>67</v>
      </c>
      <c r="G448" t="s">
        <v>68</v>
      </c>
      <c r="H448" t="s">
        <v>103</v>
      </c>
      <c r="I448">
        <v>4651.3</v>
      </c>
      <c r="J448">
        <v>5</v>
      </c>
      <c r="K448" s="1">
        <v>0.1</v>
      </c>
      <c r="L448">
        <v>821.47</v>
      </c>
      <c r="M448" t="s">
        <v>107</v>
      </c>
      <c r="N448" t="s">
        <v>32</v>
      </c>
      <c r="O448" t="str">
        <f t="shared" si="36"/>
        <v>17/04/2025</v>
      </c>
      <c r="P448">
        <f t="shared" si="37"/>
        <v>2025</v>
      </c>
      <c r="Q448">
        <f t="shared" si="38"/>
        <v>4</v>
      </c>
      <c r="R448" t="str">
        <f t="shared" si="39"/>
        <v>April</v>
      </c>
      <c r="S448" t="str">
        <f t="shared" si="40"/>
        <v>Low</v>
      </c>
      <c r="T448" s="1">
        <f t="shared" si="41"/>
        <v>0.17661083998022059</v>
      </c>
      <c r="U448">
        <f>SUM($I$2:I448)</f>
        <v>1501628.1199999996</v>
      </c>
      <c r="V448" s="1">
        <f>Table1[[#This Row],[Running total ]]/SUM(I:I)</f>
        <v>0.43331340155944748</v>
      </c>
    </row>
    <row r="449" spans="1:22" x14ac:dyDescent="0.3">
      <c r="A449" t="s">
        <v>1051</v>
      </c>
      <c r="B449" t="s">
        <v>1052</v>
      </c>
      <c r="C449" t="s">
        <v>102</v>
      </c>
      <c r="D449" t="s">
        <v>48</v>
      </c>
      <c r="E449" t="s">
        <v>84</v>
      </c>
      <c r="F449" t="s">
        <v>55</v>
      </c>
      <c r="G449" t="s">
        <v>98</v>
      </c>
      <c r="H449" t="s">
        <v>150</v>
      </c>
      <c r="I449">
        <v>1077.27</v>
      </c>
      <c r="J449">
        <v>1</v>
      </c>
      <c r="K449" s="1">
        <v>0.05</v>
      </c>
      <c r="L449">
        <v>312.87</v>
      </c>
      <c r="M449" t="s">
        <v>87</v>
      </c>
      <c r="N449" t="s">
        <v>23</v>
      </c>
      <c r="O449" t="str">
        <f t="shared" si="36"/>
        <v>01/06/2024</v>
      </c>
      <c r="P449">
        <f t="shared" si="37"/>
        <v>2024</v>
      </c>
      <c r="Q449">
        <f t="shared" si="38"/>
        <v>6</v>
      </c>
      <c r="R449" t="str">
        <f t="shared" si="39"/>
        <v>June</v>
      </c>
      <c r="S449" t="str">
        <f t="shared" si="40"/>
        <v>High</v>
      </c>
      <c r="T449" s="1">
        <f t="shared" si="41"/>
        <v>0.29042858336350219</v>
      </c>
      <c r="U449">
        <f>SUM($I$2:I449)</f>
        <v>1502705.3899999997</v>
      </c>
      <c r="V449" s="1">
        <f>Table1[[#This Row],[Running total ]]/SUM(I:I)</f>
        <v>0.43362426116701663</v>
      </c>
    </row>
    <row r="450" spans="1:22" x14ac:dyDescent="0.3">
      <c r="A450" t="s">
        <v>1053</v>
      </c>
      <c r="B450" t="s">
        <v>534</v>
      </c>
      <c r="C450" t="s">
        <v>335</v>
      </c>
      <c r="D450" t="s">
        <v>17</v>
      </c>
      <c r="E450" t="s">
        <v>18</v>
      </c>
      <c r="F450" t="s">
        <v>55</v>
      </c>
      <c r="G450" t="s">
        <v>98</v>
      </c>
      <c r="H450" t="s">
        <v>150</v>
      </c>
      <c r="I450">
        <v>1477.42</v>
      </c>
      <c r="J450">
        <v>7</v>
      </c>
      <c r="K450" s="1">
        <v>0.1</v>
      </c>
      <c r="L450">
        <v>-62.15</v>
      </c>
      <c r="M450" t="s">
        <v>63</v>
      </c>
      <c r="N450" t="s">
        <v>32</v>
      </c>
      <c r="O450" t="str">
        <f t="shared" si="36"/>
        <v>17/11/2024</v>
      </c>
      <c r="P450">
        <f t="shared" si="37"/>
        <v>2024</v>
      </c>
      <c r="Q450">
        <f t="shared" si="38"/>
        <v>11</v>
      </c>
      <c r="R450" t="str">
        <f t="shared" si="39"/>
        <v>November</v>
      </c>
      <c r="S450" t="str">
        <f t="shared" si="40"/>
        <v>Low</v>
      </c>
      <c r="T450" s="1">
        <f t="shared" si="41"/>
        <v>-4.2066575516779246E-2</v>
      </c>
      <c r="U450">
        <f>SUM($I$2:I450)</f>
        <v>1504182.8099999996</v>
      </c>
      <c r="V450" s="1">
        <f>Table1[[#This Row],[Running total ]]/SUM(I:I)</f>
        <v>0.43405058901557336</v>
      </c>
    </row>
    <row r="451" spans="1:22" x14ac:dyDescent="0.3">
      <c r="A451" t="s">
        <v>1054</v>
      </c>
      <c r="B451" t="s">
        <v>1055</v>
      </c>
      <c r="C451" t="s">
        <v>1056</v>
      </c>
      <c r="D451" t="s">
        <v>48</v>
      </c>
      <c r="E451" t="s">
        <v>73</v>
      </c>
      <c r="F451" t="s">
        <v>19</v>
      </c>
      <c r="G451" t="s">
        <v>29</v>
      </c>
      <c r="H451" t="s">
        <v>30</v>
      </c>
      <c r="I451">
        <v>4982.25</v>
      </c>
      <c r="J451">
        <v>5</v>
      </c>
      <c r="K451" s="1">
        <v>0.2</v>
      </c>
      <c r="L451">
        <v>572.66999999999996</v>
      </c>
      <c r="M451" t="s">
        <v>195</v>
      </c>
      <c r="N451" t="s">
        <v>39</v>
      </c>
      <c r="O451" t="str">
        <f t="shared" ref="O451:O514" si="42">TEXT(B451,"dd/mm/yyyy")</f>
        <v>11/05/2025</v>
      </c>
      <c r="P451">
        <f t="shared" ref="P451:P514" si="43">YEAR(O451)</f>
        <v>2025</v>
      </c>
      <c r="Q451">
        <f t="shared" ref="Q451:Q514" si="44">MONTH(O451)</f>
        <v>5</v>
      </c>
      <c r="R451" t="str">
        <f t="shared" ref="R451:R514" si="45">TEXT(O451,"mmmm")</f>
        <v>May</v>
      </c>
      <c r="S451" t="str">
        <f t="shared" ref="S451:S514" si="46">IF(K451=0,"No Discount",IF(K451&gt;=0.1,"Low",IF(K451&gt;=0.2,"Medium","High")))</f>
        <v>Low</v>
      </c>
      <c r="T451" s="1">
        <f t="shared" ref="T451:T514" si="47">SUM(L451)/SUM(I451)</f>
        <v>0.11494204425711274</v>
      </c>
      <c r="U451">
        <f>SUM($I$2:I451)</f>
        <v>1509165.0599999996</v>
      </c>
      <c r="V451" s="1">
        <f>Table1[[#This Row],[Running total ]]/SUM(I:I)</f>
        <v>0.43548827899098458</v>
      </c>
    </row>
    <row r="452" spans="1:22" x14ac:dyDescent="0.3">
      <c r="A452" t="s">
        <v>1057</v>
      </c>
      <c r="B452" t="s">
        <v>1058</v>
      </c>
      <c r="C452" t="s">
        <v>843</v>
      </c>
      <c r="D452" t="s">
        <v>137</v>
      </c>
      <c r="E452" t="s">
        <v>142</v>
      </c>
      <c r="F452" t="s">
        <v>67</v>
      </c>
      <c r="G452" t="s">
        <v>68</v>
      </c>
      <c r="H452" t="s">
        <v>69</v>
      </c>
      <c r="I452">
        <v>6558.93</v>
      </c>
      <c r="J452">
        <v>7</v>
      </c>
      <c r="K452" s="1">
        <v>0</v>
      </c>
      <c r="L452">
        <v>1672.78</v>
      </c>
      <c r="M452" t="s">
        <v>143</v>
      </c>
      <c r="N452" t="s">
        <v>32</v>
      </c>
      <c r="O452" t="str">
        <f t="shared" si="42"/>
        <v>28/11/2024</v>
      </c>
      <c r="P452">
        <f t="shared" si="43"/>
        <v>2024</v>
      </c>
      <c r="Q452">
        <f t="shared" si="44"/>
        <v>11</v>
      </c>
      <c r="R452" t="str">
        <f t="shared" si="45"/>
        <v>November</v>
      </c>
      <c r="S452" t="str">
        <f t="shared" si="46"/>
        <v>No Discount</v>
      </c>
      <c r="T452" s="1">
        <f t="shared" si="47"/>
        <v>0.25503855049527896</v>
      </c>
      <c r="U452">
        <f>SUM($I$2:I452)</f>
        <v>1515723.9899999995</v>
      </c>
      <c r="V452" s="1">
        <f>Table1[[#This Row],[Running total ]]/SUM(I:I)</f>
        <v>0.43738093951793999</v>
      </c>
    </row>
    <row r="453" spans="1:22" x14ac:dyDescent="0.3">
      <c r="A453" t="s">
        <v>1059</v>
      </c>
      <c r="B453" t="s">
        <v>1060</v>
      </c>
      <c r="C453" t="s">
        <v>194</v>
      </c>
      <c r="D453" t="s">
        <v>48</v>
      </c>
      <c r="E453" t="s">
        <v>73</v>
      </c>
      <c r="F453" t="s">
        <v>67</v>
      </c>
      <c r="G453" t="s">
        <v>85</v>
      </c>
      <c r="H453" t="s">
        <v>86</v>
      </c>
      <c r="I453">
        <v>6373.86</v>
      </c>
      <c r="J453">
        <v>6</v>
      </c>
      <c r="K453" s="1">
        <v>0.2</v>
      </c>
      <c r="L453">
        <v>1428.36</v>
      </c>
      <c r="M453" t="s">
        <v>31</v>
      </c>
      <c r="N453" t="s">
        <v>39</v>
      </c>
      <c r="O453" t="str">
        <f t="shared" si="42"/>
        <v>30/03/2024</v>
      </c>
      <c r="P453">
        <f t="shared" si="43"/>
        <v>2024</v>
      </c>
      <c r="Q453">
        <f t="shared" si="44"/>
        <v>3</v>
      </c>
      <c r="R453" t="str">
        <f t="shared" si="45"/>
        <v>March</v>
      </c>
      <c r="S453" t="str">
        <f t="shared" si="46"/>
        <v>Low</v>
      </c>
      <c r="T453" s="1">
        <f t="shared" si="47"/>
        <v>0.22409654432322015</v>
      </c>
      <c r="U453">
        <f>SUM($I$2:I453)</f>
        <v>1522097.8499999996</v>
      </c>
      <c r="V453" s="1">
        <f>Table1[[#This Row],[Running total ]]/SUM(I:I)</f>
        <v>0.43922019580308719</v>
      </c>
    </row>
    <row r="454" spans="1:22" x14ac:dyDescent="0.3">
      <c r="A454" t="s">
        <v>1061</v>
      </c>
      <c r="B454" t="s">
        <v>780</v>
      </c>
      <c r="C454" t="s">
        <v>1062</v>
      </c>
      <c r="D454" t="s">
        <v>27</v>
      </c>
      <c r="E454" t="s">
        <v>28</v>
      </c>
      <c r="F454" t="s">
        <v>19</v>
      </c>
      <c r="G454" t="s">
        <v>36</v>
      </c>
      <c r="H454" t="s">
        <v>222</v>
      </c>
      <c r="I454">
        <v>4868.58</v>
      </c>
      <c r="J454">
        <v>6</v>
      </c>
      <c r="K454" s="1">
        <v>0.05</v>
      </c>
      <c r="L454">
        <v>1377.81</v>
      </c>
      <c r="M454" t="s">
        <v>107</v>
      </c>
      <c r="N454" t="s">
        <v>39</v>
      </c>
      <c r="O454" t="str">
        <f t="shared" si="42"/>
        <v>13/12/2024</v>
      </c>
      <c r="P454">
        <f t="shared" si="43"/>
        <v>2024</v>
      </c>
      <c r="Q454">
        <f t="shared" si="44"/>
        <v>12</v>
      </c>
      <c r="R454" t="str">
        <f t="shared" si="45"/>
        <v>December</v>
      </c>
      <c r="S454" t="str">
        <f t="shared" si="46"/>
        <v>High</v>
      </c>
      <c r="T454" s="1">
        <f t="shared" si="47"/>
        <v>0.2830003820415809</v>
      </c>
      <c r="U454">
        <f>SUM($I$2:I454)</f>
        <v>1526966.4299999997</v>
      </c>
      <c r="V454" s="1">
        <f>Table1[[#This Row],[Running total ]]/SUM(I:I)</f>
        <v>0.44062508489144836</v>
      </c>
    </row>
    <row r="455" spans="1:22" x14ac:dyDescent="0.3">
      <c r="A455" t="s">
        <v>1063</v>
      </c>
      <c r="B455" t="s">
        <v>1064</v>
      </c>
      <c r="C455" t="s">
        <v>208</v>
      </c>
      <c r="D455" t="s">
        <v>17</v>
      </c>
      <c r="E455" t="s">
        <v>97</v>
      </c>
      <c r="F455" t="s">
        <v>67</v>
      </c>
      <c r="G455" t="s">
        <v>115</v>
      </c>
      <c r="H455" t="s">
        <v>212</v>
      </c>
      <c r="I455">
        <v>5996.94</v>
      </c>
      <c r="J455">
        <v>6</v>
      </c>
      <c r="K455" s="1">
        <v>0.25</v>
      </c>
      <c r="L455">
        <v>368.3</v>
      </c>
      <c r="M455" t="s">
        <v>143</v>
      </c>
      <c r="N455" t="s">
        <v>39</v>
      </c>
      <c r="O455" t="str">
        <f t="shared" si="42"/>
        <v>18/08/2024</v>
      </c>
      <c r="P455">
        <f t="shared" si="43"/>
        <v>2024</v>
      </c>
      <c r="Q455">
        <f t="shared" si="44"/>
        <v>8</v>
      </c>
      <c r="R455" t="str">
        <f t="shared" si="45"/>
        <v>August</v>
      </c>
      <c r="S455" t="str">
        <f t="shared" si="46"/>
        <v>Low</v>
      </c>
      <c r="T455" s="1">
        <f t="shared" si="47"/>
        <v>6.1414654807285057E-2</v>
      </c>
      <c r="U455">
        <f>SUM($I$2:I455)</f>
        <v>1532963.3699999996</v>
      </c>
      <c r="V455" s="1">
        <f>Table1[[#This Row],[Running total ]]/SUM(I:I)</f>
        <v>0.44235557623996408</v>
      </c>
    </row>
    <row r="456" spans="1:22" x14ac:dyDescent="0.3">
      <c r="A456" t="s">
        <v>1065</v>
      </c>
      <c r="B456" t="s">
        <v>1066</v>
      </c>
      <c r="C456" t="s">
        <v>60</v>
      </c>
      <c r="D456" t="s">
        <v>48</v>
      </c>
      <c r="E456" t="s">
        <v>110</v>
      </c>
      <c r="F456" t="s">
        <v>67</v>
      </c>
      <c r="G456" t="s">
        <v>85</v>
      </c>
      <c r="H456" t="s">
        <v>125</v>
      </c>
      <c r="I456">
        <v>1033.98</v>
      </c>
      <c r="J456">
        <v>2</v>
      </c>
      <c r="K456" s="1">
        <v>0.3</v>
      </c>
      <c r="L456">
        <v>-142.01</v>
      </c>
      <c r="M456" t="s">
        <v>195</v>
      </c>
      <c r="N456" t="s">
        <v>39</v>
      </c>
      <c r="O456" t="str">
        <f t="shared" si="42"/>
        <v>17/03/2025</v>
      </c>
      <c r="P456">
        <f t="shared" si="43"/>
        <v>2025</v>
      </c>
      <c r="Q456">
        <f t="shared" si="44"/>
        <v>3</v>
      </c>
      <c r="R456" t="str">
        <f t="shared" si="45"/>
        <v>March</v>
      </c>
      <c r="S456" t="str">
        <f t="shared" si="46"/>
        <v>Low</v>
      </c>
      <c r="T456" s="1">
        <f t="shared" si="47"/>
        <v>-0.13734308207121992</v>
      </c>
      <c r="U456">
        <f>SUM($I$2:I456)</f>
        <v>1533997.3499999996</v>
      </c>
      <c r="V456" s="1">
        <f>Table1[[#This Row],[Running total ]]/SUM(I:I)</f>
        <v>0.44265394398160202</v>
      </c>
    </row>
    <row r="457" spans="1:22" x14ac:dyDescent="0.3">
      <c r="A457" t="s">
        <v>1067</v>
      </c>
      <c r="B457" t="s">
        <v>1068</v>
      </c>
      <c r="C457" t="s">
        <v>205</v>
      </c>
      <c r="D457" t="s">
        <v>137</v>
      </c>
      <c r="E457" t="s">
        <v>242</v>
      </c>
      <c r="F457" t="s">
        <v>55</v>
      </c>
      <c r="G457" t="s">
        <v>74</v>
      </c>
      <c r="H457" t="s">
        <v>75</v>
      </c>
      <c r="I457">
        <v>3852.17</v>
      </c>
      <c r="J457">
        <v>7</v>
      </c>
      <c r="K457" s="1">
        <v>0.15</v>
      </c>
      <c r="L457">
        <v>521.28</v>
      </c>
      <c r="M457" t="s">
        <v>31</v>
      </c>
      <c r="N457" t="s">
        <v>32</v>
      </c>
      <c r="O457" t="str">
        <f t="shared" si="42"/>
        <v>07/07/2024</v>
      </c>
      <c r="P457">
        <f t="shared" si="43"/>
        <v>2024</v>
      </c>
      <c r="Q457">
        <f t="shared" si="44"/>
        <v>7</v>
      </c>
      <c r="R457" t="str">
        <f t="shared" si="45"/>
        <v>July</v>
      </c>
      <c r="S457" t="str">
        <f t="shared" si="46"/>
        <v>Low</v>
      </c>
      <c r="T457" s="1">
        <f t="shared" si="47"/>
        <v>0.1353211306873788</v>
      </c>
      <c r="U457">
        <f>SUM($I$2:I457)</f>
        <v>1537849.5199999996</v>
      </c>
      <c r="V457" s="1">
        <f>Table1[[#This Row],[Running total ]]/SUM(I:I)</f>
        <v>0.44376553536954511</v>
      </c>
    </row>
    <row r="458" spans="1:22" x14ac:dyDescent="0.3">
      <c r="A458" t="s">
        <v>1069</v>
      </c>
      <c r="B458" t="s">
        <v>1070</v>
      </c>
      <c r="C458" t="s">
        <v>519</v>
      </c>
      <c r="D458" t="s">
        <v>137</v>
      </c>
      <c r="E458" t="s">
        <v>142</v>
      </c>
      <c r="F458" t="s">
        <v>19</v>
      </c>
      <c r="G458" t="s">
        <v>36</v>
      </c>
      <c r="H458" t="s">
        <v>37</v>
      </c>
      <c r="I458">
        <v>7674.6</v>
      </c>
      <c r="J458">
        <v>10</v>
      </c>
      <c r="K458" s="1">
        <v>0.2</v>
      </c>
      <c r="L458">
        <v>8.93</v>
      </c>
      <c r="M458" t="s">
        <v>31</v>
      </c>
      <c r="N458" t="s">
        <v>23</v>
      </c>
      <c r="O458" t="str">
        <f t="shared" si="42"/>
        <v>10/08/2025</v>
      </c>
      <c r="P458">
        <f t="shared" si="43"/>
        <v>2025</v>
      </c>
      <c r="Q458">
        <f t="shared" si="44"/>
        <v>8</v>
      </c>
      <c r="R458" t="str">
        <f t="shared" si="45"/>
        <v>August</v>
      </c>
      <c r="S458" t="str">
        <f t="shared" si="46"/>
        <v>Low</v>
      </c>
      <c r="T458" s="1">
        <f t="shared" si="47"/>
        <v>1.163578557840148E-3</v>
      </c>
      <c r="U458">
        <f>SUM($I$2:I458)</f>
        <v>1545524.1199999996</v>
      </c>
      <c r="V458" s="1">
        <f>Table1[[#This Row],[Running total ]]/SUM(I:I)</f>
        <v>0.44598013629990607</v>
      </c>
    </row>
    <row r="459" spans="1:22" x14ac:dyDescent="0.3">
      <c r="A459" t="s">
        <v>1071</v>
      </c>
      <c r="B459" t="s">
        <v>910</v>
      </c>
      <c r="C459" t="s">
        <v>1072</v>
      </c>
      <c r="D459" t="s">
        <v>137</v>
      </c>
      <c r="E459" t="s">
        <v>138</v>
      </c>
      <c r="F459" t="s">
        <v>55</v>
      </c>
      <c r="G459" t="s">
        <v>56</v>
      </c>
      <c r="H459" t="s">
        <v>129</v>
      </c>
      <c r="I459">
        <v>608.88</v>
      </c>
      <c r="J459">
        <v>1</v>
      </c>
      <c r="K459" s="1">
        <v>0</v>
      </c>
      <c r="L459">
        <v>92.36</v>
      </c>
      <c r="M459" t="s">
        <v>38</v>
      </c>
      <c r="N459" t="s">
        <v>23</v>
      </c>
      <c r="O459" t="str">
        <f t="shared" si="42"/>
        <v>23/10/2024</v>
      </c>
      <c r="P459">
        <f t="shared" si="43"/>
        <v>2024</v>
      </c>
      <c r="Q459">
        <f t="shared" si="44"/>
        <v>10</v>
      </c>
      <c r="R459" t="str">
        <f t="shared" si="45"/>
        <v>October</v>
      </c>
      <c r="S459" t="str">
        <f t="shared" si="46"/>
        <v>No Discount</v>
      </c>
      <c r="T459" s="1">
        <f t="shared" si="47"/>
        <v>0.15168834581526738</v>
      </c>
      <c r="U459">
        <f>SUM($I$2:I459)</f>
        <v>1546132.9999999995</v>
      </c>
      <c r="V459" s="1">
        <f>Table1[[#This Row],[Running total ]]/SUM(I:I)</f>
        <v>0.4461558361688866</v>
      </c>
    </row>
    <row r="460" spans="1:22" x14ac:dyDescent="0.3">
      <c r="A460" t="s">
        <v>1073</v>
      </c>
      <c r="B460" t="s">
        <v>1074</v>
      </c>
      <c r="C460" t="s">
        <v>1075</v>
      </c>
      <c r="D460" t="s">
        <v>137</v>
      </c>
      <c r="E460" t="s">
        <v>138</v>
      </c>
      <c r="F460" t="s">
        <v>55</v>
      </c>
      <c r="G460" t="s">
        <v>56</v>
      </c>
      <c r="H460" t="s">
        <v>129</v>
      </c>
      <c r="I460">
        <v>1004.37</v>
      </c>
      <c r="J460">
        <v>3</v>
      </c>
      <c r="K460" s="1">
        <v>0.25</v>
      </c>
      <c r="L460">
        <v>-124.84</v>
      </c>
      <c r="M460" t="s">
        <v>63</v>
      </c>
      <c r="N460" t="s">
        <v>76</v>
      </c>
      <c r="O460" t="str">
        <f t="shared" si="42"/>
        <v>09/06/2024</v>
      </c>
      <c r="P460">
        <f t="shared" si="43"/>
        <v>2024</v>
      </c>
      <c r="Q460">
        <f t="shared" si="44"/>
        <v>6</v>
      </c>
      <c r="R460" t="str">
        <f t="shared" si="45"/>
        <v>June</v>
      </c>
      <c r="S460" t="str">
        <f t="shared" si="46"/>
        <v>Low</v>
      </c>
      <c r="T460" s="1">
        <f t="shared" si="47"/>
        <v>-0.12429682288399693</v>
      </c>
      <c r="U460">
        <f>SUM($I$2:I460)</f>
        <v>1547137.3699999996</v>
      </c>
      <c r="V460" s="1">
        <f>Table1[[#This Row],[Running total ]]/SUM(I:I)</f>
        <v>0.44644565957811011</v>
      </c>
    </row>
    <row r="461" spans="1:22" x14ac:dyDescent="0.3">
      <c r="A461" t="s">
        <v>1076</v>
      </c>
      <c r="B461" t="s">
        <v>301</v>
      </c>
      <c r="C461" t="s">
        <v>618</v>
      </c>
      <c r="D461" t="s">
        <v>48</v>
      </c>
      <c r="E461" t="s">
        <v>84</v>
      </c>
      <c r="F461" t="s">
        <v>67</v>
      </c>
      <c r="G461" t="s">
        <v>85</v>
      </c>
      <c r="H461" t="s">
        <v>86</v>
      </c>
      <c r="I461">
        <v>3914.56</v>
      </c>
      <c r="J461">
        <v>4</v>
      </c>
      <c r="K461" s="1">
        <v>0.25</v>
      </c>
      <c r="L461">
        <v>650.58000000000004</v>
      </c>
      <c r="M461" t="s">
        <v>38</v>
      </c>
      <c r="N461" t="s">
        <v>23</v>
      </c>
      <c r="O461" t="str">
        <f t="shared" si="42"/>
        <v>18/06/2025</v>
      </c>
      <c r="P461">
        <f t="shared" si="43"/>
        <v>2025</v>
      </c>
      <c r="Q461">
        <f t="shared" si="44"/>
        <v>6</v>
      </c>
      <c r="R461" t="str">
        <f t="shared" si="45"/>
        <v>June</v>
      </c>
      <c r="S461" t="str">
        <f t="shared" si="46"/>
        <v>Low</v>
      </c>
      <c r="T461" s="1">
        <f t="shared" si="47"/>
        <v>0.16619492356739968</v>
      </c>
      <c r="U461">
        <f>SUM($I$2:I461)</f>
        <v>1551051.9299999997</v>
      </c>
      <c r="V461" s="1">
        <f>Table1[[#This Row],[Running total ]]/SUM(I:I)</f>
        <v>0.44757525437366347</v>
      </c>
    </row>
    <row r="462" spans="1:22" x14ac:dyDescent="0.3">
      <c r="A462" t="s">
        <v>1077</v>
      </c>
      <c r="B462" t="s">
        <v>188</v>
      </c>
      <c r="C462" t="s">
        <v>183</v>
      </c>
      <c r="D462" t="s">
        <v>48</v>
      </c>
      <c r="E462" t="s">
        <v>110</v>
      </c>
      <c r="F462" t="s">
        <v>67</v>
      </c>
      <c r="G462" t="s">
        <v>85</v>
      </c>
      <c r="H462" t="s">
        <v>253</v>
      </c>
      <c r="I462">
        <v>4566.7299999999996</v>
      </c>
      <c r="J462">
        <v>7</v>
      </c>
      <c r="K462" s="1">
        <v>0.2</v>
      </c>
      <c r="L462">
        <v>391.04</v>
      </c>
      <c r="M462" t="s">
        <v>44</v>
      </c>
      <c r="N462" t="s">
        <v>76</v>
      </c>
      <c r="O462" t="str">
        <f t="shared" si="42"/>
        <v>28/06/2025</v>
      </c>
      <c r="P462">
        <f t="shared" si="43"/>
        <v>2025</v>
      </c>
      <c r="Q462">
        <f t="shared" si="44"/>
        <v>6</v>
      </c>
      <c r="R462" t="str">
        <f t="shared" si="45"/>
        <v>June</v>
      </c>
      <c r="S462" t="str">
        <f t="shared" si="46"/>
        <v>Low</v>
      </c>
      <c r="T462" s="1">
        <f t="shared" si="47"/>
        <v>8.5628009538553859E-2</v>
      </c>
      <c r="U462">
        <f>SUM($I$2:I462)</f>
        <v>1555618.6599999997</v>
      </c>
      <c r="V462" s="1">
        <f>Table1[[#This Row],[Running total ]]/SUM(I:I)</f>
        <v>0.44889304090412857</v>
      </c>
    </row>
    <row r="463" spans="1:22" x14ac:dyDescent="0.3">
      <c r="A463" t="s">
        <v>1078</v>
      </c>
      <c r="B463" t="s">
        <v>512</v>
      </c>
      <c r="C463" t="s">
        <v>186</v>
      </c>
      <c r="D463" t="s">
        <v>27</v>
      </c>
      <c r="E463" t="s">
        <v>61</v>
      </c>
      <c r="F463" t="s">
        <v>67</v>
      </c>
      <c r="G463" t="s">
        <v>115</v>
      </c>
      <c r="H463" t="s">
        <v>212</v>
      </c>
      <c r="I463">
        <v>695.28</v>
      </c>
      <c r="J463">
        <v>6</v>
      </c>
      <c r="K463" s="1">
        <v>0.1</v>
      </c>
      <c r="L463">
        <v>140.46</v>
      </c>
      <c r="M463" t="s">
        <v>44</v>
      </c>
      <c r="N463" t="s">
        <v>76</v>
      </c>
      <c r="O463" t="str">
        <f t="shared" si="42"/>
        <v>02/01/2024</v>
      </c>
      <c r="P463">
        <f t="shared" si="43"/>
        <v>2024</v>
      </c>
      <c r="Q463">
        <f t="shared" si="44"/>
        <v>1</v>
      </c>
      <c r="R463" t="str">
        <f t="shared" si="45"/>
        <v>January</v>
      </c>
      <c r="S463" t="str">
        <f t="shared" si="46"/>
        <v>Low</v>
      </c>
      <c r="T463" s="1">
        <f t="shared" si="47"/>
        <v>0.20201933034173283</v>
      </c>
      <c r="U463">
        <f>SUM($I$2:I463)</f>
        <v>1556313.9399999997</v>
      </c>
      <c r="V463" s="1">
        <f>Table1[[#This Row],[Running total ]]/SUM(I:I)</f>
        <v>0.44909367256374094</v>
      </c>
    </row>
    <row r="464" spans="1:22" x14ac:dyDescent="0.3">
      <c r="A464" t="s">
        <v>1079</v>
      </c>
      <c r="B464" t="s">
        <v>935</v>
      </c>
      <c r="C464" t="s">
        <v>749</v>
      </c>
      <c r="D464" t="s">
        <v>27</v>
      </c>
      <c r="E464" t="s">
        <v>61</v>
      </c>
      <c r="F464" t="s">
        <v>55</v>
      </c>
      <c r="G464" t="s">
        <v>74</v>
      </c>
      <c r="H464" t="s">
        <v>272</v>
      </c>
      <c r="I464">
        <v>5915.65</v>
      </c>
      <c r="J464">
        <v>5</v>
      </c>
      <c r="K464" s="1">
        <v>0.05</v>
      </c>
      <c r="L464">
        <v>1116.51</v>
      </c>
      <c r="M464" t="s">
        <v>38</v>
      </c>
      <c r="N464" t="s">
        <v>39</v>
      </c>
      <c r="O464" t="str">
        <f t="shared" si="42"/>
        <v>26/05/2025</v>
      </c>
      <c r="P464">
        <f t="shared" si="43"/>
        <v>2025</v>
      </c>
      <c r="Q464">
        <f t="shared" si="44"/>
        <v>5</v>
      </c>
      <c r="R464" t="str">
        <f t="shared" si="45"/>
        <v>May</v>
      </c>
      <c r="S464" t="str">
        <f t="shared" si="46"/>
        <v>High</v>
      </c>
      <c r="T464" s="1">
        <f t="shared" si="47"/>
        <v>0.18873834658913222</v>
      </c>
      <c r="U464">
        <f>SUM($I$2:I464)</f>
        <v>1562229.5899999996</v>
      </c>
      <c r="V464" s="1">
        <f>Table1[[#This Row],[Running total ]]/SUM(I:I)</f>
        <v>0.45080070667544575</v>
      </c>
    </row>
    <row r="465" spans="1:22" x14ac:dyDescent="0.3">
      <c r="A465" t="s">
        <v>1080</v>
      </c>
      <c r="B465" t="s">
        <v>270</v>
      </c>
      <c r="C465" t="s">
        <v>149</v>
      </c>
      <c r="D465" t="s">
        <v>27</v>
      </c>
      <c r="E465" t="s">
        <v>28</v>
      </c>
      <c r="F465" t="s">
        <v>67</v>
      </c>
      <c r="G465" t="s">
        <v>68</v>
      </c>
      <c r="H465" t="s">
        <v>103</v>
      </c>
      <c r="I465">
        <v>4114.3900000000003</v>
      </c>
      <c r="J465">
        <v>7</v>
      </c>
      <c r="K465" s="1">
        <v>0.1</v>
      </c>
      <c r="L465">
        <v>1110.8900000000001</v>
      </c>
      <c r="M465" t="s">
        <v>63</v>
      </c>
      <c r="N465" t="s">
        <v>76</v>
      </c>
      <c r="O465" t="str">
        <f t="shared" si="42"/>
        <v>18/02/2025</v>
      </c>
      <c r="P465">
        <f t="shared" si="43"/>
        <v>2025</v>
      </c>
      <c r="Q465">
        <f t="shared" si="44"/>
        <v>2</v>
      </c>
      <c r="R465" t="str">
        <f t="shared" si="45"/>
        <v>February</v>
      </c>
      <c r="S465" t="str">
        <f t="shared" si="46"/>
        <v>Low</v>
      </c>
      <c r="T465" s="1">
        <f t="shared" si="47"/>
        <v>0.27000114233215616</v>
      </c>
      <c r="U465">
        <f>SUM($I$2:I465)</f>
        <v>1566343.9799999995</v>
      </c>
      <c r="V465" s="1">
        <f>Table1[[#This Row],[Running total ]]/SUM(I:I)</f>
        <v>0.45198796489370696</v>
      </c>
    </row>
    <row r="466" spans="1:22" x14ac:dyDescent="0.3">
      <c r="A466" t="s">
        <v>1081</v>
      </c>
      <c r="B466" t="s">
        <v>1082</v>
      </c>
      <c r="C466" t="s">
        <v>16</v>
      </c>
      <c r="D466" t="s">
        <v>27</v>
      </c>
      <c r="E466" t="s">
        <v>61</v>
      </c>
      <c r="F466" t="s">
        <v>19</v>
      </c>
      <c r="G466" t="s">
        <v>36</v>
      </c>
      <c r="H466" t="s">
        <v>222</v>
      </c>
      <c r="I466">
        <v>3093.75</v>
      </c>
      <c r="J466">
        <v>5</v>
      </c>
      <c r="K466" s="1">
        <v>0.2</v>
      </c>
      <c r="L466">
        <v>53.99</v>
      </c>
      <c r="M466" t="s">
        <v>195</v>
      </c>
      <c r="N466" t="s">
        <v>76</v>
      </c>
      <c r="O466" t="str">
        <f t="shared" si="42"/>
        <v>02/02/2024</v>
      </c>
      <c r="P466">
        <f t="shared" si="43"/>
        <v>2024</v>
      </c>
      <c r="Q466">
        <f t="shared" si="44"/>
        <v>2</v>
      </c>
      <c r="R466" t="str">
        <f t="shared" si="45"/>
        <v>February</v>
      </c>
      <c r="S466" t="str">
        <f t="shared" si="46"/>
        <v>Low</v>
      </c>
      <c r="T466" s="1">
        <f t="shared" si="47"/>
        <v>1.7451313131313134E-2</v>
      </c>
      <c r="U466">
        <f>SUM($I$2:I466)</f>
        <v>1569437.7299999995</v>
      </c>
      <c r="V466" s="1">
        <f>Table1[[#This Row],[Running total ]]/SUM(I:I)</f>
        <v>0.45288070479263381</v>
      </c>
    </row>
    <row r="467" spans="1:22" x14ac:dyDescent="0.3">
      <c r="A467" t="s">
        <v>1083</v>
      </c>
      <c r="B467" t="s">
        <v>1084</v>
      </c>
      <c r="C467" t="s">
        <v>601</v>
      </c>
      <c r="D467" t="s">
        <v>27</v>
      </c>
      <c r="E467" t="s">
        <v>61</v>
      </c>
      <c r="F467" t="s">
        <v>19</v>
      </c>
      <c r="G467" t="s">
        <v>20</v>
      </c>
      <c r="H467" t="s">
        <v>21</v>
      </c>
      <c r="I467">
        <v>3486.8</v>
      </c>
      <c r="J467">
        <v>4</v>
      </c>
      <c r="K467" s="1">
        <v>0.1</v>
      </c>
      <c r="L467">
        <v>983.16</v>
      </c>
      <c r="M467" t="s">
        <v>63</v>
      </c>
      <c r="N467" t="s">
        <v>23</v>
      </c>
      <c r="O467" t="str">
        <f t="shared" si="42"/>
        <v>27/08/2025</v>
      </c>
      <c r="P467">
        <f t="shared" si="43"/>
        <v>2025</v>
      </c>
      <c r="Q467">
        <f t="shared" si="44"/>
        <v>8</v>
      </c>
      <c r="R467" t="str">
        <f t="shared" si="45"/>
        <v>August</v>
      </c>
      <c r="S467" t="str">
        <f t="shared" si="46"/>
        <v>Low</v>
      </c>
      <c r="T467" s="1">
        <f t="shared" si="47"/>
        <v>0.28196627280027531</v>
      </c>
      <c r="U467">
        <f>SUM($I$2:I467)</f>
        <v>1572924.5299999996</v>
      </c>
      <c r="V467" s="1">
        <f>Table1[[#This Row],[Running total ]]/SUM(I:I)</f>
        <v>0.45388686413956819</v>
      </c>
    </row>
    <row r="468" spans="1:22" x14ac:dyDescent="0.3">
      <c r="A468" t="s">
        <v>1085</v>
      </c>
      <c r="B468" t="s">
        <v>525</v>
      </c>
      <c r="C468" t="s">
        <v>346</v>
      </c>
      <c r="D468" t="s">
        <v>27</v>
      </c>
      <c r="E468" t="s">
        <v>43</v>
      </c>
      <c r="F468" t="s">
        <v>19</v>
      </c>
      <c r="G468" t="s">
        <v>29</v>
      </c>
      <c r="H468" t="s">
        <v>199</v>
      </c>
      <c r="I468">
        <v>788.4</v>
      </c>
      <c r="J468">
        <v>1</v>
      </c>
      <c r="K468" s="1">
        <v>0</v>
      </c>
      <c r="L468">
        <v>166.57</v>
      </c>
      <c r="M468" t="s">
        <v>117</v>
      </c>
      <c r="N468" t="s">
        <v>23</v>
      </c>
      <c r="O468" t="str">
        <f t="shared" si="42"/>
        <v>27/10/2024</v>
      </c>
      <c r="P468">
        <f t="shared" si="43"/>
        <v>2024</v>
      </c>
      <c r="Q468">
        <f t="shared" si="44"/>
        <v>10</v>
      </c>
      <c r="R468" t="str">
        <f t="shared" si="45"/>
        <v>October</v>
      </c>
      <c r="S468" t="str">
        <f t="shared" si="46"/>
        <v>No Discount</v>
      </c>
      <c r="T468" s="1">
        <f t="shared" si="47"/>
        <v>0.21127600202942667</v>
      </c>
      <c r="U468">
        <f>SUM($I$2:I468)</f>
        <v>1573712.9299999995</v>
      </c>
      <c r="V468" s="1">
        <f>Table1[[#This Row],[Running total ]]/SUM(I:I)</f>
        <v>0.45411436672908378</v>
      </c>
    </row>
    <row r="469" spans="1:22" x14ac:dyDescent="0.3">
      <c r="A469" t="s">
        <v>1086</v>
      </c>
      <c r="B469" t="s">
        <v>1087</v>
      </c>
      <c r="C469" t="s">
        <v>1088</v>
      </c>
      <c r="D469" t="s">
        <v>17</v>
      </c>
      <c r="E469" t="s">
        <v>18</v>
      </c>
      <c r="F469" t="s">
        <v>19</v>
      </c>
      <c r="G469" t="s">
        <v>20</v>
      </c>
      <c r="H469" t="s">
        <v>239</v>
      </c>
      <c r="I469">
        <v>10166.4</v>
      </c>
      <c r="J469">
        <v>10</v>
      </c>
      <c r="K469" s="1">
        <v>0.15</v>
      </c>
      <c r="L469">
        <v>333.35</v>
      </c>
      <c r="M469" t="s">
        <v>87</v>
      </c>
      <c r="N469" t="s">
        <v>32</v>
      </c>
      <c r="O469" t="str">
        <f t="shared" si="42"/>
        <v>18/03/2024</v>
      </c>
      <c r="P469">
        <f t="shared" si="43"/>
        <v>2024</v>
      </c>
      <c r="Q469">
        <f t="shared" si="44"/>
        <v>3</v>
      </c>
      <c r="R469" t="str">
        <f t="shared" si="45"/>
        <v>March</v>
      </c>
      <c r="S469" t="str">
        <f t="shared" si="46"/>
        <v>Low</v>
      </c>
      <c r="T469" s="1">
        <f t="shared" si="47"/>
        <v>3.2789384639597109E-2</v>
      </c>
      <c r="U469">
        <f>SUM($I$2:I469)</f>
        <v>1583879.3299999994</v>
      </c>
      <c r="V469" s="1">
        <f>Table1[[#This Row],[Running total ]]/SUM(I:I)</f>
        <v>0.4570480074267646</v>
      </c>
    </row>
    <row r="470" spans="1:22" x14ac:dyDescent="0.3">
      <c r="A470" t="s">
        <v>1089</v>
      </c>
      <c r="B470" t="s">
        <v>1090</v>
      </c>
      <c r="C470" t="s">
        <v>959</v>
      </c>
      <c r="D470" t="s">
        <v>17</v>
      </c>
      <c r="E470" t="s">
        <v>97</v>
      </c>
      <c r="F470" t="s">
        <v>67</v>
      </c>
      <c r="G470" t="s">
        <v>68</v>
      </c>
      <c r="H470" t="s">
        <v>103</v>
      </c>
      <c r="I470">
        <v>1423.02</v>
      </c>
      <c r="J470">
        <v>3</v>
      </c>
      <c r="K470" s="1">
        <v>0.1</v>
      </c>
      <c r="L470">
        <v>-21.26</v>
      </c>
      <c r="M470" t="s">
        <v>22</v>
      </c>
      <c r="N470" t="s">
        <v>23</v>
      </c>
      <c r="O470" t="str">
        <f t="shared" si="42"/>
        <v>29/10/2024</v>
      </c>
      <c r="P470">
        <f t="shared" si="43"/>
        <v>2024</v>
      </c>
      <c r="Q470">
        <f t="shared" si="44"/>
        <v>10</v>
      </c>
      <c r="R470" t="str">
        <f t="shared" si="45"/>
        <v>October</v>
      </c>
      <c r="S470" t="str">
        <f t="shared" si="46"/>
        <v>Low</v>
      </c>
      <c r="T470" s="1">
        <f t="shared" si="47"/>
        <v>-1.4940057061741931E-2</v>
      </c>
      <c r="U470">
        <f>SUM($I$2:I470)</f>
        <v>1585302.3499999994</v>
      </c>
      <c r="V470" s="1">
        <f>Table1[[#This Row],[Running total ]]/SUM(I:I)</f>
        <v>0.45745863748121984</v>
      </c>
    </row>
    <row r="471" spans="1:22" x14ac:dyDescent="0.3">
      <c r="A471" t="s">
        <v>1091</v>
      </c>
      <c r="B471" t="s">
        <v>1092</v>
      </c>
      <c r="C471" t="s">
        <v>701</v>
      </c>
      <c r="D471" t="s">
        <v>48</v>
      </c>
      <c r="E471" t="s">
        <v>73</v>
      </c>
      <c r="F471" t="s">
        <v>19</v>
      </c>
      <c r="G471" t="s">
        <v>36</v>
      </c>
      <c r="H471" t="s">
        <v>222</v>
      </c>
      <c r="I471">
        <v>1286.01</v>
      </c>
      <c r="J471">
        <v>3</v>
      </c>
      <c r="K471" s="1">
        <v>0.25</v>
      </c>
      <c r="L471">
        <v>103.06</v>
      </c>
      <c r="M471" t="s">
        <v>107</v>
      </c>
      <c r="N471" t="s">
        <v>32</v>
      </c>
      <c r="O471" t="str">
        <f t="shared" si="42"/>
        <v>06/11/2024</v>
      </c>
      <c r="P471">
        <f t="shared" si="43"/>
        <v>2024</v>
      </c>
      <c r="Q471">
        <f t="shared" si="44"/>
        <v>11</v>
      </c>
      <c r="R471" t="str">
        <f t="shared" si="45"/>
        <v>November</v>
      </c>
      <c r="S471" t="str">
        <f t="shared" si="46"/>
        <v>Low</v>
      </c>
      <c r="T471" s="1">
        <f t="shared" si="47"/>
        <v>8.0139345728260286E-2</v>
      </c>
      <c r="U471">
        <f>SUM($I$2:I471)</f>
        <v>1586588.3599999994</v>
      </c>
      <c r="V471" s="1">
        <f>Table1[[#This Row],[Running total ]]/SUM(I:I)</f>
        <v>0.45782973160240575</v>
      </c>
    </row>
    <row r="472" spans="1:22" x14ac:dyDescent="0.3">
      <c r="A472" t="s">
        <v>1093</v>
      </c>
      <c r="B472" t="s">
        <v>500</v>
      </c>
      <c r="C472" t="s">
        <v>841</v>
      </c>
      <c r="D472" t="s">
        <v>137</v>
      </c>
      <c r="E472" t="s">
        <v>142</v>
      </c>
      <c r="F472" t="s">
        <v>19</v>
      </c>
      <c r="G472" t="s">
        <v>20</v>
      </c>
      <c r="H472" t="s">
        <v>347</v>
      </c>
      <c r="I472">
        <v>8850.6</v>
      </c>
      <c r="J472">
        <v>9</v>
      </c>
      <c r="K472" s="1">
        <v>0.25</v>
      </c>
      <c r="L472">
        <v>1647.86</v>
      </c>
      <c r="M472" t="s">
        <v>195</v>
      </c>
      <c r="N472" t="s">
        <v>32</v>
      </c>
      <c r="O472" t="str">
        <f t="shared" si="42"/>
        <v>13/04/2024</v>
      </c>
      <c r="P472">
        <f t="shared" si="43"/>
        <v>2024</v>
      </c>
      <c r="Q472">
        <f t="shared" si="44"/>
        <v>4</v>
      </c>
      <c r="R472" t="str">
        <f t="shared" si="45"/>
        <v>April</v>
      </c>
      <c r="S472" t="str">
        <f t="shared" si="46"/>
        <v>Low</v>
      </c>
      <c r="T472" s="1">
        <f t="shared" si="47"/>
        <v>0.18618624726007274</v>
      </c>
      <c r="U472">
        <f>SUM($I$2:I472)</f>
        <v>1595438.9599999995</v>
      </c>
      <c r="V472" s="1">
        <f>Table1[[#This Row],[Running total ]]/SUM(I:I)</f>
        <v>0.46038368190525575</v>
      </c>
    </row>
    <row r="473" spans="1:22" x14ac:dyDescent="0.3">
      <c r="A473" t="s">
        <v>1094</v>
      </c>
      <c r="B473" t="s">
        <v>806</v>
      </c>
      <c r="C473" t="s">
        <v>766</v>
      </c>
      <c r="D473" t="s">
        <v>27</v>
      </c>
      <c r="E473" t="s">
        <v>61</v>
      </c>
      <c r="F473" t="s">
        <v>67</v>
      </c>
      <c r="G473" t="s">
        <v>85</v>
      </c>
      <c r="H473" t="s">
        <v>86</v>
      </c>
      <c r="I473">
        <v>1180.1400000000001</v>
      </c>
      <c r="J473">
        <v>3</v>
      </c>
      <c r="K473" s="1">
        <v>0.05</v>
      </c>
      <c r="L473">
        <v>81.94</v>
      </c>
      <c r="M473" t="s">
        <v>63</v>
      </c>
      <c r="N473" t="s">
        <v>76</v>
      </c>
      <c r="O473" t="str">
        <f t="shared" si="42"/>
        <v>05/05/2024</v>
      </c>
      <c r="P473">
        <f t="shared" si="43"/>
        <v>2024</v>
      </c>
      <c r="Q473">
        <f t="shared" si="44"/>
        <v>5</v>
      </c>
      <c r="R473" t="str">
        <f t="shared" si="45"/>
        <v>May</v>
      </c>
      <c r="S473" t="str">
        <f t="shared" si="46"/>
        <v>High</v>
      </c>
      <c r="T473" s="1">
        <f t="shared" si="47"/>
        <v>6.9432440218957059E-2</v>
      </c>
      <c r="U473">
        <f>SUM($I$2:I473)</f>
        <v>1596619.0999999994</v>
      </c>
      <c r="V473" s="1">
        <f>Table1[[#This Row],[Running total ]]/SUM(I:I)</f>
        <v>0.46072422592604589</v>
      </c>
    </row>
    <row r="474" spans="1:22" x14ac:dyDescent="0.3">
      <c r="A474" t="s">
        <v>1095</v>
      </c>
      <c r="B474" t="s">
        <v>372</v>
      </c>
      <c r="C474" t="s">
        <v>292</v>
      </c>
      <c r="D474" t="s">
        <v>48</v>
      </c>
      <c r="E474" t="s">
        <v>49</v>
      </c>
      <c r="F474" t="s">
        <v>55</v>
      </c>
      <c r="G474" t="s">
        <v>98</v>
      </c>
      <c r="H474" t="s">
        <v>150</v>
      </c>
      <c r="I474">
        <v>7931.61</v>
      </c>
      <c r="J474">
        <v>9</v>
      </c>
      <c r="K474" s="1">
        <v>0</v>
      </c>
      <c r="L474">
        <v>1564.09</v>
      </c>
      <c r="M474" t="s">
        <v>38</v>
      </c>
      <c r="N474" t="s">
        <v>32</v>
      </c>
      <c r="O474" t="str">
        <f t="shared" si="42"/>
        <v>28/07/2024</v>
      </c>
      <c r="P474">
        <f t="shared" si="43"/>
        <v>2024</v>
      </c>
      <c r="Q474">
        <f t="shared" si="44"/>
        <v>7</v>
      </c>
      <c r="R474" t="str">
        <f t="shared" si="45"/>
        <v>July</v>
      </c>
      <c r="S474" t="str">
        <f t="shared" si="46"/>
        <v>No Discount</v>
      </c>
      <c r="T474" s="1">
        <f t="shared" si="47"/>
        <v>0.1971970381801425</v>
      </c>
      <c r="U474">
        <f>SUM($I$2:I474)</f>
        <v>1604550.7099999995</v>
      </c>
      <c r="V474" s="1">
        <f>Table1[[#This Row],[Running total ]]/SUM(I:I)</f>
        <v>0.46301299027666487</v>
      </c>
    </row>
    <row r="475" spans="1:22" x14ac:dyDescent="0.3">
      <c r="A475" t="s">
        <v>1096</v>
      </c>
      <c r="B475" t="s">
        <v>1097</v>
      </c>
      <c r="C475" t="s">
        <v>319</v>
      </c>
      <c r="D475" t="s">
        <v>48</v>
      </c>
      <c r="E475" t="s">
        <v>110</v>
      </c>
      <c r="F475" t="s">
        <v>67</v>
      </c>
      <c r="G475" t="s">
        <v>85</v>
      </c>
      <c r="H475" t="s">
        <v>125</v>
      </c>
      <c r="I475">
        <v>9247.41</v>
      </c>
      <c r="J475">
        <v>9</v>
      </c>
      <c r="K475" s="1">
        <v>0.15</v>
      </c>
      <c r="L475">
        <v>381.51</v>
      </c>
      <c r="M475" t="s">
        <v>63</v>
      </c>
      <c r="N475" t="s">
        <v>39</v>
      </c>
      <c r="O475" t="str">
        <f t="shared" si="42"/>
        <v>29/07/2025</v>
      </c>
      <c r="P475">
        <f t="shared" si="43"/>
        <v>2025</v>
      </c>
      <c r="Q475">
        <f t="shared" si="44"/>
        <v>7</v>
      </c>
      <c r="R475" t="str">
        <f t="shared" si="45"/>
        <v>July</v>
      </c>
      <c r="S475" t="str">
        <f t="shared" si="46"/>
        <v>Low</v>
      </c>
      <c r="T475" s="1">
        <f t="shared" si="47"/>
        <v>4.1255875969595811E-2</v>
      </c>
      <c r="U475">
        <f>SUM($I$2:I475)</f>
        <v>1613798.1199999994</v>
      </c>
      <c r="V475" s="1">
        <f>Table1[[#This Row],[Running total ]]/SUM(I:I)</f>
        <v>0.46568144502211462</v>
      </c>
    </row>
    <row r="476" spans="1:22" x14ac:dyDescent="0.3">
      <c r="A476" t="s">
        <v>1098</v>
      </c>
      <c r="B476" t="s">
        <v>603</v>
      </c>
      <c r="C476" t="s">
        <v>859</v>
      </c>
      <c r="D476" t="s">
        <v>27</v>
      </c>
      <c r="E476" t="s">
        <v>28</v>
      </c>
      <c r="F476" t="s">
        <v>55</v>
      </c>
      <c r="G476" t="s">
        <v>56</v>
      </c>
      <c r="H476" t="s">
        <v>57</v>
      </c>
      <c r="I476">
        <v>2335.48</v>
      </c>
      <c r="J476">
        <v>4</v>
      </c>
      <c r="K476" s="1">
        <v>0.15</v>
      </c>
      <c r="L476">
        <v>59.81</v>
      </c>
      <c r="M476" t="s">
        <v>195</v>
      </c>
      <c r="N476" t="s">
        <v>32</v>
      </c>
      <c r="O476" t="str">
        <f t="shared" si="42"/>
        <v>02/01/2025</v>
      </c>
      <c r="P476">
        <f t="shared" si="43"/>
        <v>2025</v>
      </c>
      <c r="Q476">
        <f t="shared" si="44"/>
        <v>1</v>
      </c>
      <c r="R476" t="str">
        <f t="shared" si="45"/>
        <v>January</v>
      </c>
      <c r="S476" t="str">
        <f t="shared" si="46"/>
        <v>Low</v>
      </c>
      <c r="T476" s="1">
        <f t="shared" si="47"/>
        <v>2.5609296589994349E-2</v>
      </c>
      <c r="U476">
        <f>SUM($I$2:I476)</f>
        <v>1616133.5999999994</v>
      </c>
      <c r="V476" s="1">
        <f>Table1[[#This Row],[Running total ]]/SUM(I:I)</f>
        <v>0.46635537671638394</v>
      </c>
    </row>
    <row r="477" spans="1:22" x14ac:dyDescent="0.3">
      <c r="A477" t="s">
        <v>1099</v>
      </c>
      <c r="B477" t="s">
        <v>1100</v>
      </c>
      <c r="C477" t="s">
        <v>1101</v>
      </c>
      <c r="D477" t="s">
        <v>137</v>
      </c>
      <c r="E477" t="s">
        <v>142</v>
      </c>
      <c r="F477" t="s">
        <v>55</v>
      </c>
      <c r="G477" t="s">
        <v>56</v>
      </c>
      <c r="H477" t="s">
        <v>129</v>
      </c>
      <c r="I477">
        <v>1310.76</v>
      </c>
      <c r="J477">
        <v>2</v>
      </c>
      <c r="K477" s="1">
        <v>0.3</v>
      </c>
      <c r="L477">
        <v>-102.92</v>
      </c>
      <c r="M477" t="s">
        <v>195</v>
      </c>
      <c r="N477" t="s">
        <v>32</v>
      </c>
      <c r="O477" t="str">
        <f t="shared" si="42"/>
        <v>14/12/2024</v>
      </c>
      <c r="P477">
        <f t="shared" si="43"/>
        <v>2024</v>
      </c>
      <c r="Q477">
        <f t="shared" si="44"/>
        <v>12</v>
      </c>
      <c r="R477" t="str">
        <f t="shared" si="45"/>
        <v>December</v>
      </c>
      <c r="S477" t="str">
        <f t="shared" si="46"/>
        <v>Low</v>
      </c>
      <c r="T477" s="1">
        <f t="shared" si="47"/>
        <v>-7.8519332295767338E-2</v>
      </c>
      <c r="U477">
        <f>SUM($I$2:I477)</f>
        <v>1617444.3599999994</v>
      </c>
      <c r="V477" s="1">
        <f>Table1[[#This Row],[Running total ]]/SUM(I:I)</f>
        <v>0.46673361275676128</v>
      </c>
    </row>
    <row r="478" spans="1:22" x14ac:dyDescent="0.3">
      <c r="A478" t="s">
        <v>1102</v>
      </c>
      <c r="B478" t="s">
        <v>315</v>
      </c>
      <c r="C478" t="s">
        <v>218</v>
      </c>
      <c r="D478" t="s">
        <v>48</v>
      </c>
      <c r="E478" t="s">
        <v>110</v>
      </c>
      <c r="F478" t="s">
        <v>67</v>
      </c>
      <c r="G478" t="s">
        <v>115</v>
      </c>
      <c r="H478" t="s">
        <v>212</v>
      </c>
      <c r="I478">
        <v>1003.82</v>
      </c>
      <c r="J478">
        <v>1</v>
      </c>
      <c r="K478" s="1">
        <v>0.3</v>
      </c>
      <c r="L478">
        <v>-33.39</v>
      </c>
      <c r="M478" t="s">
        <v>31</v>
      </c>
      <c r="N478" t="s">
        <v>32</v>
      </c>
      <c r="O478" t="str">
        <f t="shared" si="42"/>
        <v>16/09/2024</v>
      </c>
      <c r="P478">
        <f t="shared" si="43"/>
        <v>2024</v>
      </c>
      <c r="Q478">
        <f t="shared" si="44"/>
        <v>9</v>
      </c>
      <c r="R478" t="str">
        <f t="shared" si="45"/>
        <v>September</v>
      </c>
      <c r="S478" t="str">
        <f t="shared" si="46"/>
        <v>Low</v>
      </c>
      <c r="T478" s="1">
        <f t="shared" si="47"/>
        <v>-3.3262935586061242E-2</v>
      </c>
      <c r="U478">
        <f>SUM($I$2:I478)</f>
        <v>1618448.1799999995</v>
      </c>
      <c r="V478" s="1">
        <f>Table1[[#This Row],[Running total ]]/SUM(I:I)</f>
        <v>0.46702327745666944</v>
      </c>
    </row>
    <row r="479" spans="1:22" x14ac:dyDescent="0.3">
      <c r="A479" t="s">
        <v>1103</v>
      </c>
      <c r="B479" t="s">
        <v>232</v>
      </c>
      <c r="C479" t="s">
        <v>96</v>
      </c>
      <c r="D479" t="s">
        <v>137</v>
      </c>
      <c r="E479" t="s">
        <v>138</v>
      </c>
      <c r="F479" t="s">
        <v>67</v>
      </c>
      <c r="G479" t="s">
        <v>115</v>
      </c>
      <c r="H479" t="s">
        <v>178</v>
      </c>
      <c r="I479">
        <v>1354.74</v>
      </c>
      <c r="J479">
        <v>2</v>
      </c>
      <c r="K479" s="1">
        <v>0.2</v>
      </c>
      <c r="L479">
        <v>-69.84</v>
      </c>
      <c r="M479" t="s">
        <v>44</v>
      </c>
      <c r="N479" t="s">
        <v>39</v>
      </c>
      <c r="O479" t="str">
        <f t="shared" si="42"/>
        <v>05/09/2024</v>
      </c>
      <c r="P479">
        <f t="shared" si="43"/>
        <v>2024</v>
      </c>
      <c r="Q479">
        <f t="shared" si="44"/>
        <v>9</v>
      </c>
      <c r="R479" t="str">
        <f t="shared" si="45"/>
        <v>September</v>
      </c>
      <c r="S479" t="str">
        <f t="shared" si="46"/>
        <v>Low</v>
      </c>
      <c r="T479" s="1">
        <f t="shared" si="47"/>
        <v>-5.1552327383852257E-2</v>
      </c>
      <c r="U479">
        <f>SUM($I$2:I479)</f>
        <v>1619802.9199999995</v>
      </c>
      <c r="V479" s="1">
        <f>Table1[[#This Row],[Running total ]]/SUM(I:I)</f>
        <v>0.46741420447102811</v>
      </c>
    </row>
    <row r="480" spans="1:22" x14ac:dyDescent="0.3">
      <c r="A480" t="s">
        <v>1104</v>
      </c>
      <c r="B480" t="s">
        <v>1105</v>
      </c>
      <c r="C480" t="s">
        <v>1106</v>
      </c>
      <c r="D480" t="s">
        <v>27</v>
      </c>
      <c r="E480" t="s">
        <v>43</v>
      </c>
      <c r="F480" t="s">
        <v>55</v>
      </c>
      <c r="G480" t="s">
        <v>98</v>
      </c>
      <c r="H480" t="s">
        <v>154</v>
      </c>
      <c r="I480">
        <v>5809.86</v>
      </c>
      <c r="J480">
        <v>6</v>
      </c>
      <c r="K480" s="1">
        <v>0.15</v>
      </c>
      <c r="L480">
        <v>-469.45</v>
      </c>
      <c r="M480" t="s">
        <v>31</v>
      </c>
      <c r="N480" t="s">
        <v>76</v>
      </c>
      <c r="O480" t="str">
        <f t="shared" si="42"/>
        <v>18/04/2024</v>
      </c>
      <c r="P480">
        <f t="shared" si="43"/>
        <v>2024</v>
      </c>
      <c r="Q480">
        <f t="shared" si="44"/>
        <v>4</v>
      </c>
      <c r="R480" t="str">
        <f t="shared" si="45"/>
        <v>April</v>
      </c>
      <c r="S480" t="str">
        <f t="shared" si="46"/>
        <v>Low</v>
      </c>
      <c r="T480" s="1">
        <f t="shared" si="47"/>
        <v>-8.0802291277242477E-2</v>
      </c>
      <c r="U480">
        <f>SUM($I$2:I480)</f>
        <v>1625612.7799999996</v>
      </c>
      <c r="V480" s="1">
        <f>Table1[[#This Row],[Running total ]]/SUM(I:I)</f>
        <v>0.46909071156732851</v>
      </c>
    </row>
    <row r="481" spans="1:22" x14ac:dyDescent="0.3">
      <c r="A481" t="s">
        <v>1107</v>
      </c>
      <c r="B481" t="s">
        <v>845</v>
      </c>
      <c r="C481" t="s">
        <v>859</v>
      </c>
      <c r="D481" t="s">
        <v>48</v>
      </c>
      <c r="E481" t="s">
        <v>73</v>
      </c>
      <c r="F481" t="s">
        <v>19</v>
      </c>
      <c r="G481" t="s">
        <v>20</v>
      </c>
      <c r="H481" t="s">
        <v>347</v>
      </c>
      <c r="I481">
        <v>1242.6400000000001</v>
      </c>
      <c r="J481">
        <v>8</v>
      </c>
      <c r="K481" s="1">
        <v>0.05</v>
      </c>
      <c r="L481">
        <v>58.03</v>
      </c>
      <c r="M481" t="s">
        <v>38</v>
      </c>
      <c r="N481" t="s">
        <v>32</v>
      </c>
      <c r="O481" t="str">
        <f t="shared" si="42"/>
        <v>28/05/2024</v>
      </c>
      <c r="P481">
        <f t="shared" si="43"/>
        <v>2024</v>
      </c>
      <c r="Q481">
        <f t="shared" si="44"/>
        <v>5</v>
      </c>
      <c r="R481" t="str">
        <f t="shared" si="45"/>
        <v>May</v>
      </c>
      <c r="S481" t="str">
        <f t="shared" si="46"/>
        <v>High</v>
      </c>
      <c r="T481" s="1">
        <f t="shared" si="47"/>
        <v>4.6698963497070749E-2</v>
      </c>
      <c r="U481">
        <f>SUM($I$2:I481)</f>
        <v>1626855.4199999995</v>
      </c>
      <c r="V481" s="1">
        <f>Table1[[#This Row],[Running total ]]/SUM(I:I)</f>
        <v>0.4694492907375919</v>
      </c>
    </row>
    <row r="482" spans="1:22" x14ac:dyDescent="0.3">
      <c r="A482" t="s">
        <v>1108</v>
      </c>
      <c r="B482" t="s">
        <v>1109</v>
      </c>
      <c r="C482" t="s">
        <v>114</v>
      </c>
      <c r="D482" t="s">
        <v>137</v>
      </c>
      <c r="E482" t="s">
        <v>242</v>
      </c>
      <c r="F482" t="s">
        <v>67</v>
      </c>
      <c r="G482" t="s">
        <v>115</v>
      </c>
      <c r="H482" t="s">
        <v>116</v>
      </c>
      <c r="I482">
        <v>2919.12</v>
      </c>
      <c r="J482">
        <v>3</v>
      </c>
      <c r="K482" s="1">
        <v>0.15</v>
      </c>
      <c r="L482">
        <v>140.53</v>
      </c>
      <c r="M482" t="s">
        <v>107</v>
      </c>
      <c r="N482" t="s">
        <v>23</v>
      </c>
      <c r="O482" t="str">
        <f t="shared" si="42"/>
        <v>28/10/2025</v>
      </c>
      <c r="P482">
        <f t="shared" si="43"/>
        <v>2025</v>
      </c>
      <c r="Q482">
        <f t="shared" si="44"/>
        <v>10</v>
      </c>
      <c r="R482" t="str">
        <f t="shared" si="45"/>
        <v>October</v>
      </c>
      <c r="S482" t="str">
        <f t="shared" si="46"/>
        <v>Low</v>
      </c>
      <c r="T482" s="1">
        <f t="shared" si="47"/>
        <v>4.8141220641837269E-2</v>
      </c>
      <c r="U482">
        <f>SUM($I$2:I482)</f>
        <v>1629774.5399999996</v>
      </c>
      <c r="V482" s="1">
        <f>Table1[[#This Row],[Running total ]]/SUM(I:I)</f>
        <v>0.47029163898607851</v>
      </c>
    </row>
    <row r="483" spans="1:22" x14ac:dyDescent="0.3">
      <c r="A483" t="s">
        <v>1110</v>
      </c>
      <c r="B483" t="s">
        <v>1111</v>
      </c>
      <c r="C483" t="s">
        <v>286</v>
      </c>
      <c r="D483" t="s">
        <v>48</v>
      </c>
      <c r="E483" t="s">
        <v>110</v>
      </c>
      <c r="F483" t="s">
        <v>55</v>
      </c>
      <c r="G483" t="s">
        <v>98</v>
      </c>
      <c r="H483" t="s">
        <v>154</v>
      </c>
      <c r="I483">
        <v>2424.39</v>
      </c>
      <c r="J483">
        <v>3</v>
      </c>
      <c r="K483" s="1">
        <v>0.1</v>
      </c>
      <c r="L483">
        <v>370.12</v>
      </c>
      <c r="M483" t="s">
        <v>195</v>
      </c>
      <c r="N483" t="s">
        <v>32</v>
      </c>
      <c r="O483" t="str">
        <f t="shared" si="42"/>
        <v>03/11/2024</v>
      </c>
      <c r="P483">
        <f t="shared" si="43"/>
        <v>2024</v>
      </c>
      <c r="Q483">
        <f t="shared" si="44"/>
        <v>11</v>
      </c>
      <c r="R483" t="str">
        <f t="shared" si="45"/>
        <v>November</v>
      </c>
      <c r="S483" t="str">
        <f t="shared" si="46"/>
        <v>Low</v>
      </c>
      <c r="T483" s="1">
        <f t="shared" si="47"/>
        <v>0.15266520650555399</v>
      </c>
      <c r="U483">
        <f>SUM($I$2:I483)</f>
        <v>1632198.9299999995</v>
      </c>
      <c r="V483" s="1">
        <f>Table1[[#This Row],[Running total ]]/SUM(I:I)</f>
        <v>0.47099122676258254</v>
      </c>
    </row>
    <row r="484" spans="1:22" x14ac:dyDescent="0.3">
      <c r="A484" t="s">
        <v>1112</v>
      </c>
      <c r="B484" t="s">
        <v>525</v>
      </c>
      <c r="C484" t="s">
        <v>106</v>
      </c>
      <c r="D484" t="s">
        <v>137</v>
      </c>
      <c r="E484" t="s">
        <v>242</v>
      </c>
      <c r="F484" t="s">
        <v>55</v>
      </c>
      <c r="G484" t="s">
        <v>74</v>
      </c>
      <c r="H484" t="s">
        <v>272</v>
      </c>
      <c r="I484">
        <v>4942.5</v>
      </c>
      <c r="J484">
        <v>5</v>
      </c>
      <c r="K484" s="1">
        <v>0.05</v>
      </c>
      <c r="L484">
        <v>1137.3699999999999</v>
      </c>
      <c r="M484" t="s">
        <v>38</v>
      </c>
      <c r="N484" t="s">
        <v>76</v>
      </c>
      <c r="O484" t="str">
        <f t="shared" si="42"/>
        <v>27/10/2024</v>
      </c>
      <c r="P484">
        <f t="shared" si="43"/>
        <v>2024</v>
      </c>
      <c r="Q484">
        <f t="shared" si="44"/>
        <v>10</v>
      </c>
      <c r="R484" t="str">
        <f t="shared" si="45"/>
        <v>October</v>
      </c>
      <c r="S484" t="str">
        <f t="shared" si="46"/>
        <v>High</v>
      </c>
      <c r="T484" s="1">
        <f t="shared" si="47"/>
        <v>0.23012038442083962</v>
      </c>
      <c r="U484">
        <f>SUM($I$2:I484)</f>
        <v>1637141.4299999995</v>
      </c>
      <c r="V484" s="1">
        <f>Table1[[#This Row],[Running total ]]/SUM(I:I)</f>
        <v>0.47241744638292871</v>
      </c>
    </row>
    <row r="485" spans="1:22" x14ac:dyDescent="0.3">
      <c r="A485" t="s">
        <v>1113</v>
      </c>
      <c r="B485" t="s">
        <v>1114</v>
      </c>
      <c r="C485" t="s">
        <v>859</v>
      </c>
      <c r="D485" t="s">
        <v>17</v>
      </c>
      <c r="E485" t="s">
        <v>97</v>
      </c>
      <c r="F485" t="s">
        <v>55</v>
      </c>
      <c r="G485" t="s">
        <v>98</v>
      </c>
      <c r="H485" t="s">
        <v>154</v>
      </c>
      <c r="I485">
        <v>6463.38</v>
      </c>
      <c r="J485">
        <v>7</v>
      </c>
      <c r="K485" s="1">
        <v>0</v>
      </c>
      <c r="L485">
        <v>2258.39</v>
      </c>
      <c r="M485" t="s">
        <v>22</v>
      </c>
      <c r="N485" t="s">
        <v>32</v>
      </c>
      <c r="O485" t="str">
        <f t="shared" si="42"/>
        <v>05/01/2025</v>
      </c>
      <c r="P485">
        <f t="shared" si="43"/>
        <v>2025</v>
      </c>
      <c r="Q485">
        <f t="shared" si="44"/>
        <v>1</v>
      </c>
      <c r="R485" t="str">
        <f t="shared" si="45"/>
        <v>January</v>
      </c>
      <c r="S485" t="str">
        <f t="shared" si="46"/>
        <v>No Discount</v>
      </c>
      <c r="T485" s="1">
        <f t="shared" si="47"/>
        <v>0.34941315534596445</v>
      </c>
      <c r="U485">
        <f>SUM($I$2:I485)</f>
        <v>1643604.8099999994</v>
      </c>
      <c r="V485" s="1">
        <f>Table1[[#This Row],[Running total ]]/SUM(I:I)</f>
        <v>0.4742825347733694</v>
      </c>
    </row>
    <row r="486" spans="1:22" x14ac:dyDescent="0.3">
      <c r="A486" t="s">
        <v>1115</v>
      </c>
      <c r="B486" t="s">
        <v>590</v>
      </c>
      <c r="C486" t="s">
        <v>297</v>
      </c>
      <c r="D486" t="s">
        <v>27</v>
      </c>
      <c r="E486" t="s">
        <v>28</v>
      </c>
      <c r="F486" t="s">
        <v>55</v>
      </c>
      <c r="G486" t="s">
        <v>98</v>
      </c>
      <c r="H486" t="s">
        <v>99</v>
      </c>
      <c r="I486">
        <v>239.2</v>
      </c>
      <c r="J486">
        <v>10</v>
      </c>
      <c r="K486" s="1">
        <v>0</v>
      </c>
      <c r="L486">
        <v>95.36</v>
      </c>
      <c r="M486" t="s">
        <v>63</v>
      </c>
      <c r="N486" t="s">
        <v>76</v>
      </c>
      <c r="O486" t="str">
        <f t="shared" si="42"/>
        <v>14/07/2024</v>
      </c>
      <c r="P486">
        <f t="shared" si="43"/>
        <v>2024</v>
      </c>
      <c r="Q486">
        <f t="shared" si="44"/>
        <v>7</v>
      </c>
      <c r="R486" t="str">
        <f t="shared" si="45"/>
        <v>July</v>
      </c>
      <c r="S486" t="str">
        <f t="shared" si="46"/>
        <v>No Discount</v>
      </c>
      <c r="T486" s="1">
        <f t="shared" si="47"/>
        <v>0.39866220735785957</v>
      </c>
      <c r="U486">
        <f>SUM($I$2:I486)</f>
        <v>1643844.0099999993</v>
      </c>
      <c r="V486" s="1">
        <f>Table1[[#This Row],[Running total ]]/SUM(I:I)</f>
        <v>0.47435155889743347</v>
      </c>
    </row>
    <row r="487" spans="1:22" x14ac:dyDescent="0.3">
      <c r="A487" t="s">
        <v>1116</v>
      </c>
      <c r="B487" t="s">
        <v>92</v>
      </c>
      <c r="C487" t="s">
        <v>183</v>
      </c>
      <c r="D487" t="s">
        <v>27</v>
      </c>
      <c r="E487" t="s">
        <v>43</v>
      </c>
      <c r="F487" t="s">
        <v>19</v>
      </c>
      <c r="G487" t="s">
        <v>36</v>
      </c>
      <c r="H487" t="s">
        <v>111</v>
      </c>
      <c r="I487">
        <v>8023.4</v>
      </c>
      <c r="J487">
        <v>10</v>
      </c>
      <c r="K487" s="1">
        <v>0.15</v>
      </c>
      <c r="L487">
        <v>273.51</v>
      </c>
      <c r="M487" t="s">
        <v>117</v>
      </c>
      <c r="N487" t="s">
        <v>32</v>
      </c>
      <c r="O487" t="str">
        <f t="shared" si="42"/>
        <v>20/05/2025</v>
      </c>
      <c r="P487">
        <f t="shared" si="43"/>
        <v>2025</v>
      </c>
      <c r="Q487">
        <f t="shared" si="44"/>
        <v>5</v>
      </c>
      <c r="R487" t="str">
        <f t="shared" si="45"/>
        <v>May</v>
      </c>
      <c r="S487" t="str">
        <f t="shared" si="46"/>
        <v>Low</v>
      </c>
      <c r="T487" s="1">
        <f t="shared" si="47"/>
        <v>3.4089039559289082E-2</v>
      </c>
      <c r="U487">
        <f>SUM($I$2:I487)</f>
        <v>1651867.4099999992</v>
      </c>
      <c r="V487" s="1">
        <f>Table1[[#This Row],[Running total ]]/SUM(I:I)</f>
        <v>0.47666681038997483</v>
      </c>
    </row>
    <row r="488" spans="1:22" x14ac:dyDescent="0.3">
      <c r="A488" t="s">
        <v>1117</v>
      </c>
      <c r="B488" t="s">
        <v>237</v>
      </c>
      <c r="C488" t="s">
        <v>275</v>
      </c>
      <c r="D488" t="s">
        <v>137</v>
      </c>
      <c r="E488" t="s">
        <v>160</v>
      </c>
      <c r="F488" t="s">
        <v>19</v>
      </c>
      <c r="G488" t="s">
        <v>29</v>
      </c>
      <c r="H488" t="s">
        <v>30</v>
      </c>
      <c r="I488">
        <v>4682.45</v>
      </c>
      <c r="J488">
        <v>5</v>
      </c>
      <c r="K488" s="1">
        <v>0.05</v>
      </c>
      <c r="L488">
        <v>395.89</v>
      </c>
      <c r="M488" t="s">
        <v>63</v>
      </c>
      <c r="N488" t="s">
        <v>32</v>
      </c>
      <c r="O488" t="str">
        <f t="shared" si="42"/>
        <v>14/04/2025</v>
      </c>
      <c r="P488">
        <f t="shared" si="43"/>
        <v>2025</v>
      </c>
      <c r="Q488">
        <f t="shared" si="44"/>
        <v>4</v>
      </c>
      <c r="R488" t="str">
        <f t="shared" si="45"/>
        <v>April</v>
      </c>
      <c r="S488" t="str">
        <f t="shared" si="46"/>
        <v>High</v>
      </c>
      <c r="T488" s="1">
        <f t="shared" si="47"/>
        <v>8.4547619301861207E-2</v>
      </c>
      <c r="U488">
        <f>SUM($I$2:I488)</f>
        <v>1656549.8599999992</v>
      </c>
      <c r="V488" s="1">
        <f>Table1[[#This Row],[Running total ]]/SUM(I:I)</f>
        <v>0.47801798936039258</v>
      </c>
    </row>
    <row r="489" spans="1:22" x14ac:dyDescent="0.3">
      <c r="A489" t="s">
        <v>1118</v>
      </c>
      <c r="B489" t="s">
        <v>1119</v>
      </c>
      <c r="C489" t="s">
        <v>281</v>
      </c>
      <c r="D489" t="s">
        <v>48</v>
      </c>
      <c r="E489" t="s">
        <v>84</v>
      </c>
      <c r="F489" t="s">
        <v>67</v>
      </c>
      <c r="G489" t="s">
        <v>115</v>
      </c>
      <c r="H489" t="s">
        <v>212</v>
      </c>
      <c r="I489">
        <v>1015.16</v>
      </c>
      <c r="J489">
        <v>1</v>
      </c>
      <c r="K489" s="1">
        <v>0.25</v>
      </c>
      <c r="L489">
        <v>2.0299999999999998</v>
      </c>
      <c r="M489" t="s">
        <v>107</v>
      </c>
      <c r="N489" t="s">
        <v>76</v>
      </c>
      <c r="O489" t="str">
        <f t="shared" si="42"/>
        <v>16/01/2025</v>
      </c>
      <c r="P489">
        <f t="shared" si="43"/>
        <v>2025</v>
      </c>
      <c r="Q489">
        <f t="shared" si="44"/>
        <v>1</v>
      </c>
      <c r="R489" t="str">
        <f t="shared" si="45"/>
        <v>January</v>
      </c>
      <c r="S489" t="str">
        <f t="shared" si="46"/>
        <v>Low</v>
      </c>
      <c r="T489" s="1">
        <f t="shared" si="47"/>
        <v>1.999684778754088E-3</v>
      </c>
      <c r="U489">
        <f>SUM($I$2:I489)</f>
        <v>1657565.0199999991</v>
      </c>
      <c r="V489" s="1">
        <f>Table1[[#This Row],[Running total ]]/SUM(I:I)</f>
        <v>0.47831092635782113</v>
      </c>
    </row>
    <row r="490" spans="1:22" x14ac:dyDescent="0.3">
      <c r="A490" t="s">
        <v>1120</v>
      </c>
      <c r="B490" t="s">
        <v>1121</v>
      </c>
      <c r="C490" t="s">
        <v>994</v>
      </c>
      <c r="D490" t="s">
        <v>27</v>
      </c>
      <c r="E490" t="s">
        <v>28</v>
      </c>
      <c r="F490" t="s">
        <v>67</v>
      </c>
      <c r="G490" t="s">
        <v>68</v>
      </c>
      <c r="H490" t="s">
        <v>69</v>
      </c>
      <c r="I490">
        <v>4673.55</v>
      </c>
      <c r="J490">
        <v>5</v>
      </c>
      <c r="K490" s="1">
        <v>0.15</v>
      </c>
      <c r="L490">
        <v>-435.35</v>
      </c>
      <c r="M490" t="s">
        <v>44</v>
      </c>
      <c r="N490" t="s">
        <v>39</v>
      </c>
      <c r="O490" t="str">
        <f t="shared" si="42"/>
        <v>12/05/2024</v>
      </c>
      <c r="P490">
        <f t="shared" si="43"/>
        <v>2024</v>
      </c>
      <c r="Q490">
        <f t="shared" si="44"/>
        <v>5</v>
      </c>
      <c r="R490" t="str">
        <f t="shared" si="45"/>
        <v>May</v>
      </c>
      <c r="S490" t="str">
        <f t="shared" si="46"/>
        <v>Low</v>
      </c>
      <c r="T490" s="1">
        <f t="shared" si="47"/>
        <v>-9.315188668143061E-2</v>
      </c>
      <c r="U490">
        <f>SUM($I$2:I490)</f>
        <v>1662238.5699999991</v>
      </c>
      <c r="V490" s="1">
        <f>Table1[[#This Row],[Running total ]]/SUM(I:I)</f>
        <v>0.47965953712295395</v>
      </c>
    </row>
    <row r="491" spans="1:22" x14ac:dyDescent="0.3">
      <c r="A491" t="s">
        <v>1122</v>
      </c>
      <c r="B491" t="s">
        <v>1123</v>
      </c>
      <c r="C491" t="s">
        <v>1010</v>
      </c>
      <c r="D491" t="s">
        <v>27</v>
      </c>
      <c r="E491" t="s">
        <v>28</v>
      </c>
      <c r="F491" t="s">
        <v>19</v>
      </c>
      <c r="G491" t="s">
        <v>29</v>
      </c>
      <c r="H491" t="s">
        <v>30</v>
      </c>
      <c r="I491">
        <v>2475.9</v>
      </c>
      <c r="J491">
        <v>3</v>
      </c>
      <c r="K491" s="1">
        <v>0.25</v>
      </c>
      <c r="L491">
        <v>-76.069999999999993</v>
      </c>
      <c r="M491" t="s">
        <v>22</v>
      </c>
      <c r="N491" t="s">
        <v>76</v>
      </c>
      <c r="O491" t="str">
        <f t="shared" si="42"/>
        <v>10/08/2024</v>
      </c>
      <c r="P491">
        <f t="shared" si="43"/>
        <v>2024</v>
      </c>
      <c r="Q491">
        <f t="shared" si="44"/>
        <v>8</v>
      </c>
      <c r="R491" t="str">
        <f t="shared" si="45"/>
        <v>August</v>
      </c>
      <c r="S491" t="str">
        <f t="shared" si="46"/>
        <v>Low</v>
      </c>
      <c r="T491" s="1">
        <f t="shared" si="47"/>
        <v>-3.072418110586049E-2</v>
      </c>
      <c r="U491">
        <f>SUM($I$2:I491)</f>
        <v>1664714.469999999</v>
      </c>
      <c r="V491" s="1">
        <f>Table1[[#This Row],[Running total ]]/SUM(I:I)</f>
        <v>0.48037398874824783</v>
      </c>
    </row>
    <row r="492" spans="1:22" x14ac:dyDescent="0.3">
      <c r="A492" t="s">
        <v>1124</v>
      </c>
      <c r="B492" t="s">
        <v>101</v>
      </c>
      <c r="C492" t="s">
        <v>846</v>
      </c>
      <c r="D492" t="s">
        <v>27</v>
      </c>
      <c r="E492" t="s">
        <v>28</v>
      </c>
      <c r="F492" t="s">
        <v>55</v>
      </c>
      <c r="G492" t="s">
        <v>98</v>
      </c>
      <c r="H492" t="s">
        <v>150</v>
      </c>
      <c r="I492">
        <v>609.57000000000005</v>
      </c>
      <c r="J492">
        <v>1</v>
      </c>
      <c r="K492" s="1">
        <v>0.05</v>
      </c>
      <c r="L492">
        <v>118.43</v>
      </c>
      <c r="M492" t="s">
        <v>117</v>
      </c>
      <c r="N492" t="s">
        <v>23</v>
      </c>
      <c r="O492" t="str">
        <f t="shared" si="42"/>
        <v>31/03/2025</v>
      </c>
      <c r="P492">
        <f t="shared" si="43"/>
        <v>2025</v>
      </c>
      <c r="Q492">
        <f t="shared" si="44"/>
        <v>3</v>
      </c>
      <c r="R492" t="str">
        <f t="shared" si="45"/>
        <v>March</v>
      </c>
      <c r="S492" t="str">
        <f t="shared" si="46"/>
        <v>High</v>
      </c>
      <c r="T492" s="1">
        <f t="shared" si="47"/>
        <v>0.19428449562806568</v>
      </c>
      <c r="U492">
        <f>SUM($I$2:I492)</f>
        <v>1665324.0399999991</v>
      </c>
      <c r="V492" s="1">
        <f>Table1[[#This Row],[Running total ]]/SUM(I:I)</f>
        <v>0.48054988772527862</v>
      </c>
    </row>
    <row r="493" spans="1:22" x14ac:dyDescent="0.3">
      <c r="A493" t="s">
        <v>1125</v>
      </c>
      <c r="B493" t="s">
        <v>748</v>
      </c>
      <c r="C493" t="s">
        <v>235</v>
      </c>
      <c r="D493" t="s">
        <v>48</v>
      </c>
      <c r="E493" t="s">
        <v>73</v>
      </c>
      <c r="F493" t="s">
        <v>67</v>
      </c>
      <c r="G493" t="s">
        <v>68</v>
      </c>
      <c r="H493" t="s">
        <v>69</v>
      </c>
      <c r="I493">
        <v>1613.16</v>
      </c>
      <c r="J493">
        <v>3</v>
      </c>
      <c r="K493" s="1">
        <v>0</v>
      </c>
      <c r="L493">
        <v>481.21</v>
      </c>
      <c r="M493" t="s">
        <v>63</v>
      </c>
      <c r="N493" t="s">
        <v>76</v>
      </c>
      <c r="O493" t="str">
        <f t="shared" si="42"/>
        <v>25/09/2025</v>
      </c>
      <c r="P493">
        <f t="shared" si="43"/>
        <v>2025</v>
      </c>
      <c r="Q493">
        <f t="shared" si="44"/>
        <v>9</v>
      </c>
      <c r="R493" t="str">
        <f t="shared" si="45"/>
        <v>September</v>
      </c>
      <c r="S493" t="str">
        <f t="shared" si="46"/>
        <v>No Discount</v>
      </c>
      <c r="T493" s="1">
        <f t="shared" si="47"/>
        <v>0.29830271020853477</v>
      </c>
      <c r="U493">
        <f>SUM($I$2:I493)</f>
        <v>1666937.199999999</v>
      </c>
      <c r="V493" s="1">
        <f>Table1[[#This Row],[Running total ]]/SUM(I:I)</f>
        <v>0.48101538503286739</v>
      </c>
    </row>
    <row r="494" spans="1:22" x14ac:dyDescent="0.3">
      <c r="A494" t="s">
        <v>1126</v>
      </c>
      <c r="B494" t="s">
        <v>1127</v>
      </c>
      <c r="C494" t="s">
        <v>468</v>
      </c>
      <c r="D494" t="s">
        <v>17</v>
      </c>
      <c r="E494" t="s">
        <v>54</v>
      </c>
      <c r="F494" t="s">
        <v>55</v>
      </c>
      <c r="G494" t="s">
        <v>56</v>
      </c>
      <c r="H494" t="s">
        <v>129</v>
      </c>
      <c r="I494">
        <v>4130.5600000000004</v>
      </c>
      <c r="J494">
        <v>8</v>
      </c>
      <c r="K494" s="1">
        <v>0.3</v>
      </c>
      <c r="L494">
        <v>530.76</v>
      </c>
      <c r="M494" t="s">
        <v>117</v>
      </c>
      <c r="N494" t="s">
        <v>76</v>
      </c>
      <c r="O494" t="str">
        <f t="shared" si="42"/>
        <v>13/11/2025</v>
      </c>
      <c r="P494">
        <f t="shared" si="43"/>
        <v>2025</v>
      </c>
      <c r="Q494">
        <f t="shared" si="44"/>
        <v>11</v>
      </c>
      <c r="R494" t="str">
        <f t="shared" si="45"/>
        <v>November</v>
      </c>
      <c r="S494" t="str">
        <f t="shared" si="46"/>
        <v>Low</v>
      </c>
      <c r="T494" s="1">
        <f t="shared" si="47"/>
        <v>0.12849589401921288</v>
      </c>
      <c r="U494">
        <f>SUM($I$2:I494)</f>
        <v>1671067.7599999991</v>
      </c>
      <c r="V494" s="1">
        <f>Table1[[#This Row],[Running total ]]/SUM(I:I)</f>
        <v>0.48220730930500039</v>
      </c>
    </row>
    <row r="495" spans="1:22" x14ac:dyDescent="0.3">
      <c r="A495" t="s">
        <v>1128</v>
      </c>
      <c r="B495" t="s">
        <v>1129</v>
      </c>
      <c r="C495" t="s">
        <v>1056</v>
      </c>
      <c r="D495" t="s">
        <v>137</v>
      </c>
      <c r="E495" t="s">
        <v>138</v>
      </c>
      <c r="F495" t="s">
        <v>55</v>
      </c>
      <c r="G495" t="s">
        <v>74</v>
      </c>
      <c r="H495" t="s">
        <v>272</v>
      </c>
      <c r="I495">
        <v>928.89</v>
      </c>
      <c r="J495">
        <v>9</v>
      </c>
      <c r="K495" s="1">
        <v>0.1</v>
      </c>
      <c r="L495">
        <v>272</v>
      </c>
      <c r="M495" t="s">
        <v>143</v>
      </c>
      <c r="N495" t="s">
        <v>76</v>
      </c>
      <c r="O495" t="str">
        <f t="shared" si="42"/>
        <v>12/03/2024</v>
      </c>
      <c r="P495">
        <f t="shared" si="43"/>
        <v>2024</v>
      </c>
      <c r="Q495">
        <f t="shared" si="44"/>
        <v>3</v>
      </c>
      <c r="R495" t="str">
        <f t="shared" si="45"/>
        <v>March</v>
      </c>
      <c r="S495" t="str">
        <f t="shared" si="46"/>
        <v>Low</v>
      </c>
      <c r="T495" s="1">
        <f t="shared" si="47"/>
        <v>0.29282261624088968</v>
      </c>
      <c r="U495">
        <f>SUM($I$2:I495)</f>
        <v>1671996.649999999</v>
      </c>
      <c r="V495" s="1">
        <f>Table1[[#This Row],[Running total ]]/SUM(I:I)</f>
        <v>0.48247535202490793</v>
      </c>
    </row>
    <row r="496" spans="1:22" x14ac:dyDescent="0.3">
      <c r="A496" t="s">
        <v>1130</v>
      </c>
      <c r="B496" t="s">
        <v>692</v>
      </c>
      <c r="C496" t="s">
        <v>535</v>
      </c>
      <c r="D496" t="s">
        <v>17</v>
      </c>
      <c r="E496" t="s">
        <v>54</v>
      </c>
      <c r="F496" t="s">
        <v>19</v>
      </c>
      <c r="G496" t="s">
        <v>29</v>
      </c>
      <c r="H496" t="s">
        <v>50</v>
      </c>
      <c r="I496">
        <v>2542.86</v>
      </c>
      <c r="J496">
        <v>9</v>
      </c>
      <c r="K496" s="1">
        <v>0.15</v>
      </c>
      <c r="L496">
        <v>-171.97</v>
      </c>
      <c r="M496" t="s">
        <v>107</v>
      </c>
      <c r="N496" t="s">
        <v>32</v>
      </c>
      <c r="O496" t="str">
        <f t="shared" si="42"/>
        <v>13/06/2025</v>
      </c>
      <c r="P496">
        <f t="shared" si="43"/>
        <v>2025</v>
      </c>
      <c r="Q496">
        <f t="shared" si="44"/>
        <v>6</v>
      </c>
      <c r="R496" t="str">
        <f t="shared" si="45"/>
        <v>June</v>
      </c>
      <c r="S496" t="str">
        <f t="shared" si="46"/>
        <v>Low</v>
      </c>
      <c r="T496" s="1">
        <f t="shared" si="47"/>
        <v>-6.7628575698229554E-2</v>
      </c>
      <c r="U496">
        <f>SUM($I$2:I496)</f>
        <v>1674539.5099999991</v>
      </c>
      <c r="V496" s="1">
        <f>Table1[[#This Row],[Running total ]]/SUM(I:I)</f>
        <v>0.48320912578794156</v>
      </c>
    </row>
    <row r="497" spans="1:22" x14ac:dyDescent="0.3">
      <c r="A497" t="s">
        <v>1131</v>
      </c>
      <c r="B497" t="s">
        <v>1132</v>
      </c>
      <c r="C497" t="s">
        <v>281</v>
      </c>
      <c r="D497" t="s">
        <v>17</v>
      </c>
      <c r="E497" t="s">
        <v>54</v>
      </c>
      <c r="F497" t="s">
        <v>19</v>
      </c>
      <c r="G497" t="s">
        <v>29</v>
      </c>
      <c r="H497" t="s">
        <v>50</v>
      </c>
      <c r="I497">
        <v>2045.12</v>
      </c>
      <c r="J497">
        <v>2</v>
      </c>
      <c r="K497" s="1">
        <v>0.1</v>
      </c>
      <c r="L497">
        <v>224.35</v>
      </c>
      <c r="M497" t="s">
        <v>44</v>
      </c>
      <c r="N497" t="s">
        <v>76</v>
      </c>
      <c r="O497" t="str">
        <f t="shared" si="42"/>
        <v>27/08/2024</v>
      </c>
      <c r="P497">
        <f t="shared" si="43"/>
        <v>2024</v>
      </c>
      <c r="Q497">
        <f t="shared" si="44"/>
        <v>8</v>
      </c>
      <c r="R497" t="str">
        <f t="shared" si="45"/>
        <v>August</v>
      </c>
      <c r="S497" t="str">
        <f t="shared" si="46"/>
        <v>Low</v>
      </c>
      <c r="T497" s="1">
        <f t="shared" si="47"/>
        <v>0.10970016429353779</v>
      </c>
      <c r="U497">
        <f>SUM($I$2:I497)</f>
        <v>1676584.6299999992</v>
      </c>
      <c r="V497" s="1">
        <f>Table1[[#This Row],[Running total ]]/SUM(I:I)</f>
        <v>0.48379927050619398</v>
      </c>
    </row>
    <row r="498" spans="1:22" x14ac:dyDescent="0.3">
      <c r="A498" t="s">
        <v>1133</v>
      </c>
      <c r="B498" t="s">
        <v>1134</v>
      </c>
      <c r="C498" t="s">
        <v>455</v>
      </c>
      <c r="D498" t="s">
        <v>137</v>
      </c>
      <c r="E498" t="s">
        <v>142</v>
      </c>
      <c r="F498" t="s">
        <v>67</v>
      </c>
      <c r="G498" t="s">
        <v>115</v>
      </c>
      <c r="H498" t="s">
        <v>178</v>
      </c>
      <c r="I498">
        <v>259.10000000000002</v>
      </c>
      <c r="J498">
        <v>5</v>
      </c>
      <c r="K498" s="1">
        <v>0.05</v>
      </c>
      <c r="L498">
        <v>52.34</v>
      </c>
      <c r="M498" t="s">
        <v>195</v>
      </c>
      <c r="N498" t="s">
        <v>39</v>
      </c>
      <c r="O498" t="str">
        <f t="shared" si="42"/>
        <v>24/11/2024</v>
      </c>
      <c r="P498">
        <f t="shared" si="43"/>
        <v>2024</v>
      </c>
      <c r="Q498">
        <f t="shared" si="44"/>
        <v>11</v>
      </c>
      <c r="R498" t="str">
        <f t="shared" si="45"/>
        <v>November</v>
      </c>
      <c r="S498" t="str">
        <f t="shared" si="46"/>
        <v>High</v>
      </c>
      <c r="T498" s="1">
        <f t="shared" si="47"/>
        <v>0.2020069471246623</v>
      </c>
      <c r="U498">
        <f>SUM($I$2:I498)</f>
        <v>1676843.7299999993</v>
      </c>
      <c r="V498" s="1">
        <f>Table1[[#This Row],[Running total ]]/SUM(I:I)</f>
        <v>0.48387403702185039</v>
      </c>
    </row>
    <row r="499" spans="1:22" x14ac:dyDescent="0.3">
      <c r="A499" t="s">
        <v>1135</v>
      </c>
      <c r="B499" t="s">
        <v>1136</v>
      </c>
      <c r="C499" t="s">
        <v>797</v>
      </c>
      <c r="D499" t="s">
        <v>17</v>
      </c>
      <c r="E499" t="s">
        <v>97</v>
      </c>
      <c r="F499" t="s">
        <v>67</v>
      </c>
      <c r="G499" t="s">
        <v>115</v>
      </c>
      <c r="H499" t="s">
        <v>178</v>
      </c>
      <c r="I499">
        <v>3064.02</v>
      </c>
      <c r="J499">
        <v>6</v>
      </c>
      <c r="K499" s="1">
        <v>0.25</v>
      </c>
      <c r="L499">
        <v>-445.34</v>
      </c>
      <c r="M499" t="s">
        <v>31</v>
      </c>
      <c r="N499" t="s">
        <v>39</v>
      </c>
      <c r="O499" t="str">
        <f t="shared" si="42"/>
        <v>11/12/2024</v>
      </c>
      <c r="P499">
        <f t="shared" si="43"/>
        <v>2024</v>
      </c>
      <c r="Q499">
        <f t="shared" si="44"/>
        <v>12</v>
      </c>
      <c r="R499" t="str">
        <f t="shared" si="45"/>
        <v>December</v>
      </c>
      <c r="S499" t="str">
        <f t="shared" si="46"/>
        <v>Low</v>
      </c>
      <c r="T499" s="1">
        <f t="shared" si="47"/>
        <v>-0.14534500427542901</v>
      </c>
      <c r="U499">
        <f>SUM($I$2:I499)</f>
        <v>1679907.7499999993</v>
      </c>
      <c r="V499" s="1">
        <f>Table1[[#This Row],[Running total ]]/SUM(I:I)</f>
        <v>0.48475819796087583</v>
      </c>
    </row>
    <row r="500" spans="1:22" x14ac:dyDescent="0.3">
      <c r="A500" t="s">
        <v>1137</v>
      </c>
      <c r="B500" t="s">
        <v>1060</v>
      </c>
      <c r="C500" t="s">
        <v>434</v>
      </c>
      <c r="D500" t="s">
        <v>137</v>
      </c>
      <c r="E500" t="s">
        <v>160</v>
      </c>
      <c r="F500" t="s">
        <v>19</v>
      </c>
      <c r="G500" t="s">
        <v>20</v>
      </c>
      <c r="H500" t="s">
        <v>239</v>
      </c>
      <c r="I500">
        <v>4347.55</v>
      </c>
      <c r="J500">
        <v>5</v>
      </c>
      <c r="K500" s="1">
        <v>0.3</v>
      </c>
      <c r="L500">
        <v>427.34</v>
      </c>
      <c r="M500" t="s">
        <v>117</v>
      </c>
      <c r="N500" t="s">
        <v>76</v>
      </c>
      <c r="O500" t="str">
        <f t="shared" si="42"/>
        <v>30/03/2024</v>
      </c>
      <c r="P500">
        <f t="shared" si="43"/>
        <v>2024</v>
      </c>
      <c r="Q500">
        <f t="shared" si="44"/>
        <v>3</v>
      </c>
      <c r="R500" t="str">
        <f t="shared" si="45"/>
        <v>March</v>
      </c>
      <c r="S500" t="str">
        <f t="shared" si="46"/>
        <v>Low</v>
      </c>
      <c r="T500" s="1">
        <f t="shared" si="47"/>
        <v>9.8294441697047749E-2</v>
      </c>
      <c r="U500">
        <f>SUM($I$2:I500)</f>
        <v>1684255.2999999993</v>
      </c>
      <c r="V500" s="1">
        <f>Table1[[#This Row],[Running total ]]/SUM(I:I)</f>
        <v>0.48601273738635609</v>
      </c>
    </row>
    <row r="501" spans="1:22" x14ac:dyDescent="0.3">
      <c r="A501" t="s">
        <v>1138</v>
      </c>
      <c r="B501" t="s">
        <v>1139</v>
      </c>
      <c r="C501" t="s">
        <v>942</v>
      </c>
      <c r="D501" t="s">
        <v>48</v>
      </c>
      <c r="E501" t="s">
        <v>110</v>
      </c>
      <c r="F501" t="s">
        <v>19</v>
      </c>
      <c r="G501" t="s">
        <v>29</v>
      </c>
      <c r="H501" t="s">
        <v>30</v>
      </c>
      <c r="I501">
        <v>524.20000000000005</v>
      </c>
      <c r="J501">
        <v>2</v>
      </c>
      <c r="K501" s="1">
        <v>0.1</v>
      </c>
      <c r="L501">
        <v>107.96</v>
      </c>
      <c r="M501" t="s">
        <v>44</v>
      </c>
      <c r="N501" t="s">
        <v>39</v>
      </c>
      <c r="O501" t="str">
        <f t="shared" si="42"/>
        <v>28/05/2025</v>
      </c>
      <c r="P501">
        <f t="shared" si="43"/>
        <v>2025</v>
      </c>
      <c r="Q501">
        <f t="shared" si="44"/>
        <v>5</v>
      </c>
      <c r="R501" t="str">
        <f t="shared" si="45"/>
        <v>May</v>
      </c>
      <c r="S501" t="str">
        <f t="shared" si="46"/>
        <v>Low</v>
      </c>
      <c r="T501" s="1">
        <f t="shared" si="47"/>
        <v>0.20595192674551696</v>
      </c>
      <c r="U501">
        <f>SUM($I$2:I501)</f>
        <v>1684779.4999999993</v>
      </c>
      <c r="V501" s="1">
        <f>Table1[[#This Row],[Running total ]]/SUM(I:I)</f>
        <v>0.4861640017920183</v>
      </c>
    </row>
    <row r="502" spans="1:22" x14ac:dyDescent="0.3">
      <c r="A502" t="s">
        <v>1140</v>
      </c>
      <c r="B502" t="s">
        <v>780</v>
      </c>
      <c r="C502" t="s">
        <v>906</v>
      </c>
      <c r="D502" t="s">
        <v>17</v>
      </c>
      <c r="E502" t="s">
        <v>54</v>
      </c>
      <c r="F502" t="s">
        <v>55</v>
      </c>
      <c r="G502" t="s">
        <v>74</v>
      </c>
      <c r="H502" t="s">
        <v>272</v>
      </c>
      <c r="I502">
        <v>948.69</v>
      </c>
      <c r="J502">
        <v>3</v>
      </c>
      <c r="K502" s="1">
        <v>0.3</v>
      </c>
      <c r="L502">
        <v>58.21</v>
      </c>
      <c r="M502" t="s">
        <v>63</v>
      </c>
      <c r="N502" t="s">
        <v>32</v>
      </c>
      <c r="O502" t="str">
        <f t="shared" si="42"/>
        <v>13/12/2024</v>
      </c>
      <c r="P502">
        <f t="shared" si="43"/>
        <v>2024</v>
      </c>
      <c r="Q502">
        <f t="shared" si="44"/>
        <v>12</v>
      </c>
      <c r="R502" t="str">
        <f t="shared" si="45"/>
        <v>December</v>
      </c>
      <c r="S502" t="str">
        <f t="shared" si="46"/>
        <v>Low</v>
      </c>
      <c r="T502" s="1">
        <f t="shared" si="47"/>
        <v>6.1358294068663104E-2</v>
      </c>
      <c r="U502">
        <f>SUM($I$2:I502)</f>
        <v>1685728.1899999992</v>
      </c>
      <c r="V502" s="1">
        <f>Table1[[#This Row],[Running total ]]/SUM(I:I)</f>
        <v>0.48643775804727901</v>
      </c>
    </row>
    <row r="503" spans="1:22" x14ac:dyDescent="0.3">
      <c r="A503" t="s">
        <v>1141</v>
      </c>
      <c r="B503" t="s">
        <v>1142</v>
      </c>
      <c r="C503" t="s">
        <v>843</v>
      </c>
      <c r="D503" t="s">
        <v>27</v>
      </c>
      <c r="E503" t="s">
        <v>28</v>
      </c>
      <c r="F503" t="s">
        <v>19</v>
      </c>
      <c r="G503" t="s">
        <v>20</v>
      </c>
      <c r="H503" t="s">
        <v>21</v>
      </c>
      <c r="I503">
        <v>6138.48</v>
      </c>
      <c r="J503">
        <v>8</v>
      </c>
      <c r="K503" s="1">
        <v>0.25</v>
      </c>
      <c r="L503">
        <v>680.39</v>
      </c>
      <c r="M503" t="s">
        <v>31</v>
      </c>
      <c r="N503" t="s">
        <v>39</v>
      </c>
      <c r="O503" t="str">
        <f t="shared" si="42"/>
        <v>17/01/2025</v>
      </c>
      <c r="P503">
        <f t="shared" si="43"/>
        <v>2025</v>
      </c>
      <c r="Q503">
        <f t="shared" si="44"/>
        <v>1</v>
      </c>
      <c r="R503" t="str">
        <f t="shared" si="45"/>
        <v>January</v>
      </c>
      <c r="S503" t="str">
        <f t="shared" si="46"/>
        <v>Low</v>
      </c>
      <c r="T503" s="1">
        <f t="shared" si="47"/>
        <v>0.11084014283666316</v>
      </c>
      <c r="U503">
        <f>SUM($I$2:I503)</f>
        <v>1691866.6699999992</v>
      </c>
      <c r="V503" s="1">
        <f>Table1[[#This Row],[Running total ]]/SUM(I:I)</f>
        <v>0.48820909251669786</v>
      </c>
    </row>
    <row r="504" spans="1:22" x14ac:dyDescent="0.3">
      <c r="A504" t="s">
        <v>1143</v>
      </c>
      <c r="B504" t="s">
        <v>1144</v>
      </c>
      <c r="C504" t="s">
        <v>120</v>
      </c>
      <c r="D504" t="s">
        <v>17</v>
      </c>
      <c r="E504" t="s">
        <v>18</v>
      </c>
      <c r="F504" t="s">
        <v>19</v>
      </c>
      <c r="G504" t="s">
        <v>20</v>
      </c>
      <c r="H504" t="s">
        <v>21</v>
      </c>
      <c r="I504">
        <v>1347.44</v>
      </c>
      <c r="J504">
        <v>4</v>
      </c>
      <c r="K504" s="1">
        <v>0.2</v>
      </c>
      <c r="L504">
        <v>241.67</v>
      </c>
      <c r="M504" t="s">
        <v>87</v>
      </c>
      <c r="N504" t="s">
        <v>76</v>
      </c>
      <c r="O504" t="str">
        <f t="shared" si="42"/>
        <v>19/10/2024</v>
      </c>
      <c r="P504">
        <f t="shared" si="43"/>
        <v>2024</v>
      </c>
      <c r="Q504">
        <f t="shared" si="44"/>
        <v>10</v>
      </c>
      <c r="R504" t="str">
        <f t="shared" si="45"/>
        <v>October</v>
      </c>
      <c r="S504" t="str">
        <f t="shared" si="46"/>
        <v>Low</v>
      </c>
      <c r="T504" s="1">
        <f t="shared" si="47"/>
        <v>0.17935492489461496</v>
      </c>
      <c r="U504">
        <f>SUM($I$2:I504)</f>
        <v>1693214.1099999992</v>
      </c>
      <c r="V504" s="1">
        <f>Table1[[#This Row],[Running total ]]/SUM(I:I)</f>
        <v>0.48859791302559807</v>
      </c>
    </row>
    <row r="505" spans="1:22" x14ac:dyDescent="0.3">
      <c r="A505" t="s">
        <v>1145</v>
      </c>
      <c r="B505" t="s">
        <v>1123</v>
      </c>
      <c r="C505" t="s">
        <v>265</v>
      </c>
      <c r="D505" t="s">
        <v>27</v>
      </c>
      <c r="E505" t="s">
        <v>61</v>
      </c>
      <c r="F505" t="s">
        <v>55</v>
      </c>
      <c r="G505" t="s">
        <v>56</v>
      </c>
      <c r="H505" t="s">
        <v>57</v>
      </c>
      <c r="I505">
        <v>3934.32</v>
      </c>
      <c r="J505">
        <v>6</v>
      </c>
      <c r="K505" s="1">
        <v>0.3</v>
      </c>
      <c r="L505">
        <v>-120.02</v>
      </c>
      <c r="M505" t="s">
        <v>44</v>
      </c>
      <c r="N505" t="s">
        <v>32</v>
      </c>
      <c r="O505" t="str">
        <f t="shared" si="42"/>
        <v>10/08/2024</v>
      </c>
      <c r="P505">
        <f t="shared" si="43"/>
        <v>2024</v>
      </c>
      <c r="Q505">
        <f t="shared" si="44"/>
        <v>8</v>
      </c>
      <c r="R505" t="str">
        <f t="shared" si="45"/>
        <v>August</v>
      </c>
      <c r="S505" t="str">
        <f t="shared" si="46"/>
        <v>Low</v>
      </c>
      <c r="T505" s="1">
        <f t="shared" si="47"/>
        <v>-3.0505906992822136E-2</v>
      </c>
      <c r="U505">
        <f>SUM($I$2:I505)</f>
        <v>1697148.4299999992</v>
      </c>
      <c r="V505" s="1">
        <f>Table1[[#This Row],[Running total ]]/SUM(I:I)</f>
        <v>0.48973320981400886</v>
      </c>
    </row>
    <row r="506" spans="1:22" x14ac:dyDescent="0.3">
      <c r="A506" t="s">
        <v>1146</v>
      </c>
      <c r="B506" t="s">
        <v>1147</v>
      </c>
      <c r="C506" t="s">
        <v>358</v>
      </c>
      <c r="D506" t="s">
        <v>48</v>
      </c>
      <c r="E506" t="s">
        <v>84</v>
      </c>
      <c r="F506" t="s">
        <v>67</v>
      </c>
      <c r="G506" t="s">
        <v>115</v>
      </c>
      <c r="H506" t="s">
        <v>116</v>
      </c>
      <c r="I506">
        <v>80.19</v>
      </c>
      <c r="J506">
        <v>1</v>
      </c>
      <c r="K506" s="1">
        <v>0.3</v>
      </c>
      <c r="L506">
        <v>-4.24</v>
      </c>
      <c r="M506" t="s">
        <v>87</v>
      </c>
      <c r="N506" t="s">
        <v>76</v>
      </c>
      <c r="O506" t="str">
        <f t="shared" si="42"/>
        <v>26/02/2025</v>
      </c>
      <c r="P506">
        <f t="shared" si="43"/>
        <v>2025</v>
      </c>
      <c r="Q506">
        <f t="shared" si="44"/>
        <v>2</v>
      </c>
      <c r="R506" t="str">
        <f t="shared" si="45"/>
        <v>February</v>
      </c>
      <c r="S506" t="str">
        <f t="shared" si="46"/>
        <v>Low</v>
      </c>
      <c r="T506" s="1">
        <f t="shared" si="47"/>
        <v>-5.287442324479362E-2</v>
      </c>
      <c r="U506">
        <f>SUM($I$2:I506)</f>
        <v>1697228.6199999992</v>
      </c>
      <c r="V506" s="1">
        <f>Table1[[#This Row],[Running total ]]/SUM(I:I)</f>
        <v>0.48975634963218906</v>
      </c>
    </row>
    <row r="507" spans="1:22" x14ac:dyDescent="0.3">
      <c r="A507" t="s">
        <v>1148</v>
      </c>
      <c r="B507" t="s">
        <v>1149</v>
      </c>
      <c r="C507" t="s">
        <v>519</v>
      </c>
      <c r="D507" t="s">
        <v>137</v>
      </c>
      <c r="E507" t="s">
        <v>160</v>
      </c>
      <c r="F507" t="s">
        <v>19</v>
      </c>
      <c r="G507" t="s">
        <v>36</v>
      </c>
      <c r="H507" t="s">
        <v>111</v>
      </c>
      <c r="I507">
        <v>823.72</v>
      </c>
      <c r="J507">
        <v>1</v>
      </c>
      <c r="K507" s="1">
        <v>0.1</v>
      </c>
      <c r="L507">
        <v>133.78</v>
      </c>
      <c r="M507" t="s">
        <v>44</v>
      </c>
      <c r="N507" t="s">
        <v>23</v>
      </c>
      <c r="O507" t="str">
        <f t="shared" si="42"/>
        <v>19/09/2024</v>
      </c>
      <c r="P507">
        <f t="shared" si="43"/>
        <v>2024</v>
      </c>
      <c r="Q507">
        <f t="shared" si="44"/>
        <v>9</v>
      </c>
      <c r="R507" t="str">
        <f t="shared" si="45"/>
        <v>September</v>
      </c>
      <c r="S507" t="str">
        <f t="shared" si="46"/>
        <v>Low</v>
      </c>
      <c r="T507" s="1">
        <f t="shared" si="47"/>
        <v>0.16240955664546206</v>
      </c>
      <c r="U507">
        <f>SUM($I$2:I507)</f>
        <v>1698052.3399999992</v>
      </c>
      <c r="V507" s="1">
        <f>Table1[[#This Row],[Running total ]]/SUM(I:I)</f>
        <v>0.48999404424537502</v>
      </c>
    </row>
    <row r="508" spans="1:22" x14ac:dyDescent="0.3">
      <c r="A508" t="s">
        <v>1150</v>
      </c>
      <c r="B508" t="s">
        <v>624</v>
      </c>
      <c r="C508" t="s">
        <v>1056</v>
      </c>
      <c r="D508" t="s">
        <v>137</v>
      </c>
      <c r="E508" t="s">
        <v>160</v>
      </c>
      <c r="F508" t="s">
        <v>55</v>
      </c>
      <c r="G508" t="s">
        <v>98</v>
      </c>
      <c r="H508" t="s">
        <v>154</v>
      </c>
      <c r="I508">
        <v>3125.1</v>
      </c>
      <c r="J508">
        <v>5</v>
      </c>
      <c r="K508" s="1">
        <v>0.2</v>
      </c>
      <c r="L508">
        <v>361.14</v>
      </c>
      <c r="M508" t="s">
        <v>107</v>
      </c>
      <c r="N508" t="s">
        <v>23</v>
      </c>
      <c r="O508" t="str">
        <f t="shared" si="42"/>
        <v>30/08/2024</v>
      </c>
      <c r="P508">
        <f t="shared" si="43"/>
        <v>2024</v>
      </c>
      <c r="Q508">
        <f t="shared" si="44"/>
        <v>8</v>
      </c>
      <c r="R508" t="str">
        <f t="shared" si="45"/>
        <v>August</v>
      </c>
      <c r="S508" t="str">
        <f t="shared" si="46"/>
        <v>Low</v>
      </c>
      <c r="T508" s="1">
        <f t="shared" si="47"/>
        <v>0.11556110204473456</v>
      </c>
      <c r="U508">
        <f>SUM($I$2:I508)</f>
        <v>1701177.4399999992</v>
      </c>
      <c r="V508" s="1">
        <f>Table1[[#This Row],[Running total ]]/SUM(I:I)</f>
        <v>0.49089583057527769</v>
      </c>
    </row>
    <row r="509" spans="1:22" x14ac:dyDescent="0.3">
      <c r="A509" t="s">
        <v>1151</v>
      </c>
      <c r="B509" t="s">
        <v>698</v>
      </c>
      <c r="C509" t="s">
        <v>123</v>
      </c>
      <c r="D509" t="s">
        <v>137</v>
      </c>
      <c r="E509" t="s">
        <v>242</v>
      </c>
      <c r="F509" t="s">
        <v>67</v>
      </c>
      <c r="G509" t="s">
        <v>115</v>
      </c>
      <c r="H509" t="s">
        <v>116</v>
      </c>
      <c r="I509">
        <v>6036.31</v>
      </c>
      <c r="J509">
        <v>7</v>
      </c>
      <c r="K509" s="1">
        <v>0.05</v>
      </c>
      <c r="L509">
        <v>1409.16</v>
      </c>
      <c r="M509" t="s">
        <v>44</v>
      </c>
      <c r="N509" t="s">
        <v>32</v>
      </c>
      <c r="O509" t="str">
        <f t="shared" si="42"/>
        <v>14/03/2024</v>
      </c>
      <c r="P509">
        <f t="shared" si="43"/>
        <v>2024</v>
      </c>
      <c r="Q509">
        <f t="shared" si="44"/>
        <v>3</v>
      </c>
      <c r="R509" t="str">
        <f t="shared" si="45"/>
        <v>March</v>
      </c>
      <c r="S509" t="str">
        <f t="shared" si="46"/>
        <v>High</v>
      </c>
      <c r="T509" s="1">
        <f t="shared" si="47"/>
        <v>0.23344725502832028</v>
      </c>
      <c r="U509">
        <f>SUM($I$2:I509)</f>
        <v>1707213.7499999993</v>
      </c>
      <c r="V509" s="1">
        <f>Table1[[#This Row],[Running total ]]/SUM(I:I)</f>
        <v>0.49263768262514962</v>
      </c>
    </row>
    <row r="510" spans="1:22" x14ac:dyDescent="0.3">
      <c r="A510" t="s">
        <v>1152</v>
      </c>
      <c r="B510" t="s">
        <v>1153</v>
      </c>
      <c r="C510" t="s">
        <v>994</v>
      </c>
      <c r="D510" t="s">
        <v>137</v>
      </c>
      <c r="E510" t="s">
        <v>160</v>
      </c>
      <c r="F510" t="s">
        <v>19</v>
      </c>
      <c r="G510" t="s">
        <v>20</v>
      </c>
      <c r="H510" t="s">
        <v>347</v>
      </c>
      <c r="I510">
        <v>310.16000000000003</v>
      </c>
      <c r="J510">
        <v>1</v>
      </c>
      <c r="K510" s="1">
        <v>0.3</v>
      </c>
      <c r="L510">
        <v>-11.54</v>
      </c>
      <c r="M510" t="s">
        <v>22</v>
      </c>
      <c r="N510" t="s">
        <v>32</v>
      </c>
      <c r="O510" t="str">
        <f t="shared" si="42"/>
        <v>10/06/2024</v>
      </c>
      <c r="P510">
        <f t="shared" si="43"/>
        <v>2024</v>
      </c>
      <c r="Q510">
        <f t="shared" si="44"/>
        <v>6</v>
      </c>
      <c r="R510" t="str">
        <f t="shared" si="45"/>
        <v>June</v>
      </c>
      <c r="S510" t="str">
        <f t="shared" si="46"/>
        <v>Low</v>
      </c>
      <c r="T510" s="1">
        <f t="shared" si="47"/>
        <v>-3.72066030435904E-2</v>
      </c>
      <c r="U510">
        <f>SUM($I$2:I510)</f>
        <v>1707523.9099999992</v>
      </c>
      <c r="V510" s="1">
        <f>Table1[[#This Row],[Running total ]]/SUM(I:I)</f>
        <v>0.49272718313651964</v>
      </c>
    </row>
    <row r="511" spans="1:22" x14ac:dyDescent="0.3">
      <c r="A511" t="s">
        <v>1154</v>
      </c>
      <c r="B511" t="s">
        <v>1155</v>
      </c>
      <c r="C511" t="s">
        <v>268</v>
      </c>
      <c r="D511" t="s">
        <v>27</v>
      </c>
      <c r="E511" t="s">
        <v>61</v>
      </c>
      <c r="F511" t="s">
        <v>67</v>
      </c>
      <c r="G511" t="s">
        <v>115</v>
      </c>
      <c r="H511" t="s">
        <v>178</v>
      </c>
      <c r="I511">
        <v>1033.27</v>
      </c>
      <c r="J511">
        <v>1</v>
      </c>
      <c r="K511" s="1">
        <v>0.2</v>
      </c>
      <c r="L511">
        <v>-20.239999999999998</v>
      </c>
      <c r="M511" t="s">
        <v>143</v>
      </c>
      <c r="N511" t="s">
        <v>32</v>
      </c>
      <c r="O511" t="str">
        <f t="shared" si="42"/>
        <v>04/11/2025</v>
      </c>
      <c r="P511">
        <f t="shared" si="43"/>
        <v>2025</v>
      </c>
      <c r="Q511">
        <f t="shared" si="44"/>
        <v>11</v>
      </c>
      <c r="R511" t="str">
        <f t="shared" si="45"/>
        <v>November</v>
      </c>
      <c r="S511" t="str">
        <f t="shared" si="46"/>
        <v>Low</v>
      </c>
      <c r="T511" s="1">
        <f t="shared" si="47"/>
        <v>-1.9588297347256766E-2</v>
      </c>
      <c r="U511">
        <f>SUM($I$2:I511)</f>
        <v>1708557.1799999992</v>
      </c>
      <c r="V511" s="1">
        <f>Table1[[#This Row],[Running total ]]/SUM(I:I)</f>
        <v>0.49302534599885961</v>
      </c>
    </row>
    <row r="512" spans="1:22" x14ac:dyDescent="0.3">
      <c r="A512" t="s">
        <v>1156</v>
      </c>
      <c r="B512" t="s">
        <v>1129</v>
      </c>
      <c r="C512" t="s">
        <v>640</v>
      </c>
      <c r="D512" t="s">
        <v>48</v>
      </c>
      <c r="E512" t="s">
        <v>110</v>
      </c>
      <c r="F512" t="s">
        <v>55</v>
      </c>
      <c r="G512" t="s">
        <v>98</v>
      </c>
      <c r="H512" t="s">
        <v>154</v>
      </c>
      <c r="I512">
        <v>11825.9</v>
      </c>
      <c r="J512">
        <v>10</v>
      </c>
      <c r="K512" s="1">
        <v>0.25</v>
      </c>
      <c r="L512">
        <v>1707.36</v>
      </c>
      <c r="M512" t="s">
        <v>44</v>
      </c>
      <c r="N512" t="s">
        <v>32</v>
      </c>
      <c r="O512" t="str">
        <f t="shared" si="42"/>
        <v>12/03/2024</v>
      </c>
      <c r="P512">
        <f t="shared" si="43"/>
        <v>2024</v>
      </c>
      <c r="Q512">
        <f t="shared" si="44"/>
        <v>3</v>
      </c>
      <c r="R512" t="str">
        <f t="shared" si="45"/>
        <v>March</v>
      </c>
      <c r="S512" t="str">
        <f t="shared" si="46"/>
        <v>Low</v>
      </c>
      <c r="T512" s="1">
        <f t="shared" si="47"/>
        <v>0.14437463533430858</v>
      </c>
      <c r="U512">
        <f>SUM($I$2:I512)</f>
        <v>1720383.0799999991</v>
      </c>
      <c r="V512" s="1">
        <f>Table1[[#This Row],[Running total ]]/SUM(I:I)</f>
        <v>0.49643785598535467</v>
      </c>
    </row>
    <row r="513" spans="1:22" x14ac:dyDescent="0.3">
      <c r="A513" t="s">
        <v>1157</v>
      </c>
      <c r="B513" t="s">
        <v>388</v>
      </c>
      <c r="C513" t="s">
        <v>625</v>
      </c>
      <c r="D513" t="s">
        <v>48</v>
      </c>
      <c r="E513" t="s">
        <v>73</v>
      </c>
      <c r="F513" t="s">
        <v>67</v>
      </c>
      <c r="G513" t="s">
        <v>115</v>
      </c>
      <c r="H513" t="s">
        <v>116</v>
      </c>
      <c r="I513">
        <v>2221.71</v>
      </c>
      <c r="J513">
        <v>3</v>
      </c>
      <c r="K513" s="1">
        <v>0.25</v>
      </c>
      <c r="L513">
        <v>-363.35</v>
      </c>
      <c r="M513" t="s">
        <v>107</v>
      </c>
      <c r="N513" t="s">
        <v>32</v>
      </c>
      <c r="O513" t="str">
        <f t="shared" si="42"/>
        <v>04/01/2025</v>
      </c>
      <c r="P513">
        <f t="shared" si="43"/>
        <v>2025</v>
      </c>
      <c r="Q513">
        <f t="shared" si="44"/>
        <v>1</v>
      </c>
      <c r="R513" t="str">
        <f t="shared" si="45"/>
        <v>January</v>
      </c>
      <c r="S513" t="str">
        <f t="shared" si="46"/>
        <v>Low</v>
      </c>
      <c r="T513" s="1">
        <f t="shared" si="47"/>
        <v>-0.16354519716794721</v>
      </c>
      <c r="U513">
        <f>SUM($I$2:I513)</f>
        <v>1722604.7899999991</v>
      </c>
      <c r="V513" s="1">
        <f>Table1[[#This Row],[Running total ]]/SUM(I:I)</f>
        <v>0.49707895793633483</v>
      </c>
    </row>
    <row r="514" spans="1:22" x14ac:dyDescent="0.3">
      <c r="A514" t="s">
        <v>1158</v>
      </c>
      <c r="B514" t="s">
        <v>388</v>
      </c>
      <c r="C514" t="s">
        <v>26</v>
      </c>
      <c r="D514" t="s">
        <v>48</v>
      </c>
      <c r="E514" t="s">
        <v>110</v>
      </c>
      <c r="F514" t="s">
        <v>19</v>
      </c>
      <c r="G514" t="s">
        <v>29</v>
      </c>
      <c r="H514" t="s">
        <v>50</v>
      </c>
      <c r="I514">
        <v>7722.89</v>
      </c>
      <c r="J514">
        <v>7</v>
      </c>
      <c r="K514" s="1">
        <v>0.2</v>
      </c>
      <c r="L514">
        <v>-20.260000000000002</v>
      </c>
      <c r="M514" t="s">
        <v>195</v>
      </c>
      <c r="N514" t="s">
        <v>32</v>
      </c>
      <c r="O514" t="str">
        <f t="shared" si="42"/>
        <v>04/01/2025</v>
      </c>
      <c r="P514">
        <f t="shared" si="43"/>
        <v>2025</v>
      </c>
      <c r="Q514">
        <f t="shared" si="44"/>
        <v>1</v>
      </c>
      <c r="R514" t="str">
        <f t="shared" si="45"/>
        <v>January</v>
      </c>
      <c r="S514" t="str">
        <f t="shared" si="46"/>
        <v>Low</v>
      </c>
      <c r="T514" s="1">
        <f t="shared" si="47"/>
        <v>-2.6233702668301633E-3</v>
      </c>
      <c r="U514">
        <f>SUM($I$2:I514)</f>
        <v>1730327.679999999</v>
      </c>
      <c r="V514" s="1">
        <f>Table1[[#This Row],[Running total ]]/SUM(I:I)</f>
        <v>0.49930749354458476</v>
      </c>
    </row>
    <row r="515" spans="1:22" x14ac:dyDescent="0.3">
      <c r="A515" t="s">
        <v>1159</v>
      </c>
      <c r="B515" t="s">
        <v>1160</v>
      </c>
      <c r="C515" t="s">
        <v>917</v>
      </c>
      <c r="D515" t="s">
        <v>48</v>
      </c>
      <c r="E515" t="s">
        <v>84</v>
      </c>
      <c r="F515" t="s">
        <v>55</v>
      </c>
      <c r="G515" t="s">
        <v>74</v>
      </c>
      <c r="H515" t="s">
        <v>133</v>
      </c>
      <c r="I515">
        <v>8494.7999999999993</v>
      </c>
      <c r="J515">
        <v>10</v>
      </c>
      <c r="K515" s="1">
        <v>0.1</v>
      </c>
      <c r="L515">
        <v>2876.41</v>
      </c>
      <c r="M515" t="s">
        <v>87</v>
      </c>
      <c r="N515" t="s">
        <v>32</v>
      </c>
      <c r="O515" t="str">
        <f t="shared" ref="O515:O578" si="48">TEXT(B515,"dd/mm/yyyy")</f>
        <v>27/12/2024</v>
      </c>
      <c r="P515">
        <f t="shared" ref="P515:P578" si="49">YEAR(O515)</f>
        <v>2024</v>
      </c>
      <c r="Q515">
        <f t="shared" ref="Q515:Q578" si="50">MONTH(O515)</f>
        <v>12</v>
      </c>
      <c r="R515" t="str">
        <f t="shared" ref="R515:R578" si="51">TEXT(O515,"mmmm")</f>
        <v>December</v>
      </c>
      <c r="S515" t="str">
        <f t="shared" ref="S515:S578" si="52">IF(K515=0,"No Discount",IF(K515&gt;=0.1,"Low",IF(K515&gt;=0.2,"Medium","High")))</f>
        <v>Low</v>
      </c>
      <c r="T515" s="1">
        <f t="shared" ref="T515:T578" si="53">SUM(L515)/SUM(I515)</f>
        <v>0.3386083250929981</v>
      </c>
      <c r="U515">
        <f>SUM($I$2:I515)</f>
        <v>1738822.4799999991</v>
      </c>
      <c r="V515" s="1">
        <f>Table1[[#This Row],[Running total ]]/SUM(I:I)</f>
        <v>0.50175877334851327</v>
      </c>
    </row>
    <row r="516" spans="1:22" x14ac:dyDescent="0.3">
      <c r="A516" t="s">
        <v>1161</v>
      </c>
      <c r="B516" t="s">
        <v>444</v>
      </c>
      <c r="C516" t="s">
        <v>275</v>
      </c>
      <c r="D516" t="s">
        <v>27</v>
      </c>
      <c r="E516" t="s">
        <v>124</v>
      </c>
      <c r="F516" t="s">
        <v>19</v>
      </c>
      <c r="G516" t="s">
        <v>20</v>
      </c>
      <c r="H516" t="s">
        <v>239</v>
      </c>
      <c r="I516">
        <v>1761.54</v>
      </c>
      <c r="J516">
        <v>2</v>
      </c>
      <c r="K516" s="1">
        <v>0.1</v>
      </c>
      <c r="L516">
        <v>81.790000000000006</v>
      </c>
      <c r="M516" t="s">
        <v>195</v>
      </c>
      <c r="N516" t="s">
        <v>39</v>
      </c>
      <c r="O516" t="str">
        <f t="shared" si="48"/>
        <v>06/12/2025</v>
      </c>
      <c r="P516">
        <f t="shared" si="49"/>
        <v>2025</v>
      </c>
      <c r="Q516">
        <f t="shared" si="50"/>
        <v>12</v>
      </c>
      <c r="R516" t="str">
        <f t="shared" si="51"/>
        <v>December</v>
      </c>
      <c r="S516" t="str">
        <f t="shared" si="52"/>
        <v>Low</v>
      </c>
      <c r="T516" s="1">
        <f t="shared" si="53"/>
        <v>4.6430963815752131E-2</v>
      </c>
      <c r="U516">
        <f>SUM($I$2:I516)</f>
        <v>1740584.0199999991</v>
      </c>
      <c r="V516" s="1">
        <f>Table1[[#This Row],[Running total ]]/SUM(I:I)</f>
        <v>0.50226708754376359</v>
      </c>
    </row>
    <row r="517" spans="1:22" x14ac:dyDescent="0.3">
      <c r="A517" t="s">
        <v>1162</v>
      </c>
      <c r="B517" t="s">
        <v>493</v>
      </c>
      <c r="C517" t="s">
        <v>271</v>
      </c>
      <c r="D517" t="s">
        <v>137</v>
      </c>
      <c r="E517" t="s">
        <v>242</v>
      </c>
      <c r="F517" t="s">
        <v>19</v>
      </c>
      <c r="G517" t="s">
        <v>20</v>
      </c>
      <c r="H517" t="s">
        <v>347</v>
      </c>
      <c r="I517">
        <v>6688.4</v>
      </c>
      <c r="J517">
        <v>10</v>
      </c>
      <c r="K517" s="1">
        <v>0.25</v>
      </c>
      <c r="L517">
        <v>-1000.38</v>
      </c>
      <c r="M517" t="s">
        <v>22</v>
      </c>
      <c r="N517" t="s">
        <v>23</v>
      </c>
      <c r="O517" t="str">
        <f t="shared" si="48"/>
        <v>19/05/2025</v>
      </c>
      <c r="P517">
        <f t="shared" si="49"/>
        <v>2025</v>
      </c>
      <c r="Q517">
        <f t="shared" si="50"/>
        <v>5</v>
      </c>
      <c r="R517" t="str">
        <f t="shared" si="51"/>
        <v>May</v>
      </c>
      <c r="S517" t="str">
        <f t="shared" si="52"/>
        <v>Low</v>
      </c>
      <c r="T517" s="1">
        <f t="shared" si="53"/>
        <v>-0.14956940374379524</v>
      </c>
      <c r="U517">
        <f>SUM($I$2:I517)</f>
        <v>1747272.419999999</v>
      </c>
      <c r="V517" s="1">
        <f>Table1[[#This Row],[Running total ]]/SUM(I:I)</f>
        <v>0.5041971082435559</v>
      </c>
    </row>
    <row r="518" spans="1:22" x14ac:dyDescent="0.3">
      <c r="A518" t="s">
        <v>1163</v>
      </c>
      <c r="B518" t="s">
        <v>482</v>
      </c>
      <c r="C518" t="s">
        <v>640</v>
      </c>
      <c r="D518" t="s">
        <v>27</v>
      </c>
      <c r="E518" t="s">
        <v>43</v>
      </c>
      <c r="F518" t="s">
        <v>19</v>
      </c>
      <c r="G518" t="s">
        <v>29</v>
      </c>
      <c r="H518" t="s">
        <v>30</v>
      </c>
      <c r="I518">
        <v>10965.9</v>
      </c>
      <c r="J518">
        <v>10</v>
      </c>
      <c r="K518" s="1">
        <v>0</v>
      </c>
      <c r="L518">
        <v>1138.44</v>
      </c>
      <c r="M518" t="s">
        <v>195</v>
      </c>
      <c r="N518" t="s">
        <v>23</v>
      </c>
      <c r="O518" t="str">
        <f t="shared" si="48"/>
        <v>07/08/2024</v>
      </c>
      <c r="P518">
        <f t="shared" si="49"/>
        <v>2024</v>
      </c>
      <c r="Q518">
        <f t="shared" si="50"/>
        <v>8</v>
      </c>
      <c r="R518" t="str">
        <f t="shared" si="51"/>
        <v>August</v>
      </c>
      <c r="S518" t="str">
        <f t="shared" si="52"/>
        <v>No Discount</v>
      </c>
      <c r="T518" s="1">
        <f t="shared" si="53"/>
        <v>0.10381637622083004</v>
      </c>
      <c r="U518">
        <f>SUM($I$2:I518)</f>
        <v>1758238.3199999989</v>
      </c>
      <c r="V518" s="1">
        <f>Table1[[#This Row],[Running total ]]/SUM(I:I)</f>
        <v>0.50736145457329873</v>
      </c>
    </row>
    <row r="519" spans="1:22" x14ac:dyDescent="0.3">
      <c r="A519" t="s">
        <v>1164</v>
      </c>
      <c r="B519" t="s">
        <v>1165</v>
      </c>
      <c r="C519" t="s">
        <v>501</v>
      </c>
      <c r="D519" t="s">
        <v>48</v>
      </c>
      <c r="E519" t="s">
        <v>73</v>
      </c>
      <c r="F519" t="s">
        <v>67</v>
      </c>
      <c r="G519" t="s">
        <v>68</v>
      </c>
      <c r="H519" t="s">
        <v>382</v>
      </c>
      <c r="I519">
        <v>800.77</v>
      </c>
      <c r="J519">
        <v>1</v>
      </c>
      <c r="K519" s="1">
        <v>0.3</v>
      </c>
      <c r="L519">
        <v>-76.14</v>
      </c>
      <c r="M519" t="s">
        <v>195</v>
      </c>
      <c r="N519" t="s">
        <v>23</v>
      </c>
      <c r="O519" t="str">
        <f t="shared" si="48"/>
        <v>09/10/2025</v>
      </c>
      <c r="P519">
        <f t="shared" si="49"/>
        <v>2025</v>
      </c>
      <c r="Q519">
        <f t="shared" si="50"/>
        <v>10</v>
      </c>
      <c r="R519" t="str">
        <f t="shared" si="51"/>
        <v>October</v>
      </c>
      <c r="S519" t="str">
        <f t="shared" si="52"/>
        <v>Low</v>
      </c>
      <c r="T519" s="1">
        <f t="shared" si="53"/>
        <v>-9.5083482148432139E-2</v>
      </c>
      <c r="U519">
        <f>SUM($I$2:I519)</f>
        <v>1759039.0899999989</v>
      </c>
      <c r="V519" s="1">
        <f>Table1[[#This Row],[Running total ]]/SUM(I:I)</f>
        <v>0.5075925266795982</v>
      </c>
    </row>
    <row r="520" spans="1:22" x14ac:dyDescent="0.3">
      <c r="A520" t="s">
        <v>1166</v>
      </c>
      <c r="B520" t="s">
        <v>782</v>
      </c>
      <c r="C520" t="s">
        <v>35</v>
      </c>
      <c r="D520" t="s">
        <v>137</v>
      </c>
      <c r="E520" t="s">
        <v>138</v>
      </c>
      <c r="F520" t="s">
        <v>67</v>
      </c>
      <c r="G520" t="s">
        <v>68</v>
      </c>
      <c r="H520" t="s">
        <v>382</v>
      </c>
      <c r="I520">
        <v>2831.04</v>
      </c>
      <c r="J520">
        <v>3</v>
      </c>
      <c r="K520" s="1">
        <v>0.05</v>
      </c>
      <c r="L520">
        <v>669.24</v>
      </c>
      <c r="M520" t="s">
        <v>31</v>
      </c>
      <c r="N520" t="s">
        <v>23</v>
      </c>
      <c r="O520" t="str">
        <f t="shared" si="48"/>
        <v>01/04/2024</v>
      </c>
      <c r="P520">
        <f t="shared" si="49"/>
        <v>2024</v>
      </c>
      <c r="Q520">
        <f t="shared" si="50"/>
        <v>4</v>
      </c>
      <c r="R520" t="str">
        <f t="shared" si="51"/>
        <v>April</v>
      </c>
      <c r="S520" t="str">
        <f t="shared" si="52"/>
        <v>High</v>
      </c>
      <c r="T520" s="1">
        <f t="shared" si="53"/>
        <v>0.23639369277721262</v>
      </c>
      <c r="U520">
        <f>SUM($I$2:I520)</f>
        <v>1761870.129999999</v>
      </c>
      <c r="V520" s="1">
        <f>Table1[[#This Row],[Running total ]]/SUM(I:I)</f>
        <v>0.50840945835263507</v>
      </c>
    </row>
    <row r="521" spans="1:22" x14ac:dyDescent="0.3">
      <c r="A521" t="s">
        <v>1167</v>
      </c>
      <c r="B521" t="s">
        <v>1168</v>
      </c>
      <c r="C521" t="s">
        <v>504</v>
      </c>
      <c r="D521" t="s">
        <v>48</v>
      </c>
      <c r="E521" t="s">
        <v>84</v>
      </c>
      <c r="F521" t="s">
        <v>67</v>
      </c>
      <c r="G521" t="s">
        <v>115</v>
      </c>
      <c r="H521" t="s">
        <v>178</v>
      </c>
      <c r="I521">
        <v>4318.88</v>
      </c>
      <c r="J521">
        <v>8</v>
      </c>
      <c r="K521" s="1">
        <v>0.25</v>
      </c>
      <c r="L521">
        <v>-236.15</v>
      </c>
      <c r="M521" t="s">
        <v>63</v>
      </c>
      <c r="N521" t="s">
        <v>39</v>
      </c>
      <c r="O521" t="str">
        <f t="shared" si="48"/>
        <v>15/03/2025</v>
      </c>
      <c r="P521">
        <f t="shared" si="49"/>
        <v>2025</v>
      </c>
      <c r="Q521">
        <f t="shared" si="50"/>
        <v>3</v>
      </c>
      <c r="R521" t="str">
        <f t="shared" si="51"/>
        <v>March</v>
      </c>
      <c r="S521" t="str">
        <f t="shared" si="52"/>
        <v>Low</v>
      </c>
      <c r="T521" s="1">
        <f t="shared" si="53"/>
        <v>-5.4678527766457971E-2</v>
      </c>
      <c r="U521">
        <f>SUM($I$2:I521)</f>
        <v>1766189.0099999988</v>
      </c>
      <c r="V521" s="1">
        <f>Table1[[#This Row],[Running total ]]/SUM(I:I)</f>
        <v>0.50965572469434894</v>
      </c>
    </row>
    <row r="522" spans="1:22" x14ac:dyDescent="0.3">
      <c r="A522" t="s">
        <v>1169</v>
      </c>
      <c r="B522" t="s">
        <v>185</v>
      </c>
      <c r="C522" t="s">
        <v>468</v>
      </c>
      <c r="D522" t="s">
        <v>137</v>
      </c>
      <c r="E522" t="s">
        <v>138</v>
      </c>
      <c r="F522" t="s">
        <v>19</v>
      </c>
      <c r="G522" t="s">
        <v>20</v>
      </c>
      <c r="H522" t="s">
        <v>239</v>
      </c>
      <c r="I522">
        <v>3093.09</v>
      </c>
      <c r="J522">
        <v>7</v>
      </c>
      <c r="K522" s="1">
        <v>0.1</v>
      </c>
      <c r="L522">
        <v>-150.43</v>
      </c>
      <c r="M522" t="s">
        <v>87</v>
      </c>
      <c r="N522" t="s">
        <v>32</v>
      </c>
      <c r="O522" t="str">
        <f t="shared" si="48"/>
        <v>27/09/2025</v>
      </c>
      <c r="P522">
        <f t="shared" si="49"/>
        <v>2025</v>
      </c>
      <c r="Q522">
        <f t="shared" si="50"/>
        <v>9</v>
      </c>
      <c r="R522" t="str">
        <f t="shared" si="51"/>
        <v>September</v>
      </c>
      <c r="S522" t="str">
        <f t="shared" si="52"/>
        <v>Low</v>
      </c>
      <c r="T522" s="1">
        <f t="shared" si="53"/>
        <v>-4.8634213682757374E-2</v>
      </c>
      <c r="U522">
        <f>SUM($I$2:I522)</f>
        <v>1769282.0999999989</v>
      </c>
      <c r="V522" s="1">
        <f>Table1[[#This Row],[Running total ]]/SUM(I:I)</f>
        <v>0.51054827414209736</v>
      </c>
    </row>
    <row r="523" spans="1:22" x14ac:dyDescent="0.3">
      <c r="A523" t="s">
        <v>1170</v>
      </c>
      <c r="B523" t="s">
        <v>1171</v>
      </c>
      <c r="C523" t="s">
        <v>588</v>
      </c>
      <c r="D523" t="s">
        <v>137</v>
      </c>
      <c r="E523" t="s">
        <v>138</v>
      </c>
      <c r="F523" t="s">
        <v>67</v>
      </c>
      <c r="G523" t="s">
        <v>115</v>
      </c>
      <c r="H523" t="s">
        <v>178</v>
      </c>
      <c r="I523">
        <v>4013.76</v>
      </c>
      <c r="J523">
        <v>6</v>
      </c>
      <c r="K523" s="1">
        <v>0.15</v>
      </c>
      <c r="L523">
        <v>150.80000000000001</v>
      </c>
      <c r="M523" t="s">
        <v>117</v>
      </c>
      <c r="N523" t="s">
        <v>23</v>
      </c>
      <c r="O523" t="str">
        <f t="shared" si="48"/>
        <v>25/09/2024</v>
      </c>
      <c r="P523">
        <f t="shared" si="49"/>
        <v>2024</v>
      </c>
      <c r="Q523">
        <f t="shared" si="50"/>
        <v>9</v>
      </c>
      <c r="R523" t="str">
        <f t="shared" si="51"/>
        <v>September</v>
      </c>
      <c r="S523" t="str">
        <f t="shared" si="52"/>
        <v>Low</v>
      </c>
      <c r="T523" s="1">
        <f t="shared" si="53"/>
        <v>3.7570756597305272E-2</v>
      </c>
      <c r="U523">
        <f>SUM($I$2:I523)</f>
        <v>1773295.8599999989</v>
      </c>
      <c r="V523" s="1">
        <f>Table1[[#This Row],[Running total ]]/SUM(I:I)</f>
        <v>0.51170649432689463</v>
      </c>
    </row>
    <row r="524" spans="1:22" x14ac:dyDescent="0.3">
      <c r="A524" t="s">
        <v>1172</v>
      </c>
      <c r="B524" t="s">
        <v>940</v>
      </c>
      <c r="C524" t="s">
        <v>818</v>
      </c>
      <c r="D524" t="s">
        <v>48</v>
      </c>
      <c r="E524" t="s">
        <v>73</v>
      </c>
      <c r="F524" t="s">
        <v>19</v>
      </c>
      <c r="G524" t="s">
        <v>29</v>
      </c>
      <c r="H524" t="s">
        <v>30</v>
      </c>
      <c r="I524">
        <v>3529.1</v>
      </c>
      <c r="J524">
        <v>5</v>
      </c>
      <c r="K524" s="1">
        <v>0.05</v>
      </c>
      <c r="L524">
        <v>1135.56</v>
      </c>
      <c r="M524" t="s">
        <v>38</v>
      </c>
      <c r="N524" t="s">
        <v>39</v>
      </c>
      <c r="O524" t="str">
        <f t="shared" si="48"/>
        <v>09/10/2024</v>
      </c>
      <c r="P524">
        <f t="shared" si="49"/>
        <v>2024</v>
      </c>
      <c r="Q524">
        <f t="shared" si="50"/>
        <v>10</v>
      </c>
      <c r="R524" t="str">
        <f t="shared" si="51"/>
        <v>October</v>
      </c>
      <c r="S524" t="str">
        <f t="shared" si="52"/>
        <v>High</v>
      </c>
      <c r="T524" s="1">
        <f t="shared" si="53"/>
        <v>0.32177042305403641</v>
      </c>
      <c r="U524">
        <f>SUM($I$2:I524)</f>
        <v>1776824.959999999</v>
      </c>
      <c r="V524" s="1">
        <f>Table1[[#This Row],[Running total ]]/SUM(I:I)</f>
        <v>0.51272485986299254</v>
      </c>
    </row>
    <row r="525" spans="1:22" x14ac:dyDescent="0.3">
      <c r="A525" t="s">
        <v>1173</v>
      </c>
      <c r="B525" t="s">
        <v>1174</v>
      </c>
      <c r="C525" t="s">
        <v>501</v>
      </c>
      <c r="D525" t="s">
        <v>27</v>
      </c>
      <c r="E525" t="s">
        <v>43</v>
      </c>
      <c r="F525" t="s">
        <v>19</v>
      </c>
      <c r="G525" t="s">
        <v>20</v>
      </c>
      <c r="H525" t="s">
        <v>239</v>
      </c>
      <c r="I525">
        <v>2052.7199999999998</v>
      </c>
      <c r="J525">
        <v>9</v>
      </c>
      <c r="K525" s="1">
        <v>0.25</v>
      </c>
      <c r="L525">
        <v>330.96</v>
      </c>
      <c r="M525" t="s">
        <v>87</v>
      </c>
      <c r="N525" t="s">
        <v>39</v>
      </c>
      <c r="O525" t="str">
        <f t="shared" si="48"/>
        <v>08/01/2024</v>
      </c>
      <c r="P525">
        <f t="shared" si="49"/>
        <v>2024</v>
      </c>
      <c r="Q525">
        <f t="shared" si="50"/>
        <v>1</v>
      </c>
      <c r="R525" t="str">
        <f t="shared" si="51"/>
        <v>January</v>
      </c>
      <c r="S525" t="str">
        <f t="shared" si="52"/>
        <v>Low</v>
      </c>
      <c r="T525" s="1">
        <f t="shared" si="53"/>
        <v>0.16122997778557233</v>
      </c>
      <c r="U525">
        <f>SUM($I$2:I525)</f>
        <v>1778877.679999999</v>
      </c>
      <c r="V525" s="1">
        <f>Table1[[#This Row],[Running total ]]/SUM(I:I)</f>
        <v>0.51331719765542094</v>
      </c>
    </row>
    <row r="526" spans="1:22" x14ac:dyDescent="0.3">
      <c r="A526" t="s">
        <v>1175</v>
      </c>
      <c r="B526" t="s">
        <v>1176</v>
      </c>
      <c r="C526" t="s">
        <v>994</v>
      </c>
      <c r="D526" t="s">
        <v>137</v>
      </c>
      <c r="E526" t="s">
        <v>160</v>
      </c>
      <c r="F526" t="s">
        <v>55</v>
      </c>
      <c r="G526" t="s">
        <v>56</v>
      </c>
      <c r="H526" t="s">
        <v>62</v>
      </c>
      <c r="I526">
        <v>4233.0600000000004</v>
      </c>
      <c r="J526">
        <v>6</v>
      </c>
      <c r="K526" s="1">
        <v>0.25</v>
      </c>
      <c r="L526">
        <v>159.13999999999999</v>
      </c>
      <c r="M526" t="s">
        <v>31</v>
      </c>
      <c r="N526" t="s">
        <v>23</v>
      </c>
      <c r="O526" t="str">
        <f t="shared" si="48"/>
        <v>07/10/2025</v>
      </c>
      <c r="P526">
        <f t="shared" si="49"/>
        <v>2025</v>
      </c>
      <c r="Q526">
        <f t="shared" si="50"/>
        <v>10</v>
      </c>
      <c r="R526" t="str">
        <f t="shared" si="51"/>
        <v>October</v>
      </c>
      <c r="S526" t="str">
        <f t="shared" si="52"/>
        <v>Low</v>
      </c>
      <c r="T526" s="1">
        <f t="shared" si="53"/>
        <v>3.7594553349113873E-2</v>
      </c>
      <c r="U526">
        <f>SUM($I$2:I526)</f>
        <v>1783110.7399999991</v>
      </c>
      <c r="V526" s="1">
        <f>Table1[[#This Row],[Running total ]]/SUM(I:I)</f>
        <v>0.51453869957269005</v>
      </c>
    </row>
    <row r="527" spans="1:22" x14ac:dyDescent="0.3">
      <c r="A527" t="s">
        <v>1177</v>
      </c>
      <c r="B527" t="s">
        <v>227</v>
      </c>
      <c r="C527" t="s">
        <v>1056</v>
      </c>
      <c r="D527" t="s">
        <v>27</v>
      </c>
      <c r="E527" t="s">
        <v>61</v>
      </c>
      <c r="F527" t="s">
        <v>67</v>
      </c>
      <c r="G527" t="s">
        <v>68</v>
      </c>
      <c r="H527" t="s">
        <v>382</v>
      </c>
      <c r="I527">
        <v>8134.63</v>
      </c>
      <c r="J527">
        <v>7</v>
      </c>
      <c r="K527" s="1">
        <v>0.25</v>
      </c>
      <c r="L527">
        <v>478.37</v>
      </c>
      <c r="M527" t="s">
        <v>38</v>
      </c>
      <c r="N527" t="s">
        <v>23</v>
      </c>
      <c r="O527" t="str">
        <f t="shared" si="48"/>
        <v>02/11/2025</v>
      </c>
      <c r="P527">
        <f t="shared" si="49"/>
        <v>2025</v>
      </c>
      <c r="Q527">
        <f t="shared" si="50"/>
        <v>11</v>
      </c>
      <c r="R527" t="str">
        <f t="shared" si="51"/>
        <v>November</v>
      </c>
      <c r="S527" t="str">
        <f t="shared" si="52"/>
        <v>Low</v>
      </c>
      <c r="T527" s="1">
        <f t="shared" si="53"/>
        <v>5.8806608290727418E-2</v>
      </c>
      <c r="U527">
        <f>SUM($I$2:I527)</f>
        <v>1791245.3699999989</v>
      </c>
      <c r="V527" s="1">
        <f>Table1[[#This Row],[Running total ]]/SUM(I:I)</f>
        <v>0.51688604786004599</v>
      </c>
    </row>
    <row r="528" spans="1:22" x14ac:dyDescent="0.3">
      <c r="A528" t="s">
        <v>1178</v>
      </c>
      <c r="B528" t="s">
        <v>1179</v>
      </c>
      <c r="C528" t="s">
        <v>381</v>
      </c>
      <c r="D528" t="s">
        <v>17</v>
      </c>
      <c r="E528" t="s">
        <v>97</v>
      </c>
      <c r="F528" t="s">
        <v>55</v>
      </c>
      <c r="G528" t="s">
        <v>74</v>
      </c>
      <c r="H528" t="s">
        <v>75</v>
      </c>
      <c r="I528">
        <v>2526.3000000000002</v>
      </c>
      <c r="J528">
        <v>7</v>
      </c>
      <c r="K528" s="1">
        <v>0.15</v>
      </c>
      <c r="L528">
        <v>719.03</v>
      </c>
      <c r="M528" t="s">
        <v>22</v>
      </c>
      <c r="N528" t="s">
        <v>76</v>
      </c>
      <c r="O528" t="str">
        <f t="shared" si="48"/>
        <v>13/09/2024</v>
      </c>
      <c r="P528">
        <f t="shared" si="49"/>
        <v>2024</v>
      </c>
      <c r="Q528">
        <f t="shared" si="50"/>
        <v>9</v>
      </c>
      <c r="R528" t="str">
        <f t="shared" si="51"/>
        <v>September</v>
      </c>
      <c r="S528" t="str">
        <f t="shared" si="52"/>
        <v>Low</v>
      </c>
      <c r="T528" s="1">
        <f t="shared" si="53"/>
        <v>0.28461782052804496</v>
      </c>
      <c r="U528">
        <f>SUM($I$2:I528)</f>
        <v>1793771.669999999</v>
      </c>
      <c r="V528" s="1">
        <f>Table1[[#This Row],[Running total ]]/SUM(I:I)</f>
        <v>0.51761504302987515</v>
      </c>
    </row>
    <row r="529" spans="1:22" x14ac:dyDescent="0.3">
      <c r="A529" t="s">
        <v>1180</v>
      </c>
      <c r="B529" t="s">
        <v>582</v>
      </c>
      <c r="C529" t="s">
        <v>186</v>
      </c>
      <c r="D529" t="s">
        <v>17</v>
      </c>
      <c r="E529" t="s">
        <v>80</v>
      </c>
      <c r="F529" t="s">
        <v>55</v>
      </c>
      <c r="G529" t="s">
        <v>74</v>
      </c>
      <c r="H529" t="s">
        <v>75</v>
      </c>
      <c r="I529">
        <v>2790.24</v>
      </c>
      <c r="J529">
        <v>8</v>
      </c>
      <c r="K529" s="1">
        <v>0.1</v>
      </c>
      <c r="L529">
        <v>-57.58</v>
      </c>
      <c r="M529" t="s">
        <v>143</v>
      </c>
      <c r="N529" t="s">
        <v>39</v>
      </c>
      <c r="O529" t="str">
        <f t="shared" si="48"/>
        <v>28/09/2025</v>
      </c>
      <c r="P529">
        <f t="shared" si="49"/>
        <v>2025</v>
      </c>
      <c r="Q529">
        <f t="shared" si="50"/>
        <v>9</v>
      </c>
      <c r="R529" t="str">
        <f t="shared" si="51"/>
        <v>September</v>
      </c>
      <c r="S529" t="str">
        <f t="shared" si="52"/>
        <v>Low</v>
      </c>
      <c r="T529" s="1">
        <f t="shared" si="53"/>
        <v>-2.0636217673031712E-2</v>
      </c>
      <c r="U529">
        <f>SUM($I$2:I529)</f>
        <v>1796561.909999999</v>
      </c>
      <c r="V529" s="1">
        <f>Table1[[#This Row],[Running total ]]/SUM(I:I)</f>
        <v>0.51842020135733591</v>
      </c>
    </row>
    <row r="530" spans="1:22" x14ac:dyDescent="0.3">
      <c r="A530" t="s">
        <v>1181</v>
      </c>
      <c r="B530" t="s">
        <v>1182</v>
      </c>
      <c r="C530" t="s">
        <v>120</v>
      </c>
      <c r="D530" t="s">
        <v>27</v>
      </c>
      <c r="E530" t="s">
        <v>43</v>
      </c>
      <c r="F530" t="s">
        <v>67</v>
      </c>
      <c r="G530" t="s">
        <v>85</v>
      </c>
      <c r="H530" t="s">
        <v>253</v>
      </c>
      <c r="I530">
        <v>3135.06</v>
      </c>
      <c r="J530">
        <v>9</v>
      </c>
      <c r="K530" s="1">
        <v>0.2</v>
      </c>
      <c r="L530">
        <v>-281.49</v>
      </c>
      <c r="M530" t="s">
        <v>107</v>
      </c>
      <c r="N530" t="s">
        <v>39</v>
      </c>
      <c r="O530" t="str">
        <f t="shared" si="48"/>
        <v>11/10/2024</v>
      </c>
      <c r="P530">
        <f t="shared" si="49"/>
        <v>2024</v>
      </c>
      <c r="Q530">
        <f t="shared" si="50"/>
        <v>10</v>
      </c>
      <c r="R530" t="str">
        <f t="shared" si="51"/>
        <v>October</v>
      </c>
      <c r="S530" t="str">
        <f t="shared" si="52"/>
        <v>Low</v>
      </c>
      <c r="T530" s="1">
        <f t="shared" si="53"/>
        <v>-8.9787755258272567E-2</v>
      </c>
      <c r="U530">
        <f>SUM($I$2:I530)</f>
        <v>1799696.969999999</v>
      </c>
      <c r="V530" s="1">
        <f>Table1[[#This Row],[Running total ]]/SUM(I:I)</f>
        <v>0.51932486176865866</v>
      </c>
    </row>
    <row r="531" spans="1:22" x14ac:dyDescent="0.3">
      <c r="A531" t="s">
        <v>1183</v>
      </c>
      <c r="B531" t="s">
        <v>1184</v>
      </c>
      <c r="C531" t="s">
        <v>583</v>
      </c>
      <c r="D531" t="s">
        <v>48</v>
      </c>
      <c r="E531" t="s">
        <v>84</v>
      </c>
      <c r="F531" t="s">
        <v>19</v>
      </c>
      <c r="G531" t="s">
        <v>36</v>
      </c>
      <c r="H531" t="s">
        <v>222</v>
      </c>
      <c r="I531">
        <v>8340.85</v>
      </c>
      <c r="J531">
        <v>7</v>
      </c>
      <c r="K531" s="1">
        <v>0.2</v>
      </c>
      <c r="L531">
        <v>1818.2</v>
      </c>
      <c r="M531" t="s">
        <v>107</v>
      </c>
      <c r="N531" t="s">
        <v>76</v>
      </c>
      <c r="O531" t="str">
        <f t="shared" si="48"/>
        <v>09/12/2025</v>
      </c>
      <c r="P531">
        <f t="shared" si="49"/>
        <v>2025</v>
      </c>
      <c r="Q531">
        <f t="shared" si="50"/>
        <v>12</v>
      </c>
      <c r="R531" t="str">
        <f t="shared" si="51"/>
        <v>December</v>
      </c>
      <c r="S531" t="str">
        <f t="shared" si="52"/>
        <v>Low</v>
      </c>
      <c r="T531" s="1">
        <f t="shared" si="53"/>
        <v>0.21798737538740057</v>
      </c>
      <c r="U531">
        <f>SUM($I$2:I531)</f>
        <v>1808037.8199999991</v>
      </c>
      <c r="V531" s="1">
        <f>Table1[[#This Row],[Running total ]]/SUM(I:I)</f>
        <v>0.52173171739240465</v>
      </c>
    </row>
    <row r="532" spans="1:22" x14ac:dyDescent="0.3">
      <c r="A532" t="s">
        <v>1185</v>
      </c>
      <c r="B532" t="s">
        <v>1186</v>
      </c>
      <c r="C532" t="s">
        <v>701</v>
      </c>
      <c r="D532" t="s">
        <v>17</v>
      </c>
      <c r="E532" t="s">
        <v>18</v>
      </c>
      <c r="F532" t="s">
        <v>19</v>
      </c>
      <c r="G532" t="s">
        <v>29</v>
      </c>
      <c r="H532" t="s">
        <v>30</v>
      </c>
      <c r="I532">
        <v>217.53</v>
      </c>
      <c r="J532">
        <v>1</v>
      </c>
      <c r="K532" s="1">
        <v>0.05</v>
      </c>
      <c r="L532">
        <v>67.45</v>
      </c>
      <c r="M532" t="s">
        <v>44</v>
      </c>
      <c r="N532" t="s">
        <v>39</v>
      </c>
      <c r="O532" t="str">
        <f t="shared" si="48"/>
        <v>12/06/2025</v>
      </c>
      <c r="P532">
        <f t="shared" si="49"/>
        <v>2025</v>
      </c>
      <c r="Q532">
        <f t="shared" si="50"/>
        <v>6</v>
      </c>
      <c r="R532" t="str">
        <f t="shared" si="51"/>
        <v>June</v>
      </c>
      <c r="S532" t="str">
        <f t="shared" si="52"/>
        <v>High</v>
      </c>
      <c r="T532" s="1">
        <f t="shared" si="53"/>
        <v>0.310072173953018</v>
      </c>
      <c r="U532">
        <f>SUM($I$2:I532)</f>
        <v>1808255.3499999992</v>
      </c>
      <c r="V532" s="1">
        <f>Table1[[#This Row],[Running total ]]/SUM(I:I)</f>
        <v>0.52179448836944331</v>
      </c>
    </row>
    <row r="533" spans="1:22" x14ac:dyDescent="0.3">
      <c r="A533" t="s">
        <v>1187</v>
      </c>
      <c r="B533" t="s">
        <v>529</v>
      </c>
      <c r="C533" t="s">
        <v>666</v>
      </c>
      <c r="D533" t="s">
        <v>27</v>
      </c>
      <c r="E533" t="s">
        <v>61</v>
      </c>
      <c r="F533" t="s">
        <v>19</v>
      </c>
      <c r="G533" t="s">
        <v>29</v>
      </c>
      <c r="H533" t="s">
        <v>30</v>
      </c>
      <c r="I533">
        <v>2001.48</v>
      </c>
      <c r="J533">
        <v>3</v>
      </c>
      <c r="K533" s="1">
        <v>0</v>
      </c>
      <c r="L533">
        <v>729.08</v>
      </c>
      <c r="M533" t="s">
        <v>107</v>
      </c>
      <c r="N533" t="s">
        <v>76</v>
      </c>
      <c r="O533" t="str">
        <f t="shared" si="48"/>
        <v>05/06/2024</v>
      </c>
      <c r="P533">
        <f t="shared" si="49"/>
        <v>2024</v>
      </c>
      <c r="Q533">
        <f t="shared" si="50"/>
        <v>6</v>
      </c>
      <c r="R533" t="str">
        <f t="shared" si="51"/>
        <v>June</v>
      </c>
      <c r="S533" t="str">
        <f t="shared" si="52"/>
        <v>No Discount</v>
      </c>
      <c r="T533" s="1">
        <f t="shared" si="53"/>
        <v>0.36427043987449287</v>
      </c>
      <c r="U533">
        <f>SUM($I$2:I533)</f>
        <v>1810256.8299999991</v>
      </c>
      <c r="V533" s="1">
        <f>Table1[[#This Row],[Running total ]]/SUM(I:I)</f>
        <v>0.52237204022492756</v>
      </c>
    </row>
    <row r="534" spans="1:22" x14ac:dyDescent="0.3">
      <c r="A534" t="s">
        <v>1188</v>
      </c>
      <c r="B534" t="s">
        <v>1189</v>
      </c>
      <c r="C534" t="s">
        <v>350</v>
      </c>
      <c r="D534" t="s">
        <v>48</v>
      </c>
      <c r="E534" t="s">
        <v>49</v>
      </c>
      <c r="F534" t="s">
        <v>55</v>
      </c>
      <c r="G534" t="s">
        <v>74</v>
      </c>
      <c r="H534" t="s">
        <v>75</v>
      </c>
      <c r="I534">
        <v>1284.8</v>
      </c>
      <c r="J534">
        <v>10</v>
      </c>
      <c r="K534" s="1">
        <v>0.2</v>
      </c>
      <c r="L534">
        <v>262.14</v>
      </c>
      <c r="M534" t="s">
        <v>117</v>
      </c>
      <c r="N534" t="s">
        <v>23</v>
      </c>
      <c r="O534" t="str">
        <f t="shared" si="48"/>
        <v>12/06/2024</v>
      </c>
      <c r="P534">
        <f t="shared" si="49"/>
        <v>2024</v>
      </c>
      <c r="Q534">
        <f t="shared" si="50"/>
        <v>6</v>
      </c>
      <c r="R534" t="str">
        <f t="shared" si="51"/>
        <v>June</v>
      </c>
      <c r="S534" t="str">
        <f t="shared" si="52"/>
        <v>Low</v>
      </c>
      <c r="T534" s="1">
        <f t="shared" si="53"/>
        <v>0.20403175591531755</v>
      </c>
      <c r="U534">
        <f>SUM($I$2:I534)</f>
        <v>1811541.6299999992</v>
      </c>
      <c r="V534" s="1">
        <f>Table1[[#This Row],[Running total ]]/SUM(I:I)</f>
        <v>0.52274278518561967</v>
      </c>
    </row>
    <row r="535" spans="1:22" x14ac:dyDescent="0.3">
      <c r="A535" t="s">
        <v>1190</v>
      </c>
      <c r="B535" t="s">
        <v>462</v>
      </c>
      <c r="C535" t="s">
        <v>745</v>
      </c>
      <c r="D535" t="s">
        <v>17</v>
      </c>
      <c r="E535" t="s">
        <v>54</v>
      </c>
      <c r="F535" t="s">
        <v>19</v>
      </c>
      <c r="G535" t="s">
        <v>29</v>
      </c>
      <c r="H535" t="s">
        <v>30</v>
      </c>
      <c r="I535">
        <v>1904.5</v>
      </c>
      <c r="J535">
        <v>5</v>
      </c>
      <c r="K535" s="1">
        <v>0.3</v>
      </c>
      <c r="L535">
        <v>-370.84</v>
      </c>
      <c r="M535" t="s">
        <v>117</v>
      </c>
      <c r="N535" t="s">
        <v>32</v>
      </c>
      <c r="O535" t="str">
        <f t="shared" si="48"/>
        <v>26/12/2024</v>
      </c>
      <c r="P535">
        <f t="shared" si="49"/>
        <v>2024</v>
      </c>
      <c r="Q535">
        <f t="shared" si="50"/>
        <v>12</v>
      </c>
      <c r="R535" t="str">
        <f t="shared" si="51"/>
        <v>December</v>
      </c>
      <c r="S535" t="str">
        <f t="shared" si="52"/>
        <v>Low</v>
      </c>
      <c r="T535" s="1">
        <f t="shared" si="53"/>
        <v>-0.19471777369388291</v>
      </c>
      <c r="U535">
        <f>SUM($I$2:I535)</f>
        <v>1813446.1299999992</v>
      </c>
      <c r="V535" s="1">
        <f>Table1[[#This Row],[Running total ]]/SUM(I:I)</f>
        <v>0.52329235226036919</v>
      </c>
    </row>
    <row r="536" spans="1:22" x14ac:dyDescent="0.3">
      <c r="A536" t="s">
        <v>1191</v>
      </c>
      <c r="B536" t="s">
        <v>52</v>
      </c>
      <c r="C536" t="s">
        <v>1072</v>
      </c>
      <c r="D536" t="s">
        <v>17</v>
      </c>
      <c r="E536" t="s">
        <v>18</v>
      </c>
      <c r="F536" t="s">
        <v>55</v>
      </c>
      <c r="G536" t="s">
        <v>56</v>
      </c>
      <c r="H536" t="s">
        <v>129</v>
      </c>
      <c r="I536">
        <v>3844.15</v>
      </c>
      <c r="J536">
        <v>5</v>
      </c>
      <c r="K536" s="1">
        <v>0.2</v>
      </c>
      <c r="L536">
        <v>285.85000000000002</v>
      </c>
      <c r="M536" t="s">
        <v>44</v>
      </c>
      <c r="N536" t="s">
        <v>32</v>
      </c>
      <c r="O536" t="str">
        <f t="shared" si="48"/>
        <v>03/12/2024</v>
      </c>
      <c r="P536">
        <f t="shared" si="49"/>
        <v>2024</v>
      </c>
      <c r="Q536">
        <f t="shared" si="50"/>
        <v>12</v>
      </c>
      <c r="R536" t="str">
        <f t="shared" si="51"/>
        <v>December</v>
      </c>
      <c r="S536" t="str">
        <f t="shared" si="52"/>
        <v>Low</v>
      </c>
      <c r="T536" s="1">
        <f t="shared" si="53"/>
        <v>7.435974142528258E-2</v>
      </c>
      <c r="U536">
        <f>SUM($I$2:I536)</f>
        <v>1817290.2799999991</v>
      </c>
      <c r="V536" s="1">
        <f>Table1[[#This Row],[Running total ]]/SUM(I:I)</f>
        <v>0.52440162937793189</v>
      </c>
    </row>
    <row r="537" spans="1:22" x14ac:dyDescent="0.3">
      <c r="A537" t="s">
        <v>1192</v>
      </c>
      <c r="B537" t="s">
        <v>433</v>
      </c>
      <c r="C537" t="s">
        <v>797</v>
      </c>
      <c r="D537" t="s">
        <v>27</v>
      </c>
      <c r="E537" t="s">
        <v>43</v>
      </c>
      <c r="F537" t="s">
        <v>67</v>
      </c>
      <c r="G537" t="s">
        <v>115</v>
      </c>
      <c r="H537" t="s">
        <v>116</v>
      </c>
      <c r="I537">
        <v>3909.96</v>
      </c>
      <c r="J537">
        <v>9</v>
      </c>
      <c r="K537" s="1">
        <v>0</v>
      </c>
      <c r="L537">
        <v>872.82</v>
      </c>
      <c r="M537" t="s">
        <v>38</v>
      </c>
      <c r="N537" t="s">
        <v>39</v>
      </c>
      <c r="O537" t="str">
        <f t="shared" si="48"/>
        <v>28/06/2024</v>
      </c>
      <c r="P537">
        <f t="shared" si="49"/>
        <v>2024</v>
      </c>
      <c r="Q537">
        <f t="shared" si="50"/>
        <v>6</v>
      </c>
      <c r="R537" t="str">
        <f t="shared" si="51"/>
        <v>June</v>
      </c>
      <c r="S537" t="str">
        <f t="shared" si="52"/>
        <v>No Discount</v>
      </c>
      <c r="T537" s="1">
        <f t="shared" si="53"/>
        <v>0.22322990516527025</v>
      </c>
      <c r="U537">
        <f>SUM($I$2:I537)</f>
        <v>1821200.2399999991</v>
      </c>
      <c r="V537" s="1">
        <f>Table1[[#This Row],[Running total ]]/SUM(I:I)</f>
        <v>0.52552989678648399</v>
      </c>
    </row>
    <row r="538" spans="1:22" x14ac:dyDescent="0.3">
      <c r="A538" t="s">
        <v>1193</v>
      </c>
      <c r="B538" t="s">
        <v>1194</v>
      </c>
      <c r="C538" t="s">
        <v>1195</v>
      </c>
      <c r="D538" t="s">
        <v>17</v>
      </c>
      <c r="E538" t="s">
        <v>80</v>
      </c>
      <c r="F538" t="s">
        <v>19</v>
      </c>
      <c r="G538" t="s">
        <v>29</v>
      </c>
      <c r="H538" t="s">
        <v>199</v>
      </c>
      <c r="I538">
        <v>7361.84</v>
      </c>
      <c r="J538">
        <v>8</v>
      </c>
      <c r="K538" s="1">
        <v>0.05</v>
      </c>
      <c r="L538">
        <v>524.84</v>
      </c>
      <c r="M538" t="s">
        <v>22</v>
      </c>
      <c r="N538" t="s">
        <v>23</v>
      </c>
      <c r="O538" t="str">
        <f t="shared" si="48"/>
        <v>21/12/2024</v>
      </c>
      <c r="P538">
        <f t="shared" si="49"/>
        <v>2024</v>
      </c>
      <c r="Q538">
        <f t="shared" si="50"/>
        <v>12</v>
      </c>
      <c r="R538" t="str">
        <f t="shared" si="51"/>
        <v>December</v>
      </c>
      <c r="S538" t="str">
        <f t="shared" si="52"/>
        <v>High</v>
      </c>
      <c r="T538" s="1">
        <f t="shared" si="53"/>
        <v>7.1291959618790951E-2</v>
      </c>
      <c r="U538">
        <f>SUM($I$2:I538)</f>
        <v>1828562.0799999991</v>
      </c>
      <c r="V538" s="1">
        <f>Table1[[#This Row],[Running total ]]/SUM(I:I)</f>
        <v>0.5276542469432568</v>
      </c>
    </row>
    <row r="539" spans="1:22" x14ac:dyDescent="0.3">
      <c r="A539" t="s">
        <v>1196</v>
      </c>
      <c r="B539" t="s">
        <v>255</v>
      </c>
      <c r="C539" t="s">
        <v>571</v>
      </c>
      <c r="D539" t="s">
        <v>17</v>
      </c>
      <c r="E539" t="s">
        <v>54</v>
      </c>
      <c r="F539" t="s">
        <v>19</v>
      </c>
      <c r="G539" t="s">
        <v>36</v>
      </c>
      <c r="H539" t="s">
        <v>111</v>
      </c>
      <c r="I539">
        <v>2156.88</v>
      </c>
      <c r="J539">
        <v>3</v>
      </c>
      <c r="K539" s="1">
        <v>0.1</v>
      </c>
      <c r="L539">
        <v>218.13</v>
      </c>
      <c r="M539" t="s">
        <v>87</v>
      </c>
      <c r="N539" t="s">
        <v>39</v>
      </c>
      <c r="O539" t="str">
        <f t="shared" si="48"/>
        <v>29/04/2024</v>
      </c>
      <c r="P539">
        <f t="shared" si="49"/>
        <v>2024</v>
      </c>
      <c r="Q539">
        <f t="shared" si="50"/>
        <v>4</v>
      </c>
      <c r="R539" t="str">
        <f t="shared" si="51"/>
        <v>April</v>
      </c>
      <c r="S539" t="str">
        <f t="shared" si="52"/>
        <v>Low</v>
      </c>
      <c r="T539" s="1">
        <f t="shared" si="53"/>
        <v>0.10113219094247246</v>
      </c>
      <c r="U539">
        <f>SUM($I$2:I539)</f>
        <v>1830718.959999999</v>
      </c>
      <c r="V539" s="1">
        <f>Table1[[#This Row],[Running total ]]/SUM(I:I)</f>
        <v>0.52827664139439123</v>
      </c>
    </row>
    <row r="540" spans="1:22" x14ac:dyDescent="0.3">
      <c r="A540" t="s">
        <v>1197</v>
      </c>
      <c r="B540" t="s">
        <v>568</v>
      </c>
      <c r="C540" t="s">
        <v>1062</v>
      </c>
      <c r="D540" t="s">
        <v>27</v>
      </c>
      <c r="E540" t="s">
        <v>124</v>
      </c>
      <c r="F540" t="s">
        <v>67</v>
      </c>
      <c r="G540" t="s">
        <v>115</v>
      </c>
      <c r="H540" t="s">
        <v>116</v>
      </c>
      <c r="I540">
        <v>3635.45</v>
      </c>
      <c r="J540">
        <v>7</v>
      </c>
      <c r="K540" s="1">
        <v>0.25</v>
      </c>
      <c r="L540">
        <v>105.07</v>
      </c>
      <c r="M540" t="s">
        <v>31</v>
      </c>
      <c r="N540" t="s">
        <v>32</v>
      </c>
      <c r="O540" t="str">
        <f t="shared" si="48"/>
        <v>19/12/2025</v>
      </c>
      <c r="P540">
        <f t="shared" si="49"/>
        <v>2025</v>
      </c>
      <c r="Q540">
        <f t="shared" si="50"/>
        <v>12</v>
      </c>
      <c r="R540" t="str">
        <f t="shared" si="51"/>
        <v>December</v>
      </c>
      <c r="S540" t="str">
        <f t="shared" si="52"/>
        <v>Low</v>
      </c>
      <c r="T540" s="1">
        <f t="shared" si="53"/>
        <v>2.8901511504765571E-2</v>
      </c>
      <c r="U540">
        <f>SUM($I$2:I540)</f>
        <v>1834354.409999999</v>
      </c>
      <c r="V540" s="1">
        <f>Table1[[#This Row],[Running total ]]/SUM(I:I)</f>
        <v>0.52932569554083275</v>
      </c>
    </row>
    <row r="541" spans="1:22" x14ac:dyDescent="0.3">
      <c r="A541" t="s">
        <v>1198</v>
      </c>
      <c r="B541" t="s">
        <v>1199</v>
      </c>
      <c r="C541" t="s">
        <v>297</v>
      </c>
      <c r="D541" t="s">
        <v>17</v>
      </c>
      <c r="E541" t="s">
        <v>80</v>
      </c>
      <c r="F541" t="s">
        <v>67</v>
      </c>
      <c r="G541" t="s">
        <v>68</v>
      </c>
      <c r="H541" t="s">
        <v>69</v>
      </c>
      <c r="I541">
        <v>8849.25</v>
      </c>
      <c r="J541">
        <v>9</v>
      </c>
      <c r="K541" s="1">
        <v>0.15</v>
      </c>
      <c r="L541">
        <v>-501.77</v>
      </c>
      <c r="M541" t="s">
        <v>87</v>
      </c>
      <c r="N541" t="s">
        <v>76</v>
      </c>
      <c r="O541" t="str">
        <f t="shared" si="48"/>
        <v>09/12/2024</v>
      </c>
      <c r="P541">
        <f t="shared" si="49"/>
        <v>2024</v>
      </c>
      <c r="Q541">
        <f t="shared" si="50"/>
        <v>12</v>
      </c>
      <c r="R541" t="str">
        <f t="shared" si="51"/>
        <v>December</v>
      </c>
      <c r="S541" t="str">
        <f t="shared" si="52"/>
        <v>Low</v>
      </c>
      <c r="T541" s="1">
        <f t="shared" si="53"/>
        <v>-5.6701980393818685E-2</v>
      </c>
      <c r="U541">
        <f>SUM($I$2:I541)</f>
        <v>1843203.659999999</v>
      </c>
      <c r="V541" s="1">
        <f>Table1[[#This Row],[Running total ]]/SUM(I:I)</f>
        <v>0.5318792562844542</v>
      </c>
    </row>
    <row r="542" spans="1:22" x14ac:dyDescent="0.3">
      <c r="A542" t="s">
        <v>1200</v>
      </c>
      <c r="B542" t="s">
        <v>1201</v>
      </c>
      <c r="C542" t="s">
        <v>678</v>
      </c>
      <c r="D542" t="s">
        <v>17</v>
      </c>
      <c r="E542" t="s">
        <v>18</v>
      </c>
      <c r="F542" t="s">
        <v>55</v>
      </c>
      <c r="G542" t="s">
        <v>74</v>
      </c>
      <c r="H542" t="s">
        <v>272</v>
      </c>
      <c r="I542">
        <v>1021.31</v>
      </c>
      <c r="J542">
        <v>1</v>
      </c>
      <c r="K542" s="1">
        <v>0.25</v>
      </c>
      <c r="L542">
        <v>-203.53</v>
      </c>
      <c r="M542" t="s">
        <v>117</v>
      </c>
      <c r="N542" t="s">
        <v>23</v>
      </c>
      <c r="O542" t="str">
        <f t="shared" si="48"/>
        <v>18/06/2024</v>
      </c>
      <c r="P542">
        <f t="shared" si="49"/>
        <v>2024</v>
      </c>
      <c r="Q542">
        <f t="shared" si="50"/>
        <v>6</v>
      </c>
      <c r="R542" t="str">
        <f t="shared" si="51"/>
        <v>June</v>
      </c>
      <c r="S542" t="str">
        <f t="shared" si="52"/>
        <v>Low</v>
      </c>
      <c r="T542" s="1">
        <f t="shared" si="53"/>
        <v>-0.19928327344293115</v>
      </c>
      <c r="U542">
        <f>SUM($I$2:I542)</f>
        <v>1844224.969999999</v>
      </c>
      <c r="V542" s="1">
        <f>Table1[[#This Row],[Running total ]]/SUM(I:I)</f>
        <v>0.53217396794059091</v>
      </c>
    </row>
    <row r="543" spans="1:22" x14ac:dyDescent="0.3">
      <c r="A543" t="s">
        <v>1202</v>
      </c>
      <c r="B543" t="s">
        <v>1033</v>
      </c>
      <c r="C543" t="s">
        <v>468</v>
      </c>
      <c r="D543" t="s">
        <v>27</v>
      </c>
      <c r="E543" t="s">
        <v>43</v>
      </c>
      <c r="F543" t="s">
        <v>19</v>
      </c>
      <c r="G543" t="s">
        <v>29</v>
      </c>
      <c r="H543" t="s">
        <v>199</v>
      </c>
      <c r="I543">
        <v>3788.4</v>
      </c>
      <c r="J543">
        <v>7</v>
      </c>
      <c r="K543" s="1">
        <v>0.05</v>
      </c>
      <c r="L543">
        <v>1409.88</v>
      </c>
      <c r="M543" t="s">
        <v>195</v>
      </c>
      <c r="N543" t="s">
        <v>32</v>
      </c>
      <c r="O543" t="str">
        <f t="shared" si="48"/>
        <v>08/06/2024</v>
      </c>
      <c r="P543">
        <f t="shared" si="49"/>
        <v>2024</v>
      </c>
      <c r="Q543">
        <f t="shared" si="50"/>
        <v>6</v>
      </c>
      <c r="R543" t="str">
        <f t="shared" si="51"/>
        <v>June</v>
      </c>
      <c r="S543" t="str">
        <f t="shared" si="52"/>
        <v>High</v>
      </c>
      <c r="T543" s="1">
        <f t="shared" si="53"/>
        <v>0.37215711118150147</v>
      </c>
      <c r="U543">
        <f>SUM($I$2:I543)</f>
        <v>1848013.3699999989</v>
      </c>
      <c r="V543" s="1">
        <f>Table1[[#This Row],[Running total ]]/SUM(I:I)</f>
        <v>0.53326715770482347</v>
      </c>
    </row>
    <row r="544" spans="1:22" x14ac:dyDescent="0.3">
      <c r="A544" t="s">
        <v>1203</v>
      </c>
      <c r="B544" t="s">
        <v>1204</v>
      </c>
      <c r="C544" t="s">
        <v>1205</v>
      </c>
      <c r="D544" t="s">
        <v>48</v>
      </c>
      <c r="E544" t="s">
        <v>110</v>
      </c>
      <c r="F544" t="s">
        <v>55</v>
      </c>
      <c r="G544" t="s">
        <v>74</v>
      </c>
      <c r="H544" t="s">
        <v>75</v>
      </c>
      <c r="I544">
        <v>478.08</v>
      </c>
      <c r="J544">
        <v>8</v>
      </c>
      <c r="K544" s="1">
        <v>0.25</v>
      </c>
      <c r="L544">
        <v>-60.34</v>
      </c>
      <c r="M544" t="s">
        <v>107</v>
      </c>
      <c r="N544" t="s">
        <v>32</v>
      </c>
      <c r="O544" t="str">
        <f t="shared" si="48"/>
        <v>22/09/2024</v>
      </c>
      <c r="P544">
        <f t="shared" si="49"/>
        <v>2024</v>
      </c>
      <c r="Q544">
        <f t="shared" si="50"/>
        <v>9</v>
      </c>
      <c r="R544" t="str">
        <f t="shared" si="51"/>
        <v>September</v>
      </c>
      <c r="S544" t="str">
        <f t="shared" si="52"/>
        <v>Low</v>
      </c>
      <c r="T544" s="1">
        <f t="shared" si="53"/>
        <v>-0.12621318607764392</v>
      </c>
      <c r="U544">
        <f>SUM($I$2:I544)</f>
        <v>1848491.449999999</v>
      </c>
      <c r="V544" s="1">
        <f>Table1[[#This Row],[Running total ]]/SUM(I:I)</f>
        <v>0.53340511361298637</v>
      </c>
    </row>
    <row r="545" spans="1:22" x14ac:dyDescent="0.3">
      <c r="A545" t="s">
        <v>1206</v>
      </c>
      <c r="B545" t="s">
        <v>444</v>
      </c>
      <c r="C545" t="s">
        <v>120</v>
      </c>
      <c r="D545" t="s">
        <v>27</v>
      </c>
      <c r="E545" t="s">
        <v>43</v>
      </c>
      <c r="F545" t="s">
        <v>67</v>
      </c>
      <c r="G545" t="s">
        <v>85</v>
      </c>
      <c r="H545" t="s">
        <v>125</v>
      </c>
      <c r="I545">
        <v>274.41000000000003</v>
      </c>
      <c r="J545">
        <v>1</v>
      </c>
      <c r="K545" s="1">
        <v>0.1</v>
      </c>
      <c r="L545">
        <v>17.14</v>
      </c>
      <c r="M545" t="s">
        <v>38</v>
      </c>
      <c r="N545" t="s">
        <v>32</v>
      </c>
      <c r="O545" t="str">
        <f t="shared" si="48"/>
        <v>06/12/2025</v>
      </c>
      <c r="P545">
        <f t="shared" si="49"/>
        <v>2025</v>
      </c>
      <c r="Q545">
        <f t="shared" si="50"/>
        <v>12</v>
      </c>
      <c r="R545" t="str">
        <f t="shared" si="51"/>
        <v>December</v>
      </c>
      <c r="S545" t="str">
        <f t="shared" si="52"/>
        <v>Low</v>
      </c>
      <c r="T545" s="1">
        <f t="shared" si="53"/>
        <v>6.2461280565577051E-2</v>
      </c>
      <c r="U545">
        <f>SUM($I$2:I545)</f>
        <v>1848765.8599999989</v>
      </c>
      <c r="V545" s="1">
        <f>Table1[[#This Row],[Running total ]]/SUM(I:I)</f>
        <v>0.53348429801885766</v>
      </c>
    </row>
    <row r="546" spans="1:22" x14ac:dyDescent="0.3">
      <c r="A546" t="s">
        <v>1207</v>
      </c>
      <c r="B546" t="s">
        <v>1208</v>
      </c>
      <c r="C546" t="s">
        <v>175</v>
      </c>
      <c r="D546" t="s">
        <v>48</v>
      </c>
      <c r="E546" t="s">
        <v>84</v>
      </c>
      <c r="F546" t="s">
        <v>55</v>
      </c>
      <c r="G546" t="s">
        <v>56</v>
      </c>
      <c r="H546" t="s">
        <v>57</v>
      </c>
      <c r="I546">
        <v>8345.7000000000007</v>
      </c>
      <c r="J546">
        <v>9</v>
      </c>
      <c r="K546" s="1">
        <v>0</v>
      </c>
      <c r="L546">
        <v>1095.27</v>
      </c>
      <c r="M546" t="s">
        <v>195</v>
      </c>
      <c r="N546" t="s">
        <v>39</v>
      </c>
      <c r="O546" t="str">
        <f t="shared" si="48"/>
        <v>26/09/2025</v>
      </c>
      <c r="P546">
        <f t="shared" si="49"/>
        <v>2025</v>
      </c>
      <c r="Q546">
        <f t="shared" si="50"/>
        <v>9</v>
      </c>
      <c r="R546" t="str">
        <f t="shared" si="51"/>
        <v>September</v>
      </c>
      <c r="S546" t="str">
        <f t="shared" si="52"/>
        <v>No Discount</v>
      </c>
      <c r="T546" s="1">
        <f t="shared" si="53"/>
        <v>0.13123764333728746</v>
      </c>
      <c r="U546">
        <f>SUM($I$2:I546)</f>
        <v>1857111.5599999989</v>
      </c>
      <c r="V546" s="1">
        <f>Table1[[#This Row],[Running total ]]/SUM(I:I)</f>
        <v>0.53589255317020279</v>
      </c>
    </row>
    <row r="547" spans="1:22" x14ac:dyDescent="0.3">
      <c r="A547" t="s">
        <v>1209</v>
      </c>
      <c r="B547" t="s">
        <v>748</v>
      </c>
      <c r="C547" t="s">
        <v>556</v>
      </c>
      <c r="D547" t="s">
        <v>137</v>
      </c>
      <c r="E547" t="s">
        <v>138</v>
      </c>
      <c r="F547" t="s">
        <v>55</v>
      </c>
      <c r="G547" t="s">
        <v>98</v>
      </c>
      <c r="H547" t="s">
        <v>154</v>
      </c>
      <c r="I547">
        <v>1964.58</v>
      </c>
      <c r="J547">
        <v>2</v>
      </c>
      <c r="K547" s="1">
        <v>0.3</v>
      </c>
      <c r="L547">
        <v>-330.67</v>
      </c>
      <c r="M547" t="s">
        <v>143</v>
      </c>
      <c r="N547" t="s">
        <v>23</v>
      </c>
      <c r="O547" t="str">
        <f t="shared" si="48"/>
        <v>25/09/2025</v>
      </c>
      <c r="P547">
        <f t="shared" si="49"/>
        <v>2025</v>
      </c>
      <c r="Q547">
        <f t="shared" si="50"/>
        <v>9</v>
      </c>
      <c r="R547" t="str">
        <f t="shared" si="51"/>
        <v>September</v>
      </c>
      <c r="S547" t="str">
        <f t="shared" si="52"/>
        <v>Low</v>
      </c>
      <c r="T547" s="1">
        <f t="shared" si="53"/>
        <v>-0.1683158741308575</v>
      </c>
      <c r="U547">
        <f>SUM($I$2:I547)</f>
        <v>1859076.139999999</v>
      </c>
      <c r="V547" s="1">
        <f>Table1[[#This Row],[Running total ]]/SUM(I:I)</f>
        <v>0.53645945707343801</v>
      </c>
    </row>
    <row r="548" spans="1:22" x14ac:dyDescent="0.3">
      <c r="A548" t="s">
        <v>1210</v>
      </c>
      <c r="B548" t="s">
        <v>542</v>
      </c>
      <c r="C548" t="s">
        <v>153</v>
      </c>
      <c r="D548" t="s">
        <v>17</v>
      </c>
      <c r="E548" t="s">
        <v>54</v>
      </c>
      <c r="F548" t="s">
        <v>67</v>
      </c>
      <c r="G548" t="s">
        <v>85</v>
      </c>
      <c r="H548" t="s">
        <v>125</v>
      </c>
      <c r="I548">
        <v>1921.92</v>
      </c>
      <c r="J548">
        <v>8</v>
      </c>
      <c r="K548" s="1">
        <v>0</v>
      </c>
      <c r="L548">
        <v>470.38</v>
      </c>
      <c r="M548" t="s">
        <v>63</v>
      </c>
      <c r="N548" t="s">
        <v>39</v>
      </c>
      <c r="O548" t="str">
        <f t="shared" si="48"/>
        <v>20/06/2024</v>
      </c>
      <c r="P548">
        <f t="shared" si="49"/>
        <v>2024</v>
      </c>
      <c r="Q548">
        <f t="shared" si="50"/>
        <v>6</v>
      </c>
      <c r="R548" t="str">
        <f t="shared" si="51"/>
        <v>June</v>
      </c>
      <c r="S548" t="str">
        <f t="shared" si="52"/>
        <v>No Discount</v>
      </c>
      <c r="T548" s="1">
        <f t="shared" si="53"/>
        <v>0.2447448384948385</v>
      </c>
      <c r="U548">
        <f>SUM($I$2:I548)</f>
        <v>1860998.0599999989</v>
      </c>
      <c r="V548" s="1">
        <f>Table1[[#This Row],[Running total ]]/SUM(I:I)</f>
        <v>0.53701405090504861</v>
      </c>
    </row>
    <row r="549" spans="1:22" x14ac:dyDescent="0.3">
      <c r="A549" t="s">
        <v>1211</v>
      </c>
      <c r="B549" t="s">
        <v>1212</v>
      </c>
      <c r="C549" t="s">
        <v>402</v>
      </c>
      <c r="D549" t="s">
        <v>48</v>
      </c>
      <c r="E549" t="s">
        <v>73</v>
      </c>
      <c r="F549" t="s">
        <v>19</v>
      </c>
      <c r="G549" t="s">
        <v>29</v>
      </c>
      <c r="H549" t="s">
        <v>30</v>
      </c>
      <c r="I549">
        <v>366.1</v>
      </c>
      <c r="J549">
        <v>5</v>
      </c>
      <c r="K549" s="1">
        <v>0</v>
      </c>
      <c r="L549">
        <v>106.37</v>
      </c>
      <c r="M549" t="s">
        <v>117</v>
      </c>
      <c r="N549" t="s">
        <v>23</v>
      </c>
      <c r="O549" t="str">
        <f t="shared" si="48"/>
        <v>18/10/2025</v>
      </c>
      <c r="P549">
        <f t="shared" si="49"/>
        <v>2025</v>
      </c>
      <c r="Q549">
        <f t="shared" si="50"/>
        <v>10</v>
      </c>
      <c r="R549" t="str">
        <f t="shared" si="51"/>
        <v>October</v>
      </c>
      <c r="S549" t="str">
        <f t="shared" si="52"/>
        <v>No Discount</v>
      </c>
      <c r="T549" s="1">
        <f t="shared" si="53"/>
        <v>0.29054903031958479</v>
      </c>
      <c r="U549">
        <f>SUM($I$2:I549)</f>
        <v>1861364.159999999</v>
      </c>
      <c r="V549" s="1">
        <f>Table1[[#This Row],[Running total ]]/SUM(I:I)</f>
        <v>0.53711969359660328</v>
      </c>
    </row>
    <row r="550" spans="1:22" x14ac:dyDescent="0.3">
      <c r="A550" t="s">
        <v>1213</v>
      </c>
      <c r="B550" t="s">
        <v>377</v>
      </c>
      <c r="C550" t="s">
        <v>745</v>
      </c>
      <c r="D550" t="s">
        <v>27</v>
      </c>
      <c r="E550" t="s">
        <v>124</v>
      </c>
      <c r="F550" t="s">
        <v>55</v>
      </c>
      <c r="G550" t="s">
        <v>98</v>
      </c>
      <c r="H550" t="s">
        <v>150</v>
      </c>
      <c r="I550">
        <v>5232.2</v>
      </c>
      <c r="J550">
        <v>10</v>
      </c>
      <c r="K550" s="1">
        <v>0.1</v>
      </c>
      <c r="L550">
        <v>54.66</v>
      </c>
      <c r="M550" t="s">
        <v>117</v>
      </c>
      <c r="N550" t="s">
        <v>23</v>
      </c>
      <c r="O550" t="str">
        <f t="shared" si="48"/>
        <v>23/04/2024</v>
      </c>
      <c r="P550">
        <f t="shared" si="49"/>
        <v>2024</v>
      </c>
      <c r="Q550">
        <f t="shared" si="50"/>
        <v>4</v>
      </c>
      <c r="R550" t="str">
        <f t="shared" si="51"/>
        <v>April</v>
      </c>
      <c r="S550" t="str">
        <f t="shared" si="52"/>
        <v>Low</v>
      </c>
      <c r="T550" s="1">
        <f t="shared" si="53"/>
        <v>1.0446848362065671E-2</v>
      </c>
      <c r="U550">
        <f>SUM($I$2:I550)</f>
        <v>1866596.3599999989</v>
      </c>
      <c r="V550" s="1">
        <f>Table1[[#This Row],[Running total ]]/SUM(I:I)</f>
        <v>0.53862950974178792</v>
      </c>
    </row>
    <row r="551" spans="1:22" x14ac:dyDescent="0.3">
      <c r="A551" t="s">
        <v>1214</v>
      </c>
      <c r="B551" t="s">
        <v>1215</v>
      </c>
      <c r="C551" t="s">
        <v>640</v>
      </c>
      <c r="D551" t="s">
        <v>137</v>
      </c>
      <c r="E551" t="s">
        <v>160</v>
      </c>
      <c r="F551" t="s">
        <v>19</v>
      </c>
      <c r="G551" t="s">
        <v>20</v>
      </c>
      <c r="H551" t="s">
        <v>21</v>
      </c>
      <c r="I551">
        <v>2300.04</v>
      </c>
      <c r="J551">
        <v>9</v>
      </c>
      <c r="K551" s="1">
        <v>0.15</v>
      </c>
      <c r="L551">
        <v>41.67</v>
      </c>
      <c r="M551" t="s">
        <v>143</v>
      </c>
      <c r="N551" t="s">
        <v>76</v>
      </c>
      <c r="O551" t="str">
        <f t="shared" si="48"/>
        <v>26/08/2024</v>
      </c>
      <c r="P551">
        <f t="shared" si="49"/>
        <v>2024</v>
      </c>
      <c r="Q551">
        <f t="shared" si="50"/>
        <v>8</v>
      </c>
      <c r="R551" t="str">
        <f t="shared" si="51"/>
        <v>August</v>
      </c>
      <c r="S551" t="str">
        <f t="shared" si="52"/>
        <v>Low</v>
      </c>
      <c r="T551" s="1">
        <f t="shared" si="53"/>
        <v>1.811707622476131E-2</v>
      </c>
      <c r="U551">
        <f>SUM($I$2:I551)</f>
        <v>1868896.399999999</v>
      </c>
      <c r="V551" s="1">
        <f>Table1[[#This Row],[Running total ]]/SUM(I:I)</f>
        <v>0.5392932147849</v>
      </c>
    </row>
    <row r="552" spans="1:22" x14ac:dyDescent="0.3">
      <c r="A552" t="s">
        <v>1216</v>
      </c>
      <c r="B552" t="s">
        <v>913</v>
      </c>
      <c r="C552" t="s">
        <v>319</v>
      </c>
      <c r="D552" t="s">
        <v>48</v>
      </c>
      <c r="E552" t="s">
        <v>110</v>
      </c>
      <c r="F552" t="s">
        <v>67</v>
      </c>
      <c r="G552" t="s">
        <v>115</v>
      </c>
      <c r="H552" t="s">
        <v>212</v>
      </c>
      <c r="I552">
        <v>713.92</v>
      </c>
      <c r="J552">
        <v>4</v>
      </c>
      <c r="K552" s="1">
        <v>0.3</v>
      </c>
      <c r="L552">
        <v>-81.11</v>
      </c>
      <c r="M552" t="s">
        <v>195</v>
      </c>
      <c r="N552" t="s">
        <v>23</v>
      </c>
      <c r="O552" t="str">
        <f t="shared" si="48"/>
        <v>24/10/2025</v>
      </c>
      <c r="P552">
        <f t="shared" si="49"/>
        <v>2025</v>
      </c>
      <c r="Q552">
        <f t="shared" si="50"/>
        <v>10</v>
      </c>
      <c r="R552" t="str">
        <f t="shared" si="51"/>
        <v>October</v>
      </c>
      <c r="S552" t="str">
        <f t="shared" si="52"/>
        <v>Low</v>
      </c>
      <c r="T552" s="1">
        <f t="shared" si="53"/>
        <v>-0.11361216943074855</v>
      </c>
      <c r="U552">
        <f>SUM($I$2:I552)</f>
        <v>1869610.3199999989</v>
      </c>
      <c r="V552" s="1">
        <f>Table1[[#This Row],[Running total ]]/SUM(I:I)</f>
        <v>0.53949922524749128</v>
      </c>
    </row>
    <row r="553" spans="1:22" x14ac:dyDescent="0.3">
      <c r="A553" t="s">
        <v>1217</v>
      </c>
      <c r="B553" t="s">
        <v>1218</v>
      </c>
      <c r="C553" t="s">
        <v>271</v>
      </c>
      <c r="D553" t="s">
        <v>17</v>
      </c>
      <c r="E553" t="s">
        <v>97</v>
      </c>
      <c r="F553" t="s">
        <v>19</v>
      </c>
      <c r="G553" t="s">
        <v>20</v>
      </c>
      <c r="H553" t="s">
        <v>347</v>
      </c>
      <c r="I553">
        <v>9642</v>
      </c>
      <c r="J553">
        <v>10</v>
      </c>
      <c r="K553" s="1">
        <v>0.05</v>
      </c>
      <c r="L553">
        <v>3118.83</v>
      </c>
      <c r="M553" t="s">
        <v>117</v>
      </c>
      <c r="N553" t="s">
        <v>32</v>
      </c>
      <c r="O553" t="str">
        <f t="shared" si="48"/>
        <v>06/09/2024</v>
      </c>
      <c r="P553">
        <f t="shared" si="49"/>
        <v>2024</v>
      </c>
      <c r="Q553">
        <f t="shared" si="50"/>
        <v>9</v>
      </c>
      <c r="R553" t="str">
        <f t="shared" si="51"/>
        <v>September</v>
      </c>
      <c r="S553" t="str">
        <f t="shared" si="52"/>
        <v>High</v>
      </c>
      <c r="T553" s="1">
        <f t="shared" si="53"/>
        <v>0.32346297448662104</v>
      </c>
      <c r="U553">
        <f>SUM($I$2:I553)</f>
        <v>1879252.3199999989</v>
      </c>
      <c r="V553" s="1">
        <f>Table1[[#This Row],[Running total ]]/SUM(I:I)</f>
        <v>0.54228154382703153</v>
      </c>
    </row>
    <row r="554" spans="1:22" x14ac:dyDescent="0.3">
      <c r="A554" t="s">
        <v>1219</v>
      </c>
      <c r="B554" t="s">
        <v>1220</v>
      </c>
      <c r="C554" t="s">
        <v>766</v>
      </c>
      <c r="D554" t="s">
        <v>17</v>
      </c>
      <c r="E554" t="s">
        <v>54</v>
      </c>
      <c r="F554" t="s">
        <v>55</v>
      </c>
      <c r="G554" t="s">
        <v>56</v>
      </c>
      <c r="H554" t="s">
        <v>62</v>
      </c>
      <c r="I554">
        <v>6976.6</v>
      </c>
      <c r="J554">
        <v>10</v>
      </c>
      <c r="K554" s="1">
        <v>0.1</v>
      </c>
      <c r="L554">
        <v>104.48</v>
      </c>
      <c r="M554" t="s">
        <v>117</v>
      </c>
      <c r="N554" t="s">
        <v>32</v>
      </c>
      <c r="O554" t="str">
        <f t="shared" si="48"/>
        <v>30/11/2024</v>
      </c>
      <c r="P554">
        <f t="shared" si="49"/>
        <v>2024</v>
      </c>
      <c r="Q554">
        <f t="shared" si="50"/>
        <v>11</v>
      </c>
      <c r="R554" t="str">
        <f t="shared" si="51"/>
        <v>November</v>
      </c>
      <c r="S554" t="str">
        <f t="shared" si="52"/>
        <v>Low</v>
      </c>
      <c r="T554" s="1">
        <f t="shared" si="53"/>
        <v>1.4975776166040764E-2</v>
      </c>
      <c r="U554">
        <f>SUM($I$2:I554)</f>
        <v>1886228.919999999</v>
      </c>
      <c r="V554" s="1">
        <f>Table1[[#This Row],[Running total ]]/SUM(I:I)</f>
        <v>0.54429472820807501</v>
      </c>
    </row>
    <row r="555" spans="1:22" x14ac:dyDescent="0.3">
      <c r="A555" t="s">
        <v>1221</v>
      </c>
      <c r="B555" t="s">
        <v>431</v>
      </c>
      <c r="C555" t="s">
        <v>60</v>
      </c>
      <c r="D555" t="s">
        <v>27</v>
      </c>
      <c r="E555" t="s">
        <v>28</v>
      </c>
      <c r="F555" t="s">
        <v>67</v>
      </c>
      <c r="G555" t="s">
        <v>115</v>
      </c>
      <c r="H555" t="s">
        <v>178</v>
      </c>
      <c r="I555">
        <v>730.54</v>
      </c>
      <c r="J555">
        <v>1</v>
      </c>
      <c r="K555" s="1">
        <v>0.3</v>
      </c>
      <c r="L555">
        <v>-52.12</v>
      </c>
      <c r="M555" t="s">
        <v>63</v>
      </c>
      <c r="N555" t="s">
        <v>39</v>
      </c>
      <c r="O555" t="str">
        <f t="shared" si="48"/>
        <v>05/04/2025</v>
      </c>
      <c r="P555">
        <f t="shared" si="49"/>
        <v>2025</v>
      </c>
      <c r="Q555">
        <f t="shared" si="50"/>
        <v>4</v>
      </c>
      <c r="R555" t="str">
        <f t="shared" si="51"/>
        <v>April</v>
      </c>
      <c r="S555" t="str">
        <f t="shared" si="52"/>
        <v>Low</v>
      </c>
      <c r="T555" s="1">
        <f t="shared" si="53"/>
        <v>-7.1344484901579658E-2</v>
      </c>
      <c r="U555">
        <f>SUM($I$2:I555)</f>
        <v>1886959.459999999</v>
      </c>
      <c r="V555" s="1">
        <f>Table1[[#This Row],[Running total ]]/SUM(I:I)</f>
        <v>0.5445055345776143</v>
      </c>
    </row>
    <row r="556" spans="1:22" x14ac:dyDescent="0.3">
      <c r="A556" t="s">
        <v>1222</v>
      </c>
      <c r="B556" t="s">
        <v>1223</v>
      </c>
      <c r="C556" t="s">
        <v>932</v>
      </c>
      <c r="D556" t="s">
        <v>137</v>
      </c>
      <c r="E556" t="s">
        <v>160</v>
      </c>
      <c r="F556" t="s">
        <v>19</v>
      </c>
      <c r="G556" t="s">
        <v>29</v>
      </c>
      <c r="H556" t="s">
        <v>199</v>
      </c>
      <c r="I556">
        <v>11849.4</v>
      </c>
      <c r="J556">
        <v>10</v>
      </c>
      <c r="K556" s="1">
        <v>0.05</v>
      </c>
      <c r="L556">
        <v>3045.5</v>
      </c>
      <c r="M556" t="s">
        <v>38</v>
      </c>
      <c r="N556" t="s">
        <v>76</v>
      </c>
      <c r="O556" t="str">
        <f t="shared" si="48"/>
        <v>01/06/2025</v>
      </c>
      <c r="P556">
        <f t="shared" si="49"/>
        <v>2025</v>
      </c>
      <c r="Q556">
        <f t="shared" si="50"/>
        <v>6</v>
      </c>
      <c r="R556" t="str">
        <f t="shared" si="51"/>
        <v>June</v>
      </c>
      <c r="S556" t="str">
        <f t="shared" si="52"/>
        <v>High</v>
      </c>
      <c r="T556" s="1">
        <f t="shared" si="53"/>
        <v>0.25701723294006451</v>
      </c>
      <c r="U556">
        <f>SUM($I$2:I556)</f>
        <v>1898808.8599999989</v>
      </c>
      <c r="V556" s="1">
        <f>Table1[[#This Row],[Running total ]]/SUM(I:I)</f>
        <v>0.54792482578031132</v>
      </c>
    </row>
    <row r="557" spans="1:22" x14ac:dyDescent="0.3">
      <c r="A557" t="s">
        <v>1224</v>
      </c>
      <c r="B557" t="s">
        <v>1129</v>
      </c>
      <c r="C557" t="s">
        <v>911</v>
      </c>
      <c r="D557" t="s">
        <v>27</v>
      </c>
      <c r="E557" t="s">
        <v>43</v>
      </c>
      <c r="F557" t="s">
        <v>67</v>
      </c>
      <c r="G557" t="s">
        <v>115</v>
      </c>
      <c r="H557" t="s">
        <v>178</v>
      </c>
      <c r="I557">
        <v>5109.68</v>
      </c>
      <c r="J557">
        <v>8</v>
      </c>
      <c r="K557" s="1">
        <v>0.15</v>
      </c>
      <c r="L557">
        <v>1053.33</v>
      </c>
      <c r="M557" t="s">
        <v>117</v>
      </c>
      <c r="N557" t="s">
        <v>76</v>
      </c>
      <c r="O557" t="str">
        <f t="shared" si="48"/>
        <v>12/03/2024</v>
      </c>
      <c r="P557">
        <f t="shared" si="49"/>
        <v>2024</v>
      </c>
      <c r="Q557">
        <f t="shared" si="50"/>
        <v>3</v>
      </c>
      <c r="R557" t="str">
        <f t="shared" si="51"/>
        <v>March</v>
      </c>
      <c r="S557" t="str">
        <f t="shared" si="52"/>
        <v>Low</v>
      </c>
      <c r="T557" s="1">
        <f t="shared" si="53"/>
        <v>0.206144024674735</v>
      </c>
      <c r="U557">
        <f>SUM($I$2:I557)</f>
        <v>1903918.5399999989</v>
      </c>
      <c r="V557" s="1">
        <f>Table1[[#This Row],[Running total ]]/SUM(I:I)</f>
        <v>0.54939928726128062</v>
      </c>
    </row>
    <row r="558" spans="1:22" x14ac:dyDescent="0.3">
      <c r="A558" t="s">
        <v>1225</v>
      </c>
      <c r="B558" t="s">
        <v>1226</v>
      </c>
      <c r="C558" t="s">
        <v>851</v>
      </c>
      <c r="D558" t="s">
        <v>48</v>
      </c>
      <c r="E558" t="s">
        <v>84</v>
      </c>
      <c r="F558" t="s">
        <v>55</v>
      </c>
      <c r="G558" t="s">
        <v>56</v>
      </c>
      <c r="H558" t="s">
        <v>62</v>
      </c>
      <c r="I558">
        <v>3538.53</v>
      </c>
      <c r="J558">
        <v>9</v>
      </c>
      <c r="K558" s="1">
        <v>0.05</v>
      </c>
      <c r="L558">
        <v>1201.26</v>
      </c>
      <c r="M558" t="s">
        <v>63</v>
      </c>
      <c r="N558" t="s">
        <v>32</v>
      </c>
      <c r="O558" t="str">
        <f t="shared" si="48"/>
        <v>24/09/2024</v>
      </c>
      <c r="P558">
        <f t="shared" si="49"/>
        <v>2024</v>
      </c>
      <c r="Q558">
        <f t="shared" si="50"/>
        <v>9</v>
      </c>
      <c r="R558" t="str">
        <f t="shared" si="51"/>
        <v>September</v>
      </c>
      <c r="S558" t="str">
        <f t="shared" si="52"/>
        <v>High</v>
      </c>
      <c r="T558" s="1">
        <f t="shared" si="53"/>
        <v>0.3394799535400293</v>
      </c>
      <c r="U558">
        <f>SUM($I$2:I558)</f>
        <v>1907457.0699999989</v>
      </c>
      <c r="V558" s="1">
        <f>Table1[[#This Row],[Running total ]]/SUM(I:I)</f>
        <v>0.55042037394073096</v>
      </c>
    </row>
    <row r="559" spans="1:22" x14ac:dyDescent="0.3">
      <c r="A559" t="s">
        <v>1227</v>
      </c>
      <c r="B559" t="s">
        <v>1228</v>
      </c>
      <c r="C559" t="s">
        <v>994</v>
      </c>
      <c r="D559" t="s">
        <v>137</v>
      </c>
      <c r="E559" t="s">
        <v>142</v>
      </c>
      <c r="F559" t="s">
        <v>67</v>
      </c>
      <c r="G559" t="s">
        <v>85</v>
      </c>
      <c r="H559" t="s">
        <v>125</v>
      </c>
      <c r="I559">
        <v>329.82</v>
      </c>
      <c r="J559">
        <v>3</v>
      </c>
      <c r="K559" s="1">
        <v>0.3</v>
      </c>
      <c r="L559">
        <v>46.13</v>
      </c>
      <c r="M559" t="s">
        <v>38</v>
      </c>
      <c r="N559" t="s">
        <v>23</v>
      </c>
      <c r="O559" t="str">
        <f t="shared" si="48"/>
        <v>14/08/2024</v>
      </c>
      <c r="P559">
        <f t="shared" si="49"/>
        <v>2024</v>
      </c>
      <c r="Q559">
        <f t="shared" si="50"/>
        <v>8</v>
      </c>
      <c r="R559" t="str">
        <f t="shared" si="51"/>
        <v>August</v>
      </c>
      <c r="S559" t="str">
        <f t="shared" si="52"/>
        <v>Low</v>
      </c>
      <c r="T559" s="1">
        <f t="shared" si="53"/>
        <v>0.13986416833424292</v>
      </c>
      <c r="U559">
        <f>SUM($I$2:I559)</f>
        <v>1907786.889999999</v>
      </c>
      <c r="V559" s="1">
        <f>Table1[[#This Row],[Running total ]]/SUM(I:I)</f>
        <v>0.55051554758871935</v>
      </c>
    </row>
    <row r="560" spans="1:22" x14ac:dyDescent="0.3">
      <c r="A560" t="s">
        <v>1229</v>
      </c>
      <c r="B560" t="s">
        <v>649</v>
      </c>
      <c r="C560" t="s">
        <v>498</v>
      </c>
      <c r="D560" t="s">
        <v>27</v>
      </c>
      <c r="E560" t="s">
        <v>61</v>
      </c>
      <c r="F560" t="s">
        <v>55</v>
      </c>
      <c r="G560" t="s">
        <v>98</v>
      </c>
      <c r="H560" t="s">
        <v>99</v>
      </c>
      <c r="I560">
        <v>7660</v>
      </c>
      <c r="J560">
        <v>10</v>
      </c>
      <c r="K560" s="1">
        <v>0.3</v>
      </c>
      <c r="L560">
        <v>-782</v>
      </c>
      <c r="M560" t="s">
        <v>22</v>
      </c>
      <c r="N560" t="s">
        <v>39</v>
      </c>
      <c r="O560" t="str">
        <f t="shared" si="48"/>
        <v>19/06/2025</v>
      </c>
      <c r="P560">
        <f t="shared" si="49"/>
        <v>2025</v>
      </c>
      <c r="Q560">
        <f t="shared" si="50"/>
        <v>6</v>
      </c>
      <c r="R560" t="str">
        <f t="shared" si="51"/>
        <v>June</v>
      </c>
      <c r="S560" t="str">
        <f t="shared" si="52"/>
        <v>Low</v>
      </c>
      <c r="T560" s="1">
        <f t="shared" si="53"/>
        <v>-0.102088772845953</v>
      </c>
      <c r="U560">
        <f>SUM($I$2:I560)</f>
        <v>1915446.889999999</v>
      </c>
      <c r="V560" s="1">
        <f>Table1[[#This Row],[Running total ]]/SUM(I:I)</f>
        <v>0.5527259355081634</v>
      </c>
    </row>
    <row r="561" spans="1:22" x14ac:dyDescent="0.3">
      <c r="A561" t="s">
        <v>1230</v>
      </c>
      <c r="B561" t="s">
        <v>1231</v>
      </c>
      <c r="C561" t="s">
        <v>159</v>
      </c>
      <c r="D561" t="s">
        <v>17</v>
      </c>
      <c r="E561" t="s">
        <v>54</v>
      </c>
      <c r="F561" t="s">
        <v>67</v>
      </c>
      <c r="G561" t="s">
        <v>68</v>
      </c>
      <c r="H561" t="s">
        <v>382</v>
      </c>
      <c r="I561">
        <v>6266.26</v>
      </c>
      <c r="J561">
        <v>7</v>
      </c>
      <c r="K561" s="1">
        <v>0.3</v>
      </c>
      <c r="L561">
        <v>922.6</v>
      </c>
      <c r="M561" t="s">
        <v>31</v>
      </c>
      <c r="N561" t="s">
        <v>32</v>
      </c>
      <c r="O561" t="str">
        <f t="shared" si="48"/>
        <v>11/02/2025</v>
      </c>
      <c r="P561">
        <f t="shared" si="49"/>
        <v>2025</v>
      </c>
      <c r="Q561">
        <f t="shared" si="50"/>
        <v>2</v>
      </c>
      <c r="R561" t="str">
        <f t="shared" si="51"/>
        <v>February</v>
      </c>
      <c r="S561" t="str">
        <f t="shared" si="52"/>
        <v>Low</v>
      </c>
      <c r="T561" s="1">
        <f t="shared" si="53"/>
        <v>0.14723295873455619</v>
      </c>
      <c r="U561">
        <f>SUM($I$2:I561)</f>
        <v>1921713.149999999</v>
      </c>
      <c r="V561" s="1">
        <f>Table1[[#This Row],[Running total ]]/SUM(I:I)</f>
        <v>0.55453414247997734</v>
      </c>
    </row>
    <row r="562" spans="1:22" x14ac:dyDescent="0.3">
      <c r="A562" t="s">
        <v>1232</v>
      </c>
      <c r="B562" t="s">
        <v>996</v>
      </c>
      <c r="C562" t="s">
        <v>646</v>
      </c>
      <c r="D562" t="s">
        <v>48</v>
      </c>
      <c r="E562" t="s">
        <v>110</v>
      </c>
      <c r="F562" t="s">
        <v>55</v>
      </c>
      <c r="G562" t="s">
        <v>98</v>
      </c>
      <c r="H562" t="s">
        <v>99</v>
      </c>
      <c r="I562">
        <v>541.08000000000004</v>
      </c>
      <c r="J562">
        <v>1</v>
      </c>
      <c r="K562" s="1">
        <v>0.1</v>
      </c>
      <c r="L562">
        <v>108.78</v>
      </c>
      <c r="M562" t="s">
        <v>195</v>
      </c>
      <c r="N562" t="s">
        <v>23</v>
      </c>
      <c r="O562" t="str">
        <f t="shared" si="48"/>
        <v>04/07/2025</v>
      </c>
      <c r="P562">
        <f t="shared" si="49"/>
        <v>2025</v>
      </c>
      <c r="Q562">
        <f t="shared" si="50"/>
        <v>7</v>
      </c>
      <c r="R562" t="str">
        <f t="shared" si="51"/>
        <v>July</v>
      </c>
      <c r="S562" t="str">
        <f t="shared" si="52"/>
        <v>Low</v>
      </c>
      <c r="T562" s="1">
        <f t="shared" si="53"/>
        <v>0.20104235972499443</v>
      </c>
      <c r="U562">
        <f>SUM($I$2:I562)</f>
        <v>1922254.2299999991</v>
      </c>
      <c r="V562" s="1">
        <f>Table1[[#This Row],[Running total ]]/SUM(I:I)</f>
        <v>0.55469027781880931</v>
      </c>
    </row>
    <row r="563" spans="1:22" x14ac:dyDescent="0.3">
      <c r="A563" t="s">
        <v>1233</v>
      </c>
      <c r="B563" t="s">
        <v>863</v>
      </c>
      <c r="C563" t="s">
        <v>1234</v>
      </c>
      <c r="D563" t="s">
        <v>48</v>
      </c>
      <c r="E563" t="s">
        <v>110</v>
      </c>
      <c r="F563" t="s">
        <v>19</v>
      </c>
      <c r="G563" t="s">
        <v>29</v>
      </c>
      <c r="H563" t="s">
        <v>50</v>
      </c>
      <c r="I563">
        <v>6984.72</v>
      </c>
      <c r="J563">
        <v>6</v>
      </c>
      <c r="K563" s="1">
        <v>0</v>
      </c>
      <c r="L563">
        <v>2118.85</v>
      </c>
      <c r="M563" t="s">
        <v>143</v>
      </c>
      <c r="N563" t="s">
        <v>32</v>
      </c>
      <c r="O563" t="str">
        <f t="shared" si="48"/>
        <v>29/09/2024</v>
      </c>
      <c r="P563">
        <f t="shared" si="49"/>
        <v>2024</v>
      </c>
      <c r="Q563">
        <f t="shared" si="50"/>
        <v>9</v>
      </c>
      <c r="R563" t="str">
        <f t="shared" si="51"/>
        <v>September</v>
      </c>
      <c r="S563" t="str">
        <f t="shared" si="52"/>
        <v>No Discount</v>
      </c>
      <c r="T563" s="1">
        <f t="shared" si="53"/>
        <v>0.30335503785405854</v>
      </c>
      <c r="U563">
        <f>SUM($I$2:I563)</f>
        <v>1929238.949999999</v>
      </c>
      <c r="V563" s="1">
        <f>Table1[[#This Row],[Running total ]]/SUM(I:I)</f>
        <v>0.55670580532647229</v>
      </c>
    </row>
    <row r="564" spans="1:22" x14ac:dyDescent="0.3">
      <c r="A564" t="s">
        <v>1235</v>
      </c>
      <c r="B564" t="s">
        <v>503</v>
      </c>
      <c r="C564" t="s">
        <v>249</v>
      </c>
      <c r="D564" t="s">
        <v>137</v>
      </c>
      <c r="E564" t="s">
        <v>160</v>
      </c>
      <c r="F564" t="s">
        <v>19</v>
      </c>
      <c r="G564" t="s">
        <v>29</v>
      </c>
      <c r="H564" t="s">
        <v>50</v>
      </c>
      <c r="I564">
        <v>656.9</v>
      </c>
      <c r="J564">
        <v>5</v>
      </c>
      <c r="K564" s="1">
        <v>0.05</v>
      </c>
      <c r="L564">
        <v>242.98</v>
      </c>
      <c r="M564" t="s">
        <v>117</v>
      </c>
      <c r="N564" t="s">
        <v>39</v>
      </c>
      <c r="O564" t="str">
        <f t="shared" si="48"/>
        <v>07/01/2025</v>
      </c>
      <c r="P564">
        <f t="shared" si="49"/>
        <v>2025</v>
      </c>
      <c r="Q564">
        <f t="shared" si="50"/>
        <v>1</v>
      </c>
      <c r="R564" t="str">
        <f t="shared" si="51"/>
        <v>January</v>
      </c>
      <c r="S564" t="str">
        <f t="shared" si="52"/>
        <v>High</v>
      </c>
      <c r="T564" s="1">
        <f t="shared" si="53"/>
        <v>0.36988887197442533</v>
      </c>
      <c r="U564">
        <f>SUM($I$2:I564)</f>
        <v>1929895.8499999989</v>
      </c>
      <c r="V564" s="1">
        <f>Table1[[#This Row],[Running total ]]/SUM(I:I)</f>
        <v>0.55689536196149614</v>
      </c>
    </row>
    <row r="565" spans="1:22" x14ac:dyDescent="0.3">
      <c r="A565" t="s">
        <v>1236</v>
      </c>
      <c r="B565" t="s">
        <v>1237</v>
      </c>
      <c r="C565" t="s">
        <v>218</v>
      </c>
      <c r="D565" t="s">
        <v>137</v>
      </c>
      <c r="E565" t="s">
        <v>242</v>
      </c>
      <c r="F565" t="s">
        <v>55</v>
      </c>
      <c r="G565" t="s">
        <v>74</v>
      </c>
      <c r="H565" t="s">
        <v>272</v>
      </c>
      <c r="I565">
        <v>4073.23</v>
      </c>
      <c r="J565">
        <v>7</v>
      </c>
      <c r="K565" s="1">
        <v>0.25</v>
      </c>
      <c r="L565">
        <v>-342.41</v>
      </c>
      <c r="M565" t="s">
        <v>63</v>
      </c>
      <c r="N565" t="s">
        <v>39</v>
      </c>
      <c r="O565" t="str">
        <f t="shared" si="48"/>
        <v>01/04/2025</v>
      </c>
      <c r="P565">
        <f t="shared" si="49"/>
        <v>2025</v>
      </c>
      <c r="Q565">
        <f t="shared" si="50"/>
        <v>4</v>
      </c>
      <c r="R565" t="str">
        <f t="shared" si="51"/>
        <v>April</v>
      </c>
      <c r="S565" t="str">
        <f t="shared" si="52"/>
        <v>Low</v>
      </c>
      <c r="T565" s="1">
        <f t="shared" si="53"/>
        <v>-8.4063507339384225E-2</v>
      </c>
      <c r="U565">
        <f>SUM($I$2:I565)</f>
        <v>1933969.0799999989</v>
      </c>
      <c r="V565" s="1">
        <f>Table1[[#This Row],[Running total ]]/SUM(I:I)</f>
        <v>0.55807074295172032</v>
      </c>
    </row>
    <row r="566" spans="1:22" x14ac:dyDescent="0.3">
      <c r="A566" t="s">
        <v>1238</v>
      </c>
      <c r="B566" t="s">
        <v>1153</v>
      </c>
      <c r="C566" t="s">
        <v>218</v>
      </c>
      <c r="D566" t="s">
        <v>48</v>
      </c>
      <c r="E566" t="s">
        <v>49</v>
      </c>
      <c r="F566" t="s">
        <v>67</v>
      </c>
      <c r="G566" t="s">
        <v>115</v>
      </c>
      <c r="H566" t="s">
        <v>116</v>
      </c>
      <c r="I566">
        <v>2134.12</v>
      </c>
      <c r="J566">
        <v>2</v>
      </c>
      <c r="K566" s="1">
        <v>0.2</v>
      </c>
      <c r="L566">
        <v>64.67</v>
      </c>
      <c r="M566" t="s">
        <v>38</v>
      </c>
      <c r="N566" t="s">
        <v>23</v>
      </c>
      <c r="O566" t="str">
        <f t="shared" si="48"/>
        <v>10/06/2024</v>
      </c>
      <c r="P566">
        <f t="shared" si="49"/>
        <v>2024</v>
      </c>
      <c r="Q566">
        <f t="shared" si="50"/>
        <v>6</v>
      </c>
      <c r="R566" t="str">
        <f t="shared" si="51"/>
        <v>June</v>
      </c>
      <c r="S566" t="str">
        <f t="shared" si="52"/>
        <v>Low</v>
      </c>
      <c r="T566" s="1">
        <f t="shared" si="53"/>
        <v>3.0302888309935713E-2</v>
      </c>
      <c r="U566">
        <f>SUM($I$2:I566)</f>
        <v>1936103.199999999</v>
      </c>
      <c r="V566" s="1">
        <f>Table1[[#This Row],[Running total ]]/SUM(I:I)</f>
        <v>0.5586865697228226</v>
      </c>
    </row>
    <row r="567" spans="1:22" x14ac:dyDescent="0.3">
      <c r="A567" t="s">
        <v>1239</v>
      </c>
      <c r="B567" t="s">
        <v>922</v>
      </c>
      <c r="C567" t="s">
        <v>452</v>
      </c>
      <c r="D567" t="s">
        <v>137</v>
      </c>
      <c r="E567" t="s">
        <v>242</v>
      </c>
      <c r="F567" t="s">
        <v>19</v>
      </c>
      <c r="G567" t="s">
        <v>20</v>
      </c>
      <c r="H567" t="s">
        <v>21</v>
      </c>
      <c r="I567">
        <v>3297.12</v>
      </c>
      <c r="J567">
        <v>8</v>
      </c>
      <c r="K567" s="1">
        <v>0</v>
      </c>
      <c r="L567">
        <v>1153.0999999999999</v>
      </c>
      <c r="M567" t="s">
        <v>31</v>
      </c>
      <c r="N567" t="s">
        <v>39</v>
      </c>
      <c r="O567" t="str">
        <f t="shared" si="48"/>
        <v>23/02/2024</v>
      </c>
      <c r="P567">
        <f t="shared" si="49"/>
        <v>2024</v>
      </c>
      <c r="Q567">
        <f t="shared" si="50"/>
        <v>2</v>
      </c>
      <c r="R567" t="str">
        <f t="shared" si="51"/>
        <v>February</v>
      </c>
      <c r="S567" t="str">
        <f t="shared" si="52"/>
        <v>No Discount</v>
      </c>
      <c r="T567" s="1">
        <f t="shared" si="53"/>
        <v>0.34972946086281359</v>
      </c>
      <c r="U567">
        <f>SUM($I$2:I567)</f>
        <v>1939400.3199999991</v>
      </c>
      <c r="V567" s="1">
        <f>Table1[[#This Row],[Running total ]]/SUM(I:I)</f>
        <v>0.55963799455532359</v>
      </c>
    </row>
    <row r="568" spans="1:22" x14ac:dyDescent="0.3">
      <c r="A568" t="s">
        <v>1240</v>
      </c>
      <c r="B568" t="s">
        <v>576</v>
      </c>
      <c r="C568" t="s">
        <v>159</v>
      </c>
      <c r="D568" t="s">
        <v>137</v>
      </c>
      <c r="E568" t="s">
        <v>138</v>
      </c>
      <c r="F568" t="s">
        <v>67</v>
      </c>
      <c r="G568" t="s">
        <v>85</v>
      </c>
      <c r="H568" t="s">
        <v>253</v>
      </c>
      <c r="I568">
        <v>2884.64</v>
      </c>
      <c r="J568">
        <v>4</v>
      </c>
      <c r="K568" s="1">
        <v>0</v>
      </c>
      <c r="L568">
        <v>734.3</v>
      </c>
      <c r="M568" t="s">
        <v>44</v>
      </c>
      <c r="N568" t="s">
        <v>39</v>
      </c>
      <c r="O568" t="str">
        <f t="shared" si="48"/>
        <v>10/10/2024</v>
      </c>
      <c r="P568">
        <f t="shared" si="49"/>
        <v>2024</v>
      </c>
      <c r="Q568">
        <f t="shared" si="50"/>
        <v>10</v>
      </c>
      <c r="R568" t="str">
        <f t="shared" si="51"/>
        <v>October</v>
      </c>
      <c r="S568" t="str">
        <f t="shared" si="52"/>
        <v>No Discount</v>
      </c>
      <c r="T568" s="1">
        <f t="shared" si="53"/>
        <v>0.25455516112929172</v>
      </c>
      <c r="U568">
        <f>SUM($I$2:I568)</f>
        <v>1942284.959999999</v>
      </c>
      <c r="V568" s="1">
        <f>Table1[[#This Row],[Running total ]]/SUM(I:I)</f>
        <v>0.56047039317254876</v>
      </c>
    </row>
    <row r="569" spans="1:22" x14ac:dyDescent="0.3">
      <c r="A569" t="s">
        <v>1241</v>
      </c>
      <c r="B569" t="s">
        <v>457</v>
      </c>
      <c r="C569" t="s">
        <v>192</v>
      </c>
      <c r="D569" t="s">
        <v>48</v>
      </c>
      <c r="E569" t="s">
        <v>110</v>
      </c>
      <c r="F569" t="s">
        <v>19</v>
      </c>
      <c r="G569" t="s">
        <v>20</v>
      </c>
      <c r="H569" t="s">
        <v>239</v>
      </c>
      <c r="I569">
        <v>2458.56</v>
      </c>
      <c r="J569">
        <v>6</v>
      </c>
      <c r="K569" s="1">
        <v>0.2</v>
      </c>
      <c r="L569">
        <v>-193.21</v>
      </c>
      <c r="M569" t="s">
        <v>22</v>
      </c>
      <c r="N569" t="s">
        <v>76</v>
      </c>
      <c r="O569" t="str">
        <f t="shared" si="48"/>
        <v>26/04/2025</v>
      </c>
      <c r="P569">
        <f t="shared" si="49"/>
        <v>2025</v>
      </c>
      <c r="Q569">
        <f t="shared" si="50"/>
        <v>4</v>
      </c>
      <c r="R569" t="str">
        <f t="shared" si="51"/>
        <v>April</v>
      </c>
      <c r="S569" t="str">
        <f t="shared" si="52"/>
        <v>Low</v>
      </c>
      <c r="T569" s="1">
        <f t="shared" si="53"/>
        <v>-7.8586652349342714E-2</v>
      </c>
      <c r="U569">
        <f>SUM($I$2:I569)</f>
        <v>1944743.5199999991</v>
      </c>
      <c r="V569" s="1">
        <f>Table1[[#This Row],[Running total ]]/SUM(I:I)</f>
        <v>0.56117984112597274</v>
      </c>
    </row>
    <row r="570" spans="1:22" x14ac:dyDescent="0.3">
      <c r="A570" t="s">
        <v>1242</v>
      </c>
      <c r="B570" t="s">
        <v>1243</v>
      </c>
      <c r="C570" t="s">
        <v>146</v>
      </c>
      <c r="D570" t="s">
        <v>27</v>
      </c>
      <c r="E570" t="s">
        <v>43</v>
      </c>
      <c r="F570" t="s">
        <v>19</v>
      </c>
      <c r="G570" t="s">
        <v>20</v>
      </c>
      <c r="H570" t="s">
        <v>239</v>
      </c>
      <c r="I570">
        <v>2110.1999999999998</v>
      </c>
      <c r="J570">
        <v>6</v>
      </c>
      <c r="K570" s="1">
        <v>0.05</v>
      </c>
      <c r="L570">
        <v>648.38</v>
      </c>
      <c r="M570" t="s">
        <v>63</v>
      </c>
      <c r="N570" t="s">
        <v>39</v>
      </c>
      <c r="O570" t="str">
        <f t="shared" si="48"/>
        <v>24/11/2025</v>
      </c>
      <c r="P570">
        <f t="shared" si="49"/>
        <v>2025</v>
      </c>
      <c r="Q570">
        <f t="shared" si="50"/>
        <v>11</v>
      </c>
      <c r="R570" t="str">
        <f t="shared" si="51"/>
        <v>November</v>
      </c>
      <c r="S570" t="str">
        <f t="shared" si="52"/>
        <v>High</v>
      </c>
      <c r="T570" s="1">
        <f t="shared" si="53"/>
        <v>0.30725997535778604</v>
      </c>
      <c r="U570">
        <f>SUM($I$2:I570)</f>
        <v>1946853.719999999</v>
      </c>
      <c r="V570" s="1">
        <f>Table1[[#This Row],[Running total ]]/SUM(I:I)</f>
        <v>0.56178876548466872</v>
      </c>
    </row>
    <row r="571" spans="1:22" x14ac:dyDescent="0.3">
      <c r="A571" t="s">
        <v>1244</v>
      </c>
      <c r="B571" t="s">
        <v>854</v>
      </c>
      <c r="C571" t="s">
        <v>540</v>
      </c>
      <c r="D571" t="s">
        <v>48</v>
      </c>
      <c r="E571" t="s">
        <v>110</v>
      </c>
      <c r="F571" t="s">
        <v>55</v>
      </c>
      <c r="G571" t="s">
        <v>56</v>
      </c>
      <c r="H571" t="s">
        <v>129</v>
      </c>
      <c r="I571">
        <v>2165.15</v>
      </c>
      <c r="J571">
        <v>5</v>
      </c>
      <c r="K571" s="1">
        <v>0.05</v>
      </c>
      <c r="L571">
        <v>125</v>
      </c>
      <c r="M571" t="s">
        <v>44</v>
      </c>
      <c r="N571" t="s">
        <v>39</v>
      </c>
      <c r="O571" t="str">
        <f t="shared" si="48"/>
        <v>04/05/2025</v>
      </c>
      <c r="P571">
        <f t="shared" si="49"/>
        <v>2025</v>
      </c>
      <c r="Q571">
        <f t="shared" si="50"/>
        <v>5</v>
      </c>
      <c r="R571" t="str">
        <f t="shared" si="51"/>
        <v>May</v>
      </c>
      <c r="S571" t="str">
        <f t="shared" si="52"/>
        <v>High</v>
      </c>
      <c r="T571" s="1">
        <f t="shared" si="53"/>
        <v>5.77327205967254E-2</v>
      </c>
      <c r="U571">
        <f>SUM($I$2:I571)</f>
        <v>1949018.8699999989</v>
      </c>
      <c r="V571" s="1">
        <f>Table1[[#This Row],[Running total ]]/SUM(I:I)</f>
        <v>0.56241354634678153</v>
      </c>
    </row>
    <row r="572" spans="1:22" x14ac:dyDescent="0.3">
      <c r="A572" t="s">
        <v>1245</v>
      </c>
      <c r="B572" t="s">
        <v>135</v>
      </c>
      <c r="C572" t="s">
        <v>792</v>
      </c>
      <c r="D572" t="s">
        <v>17</v>
      </c>
      <c r="E572" t="s">
        <v>97</v>
      </c>
      <c r="F572" t="s">
        <v>55</v>
      </c>
      <c r="G572" t="s">
        <v>74</v>
      </c>
      <c r="H572" t="s">
        <v>133</v>
      </c>
      <c r="I572">
        <v>7786.98</v>
      </c>
      <c r="J572">
        <v>9</v>
      </c>
      <c r="K572" s="1">
        <v>0.25</v>
      </c>
      <c r="L572">
        <v>1492.1</v>
      </c>
      <c r="M572" t="s">
        <v>22</v>
      </c>
      <c r="N572" t="s">
        <v>23</v>
      </c>
      <c r="O572" t="str">
        <f t="shared" si="48"/>
        <v>24/07/2025</v>
      </c>
      <c r="P572">
        <f t="shared" si="49"/>
        <v>2025</v>
      </c>
      <c r="Q572">
        <f t="shared" si="50"/>
        <v>7</v>
      </c>
      <c r="R572" t="str">
        <f t="shared" si="51"/>
        <v>July</v>
      </c>
      <c r="S572" t="str">
        <f t="shared" si="52"/>
        <v>Low</v>
      </c>
      <c r="T572" s="1">
        <f t="shared" si="53"/>
        <v>0.19161472098297413</v>
      </c>
      <c r="U572">
        <f>SUM($I$2:I572)</f>
        <v>1956805.8499999989</v>
      </c>
      <c r="V572" s="1">
        <f>Table1[[#This Row],[Running total ]]/SUM(I:I)</f>
        <v>0.56466057591870733</v>
      </c>
    </row>
    <row r="573" spans="1:22" x14ac:dyDescent="0.3">
      <c r="A573" t="s">
        <v>1246</v>
      </c>
      <c r="B573" t="s">
        <v>1068</v>
      </c>
      <c r="C573" t="s">
        <v>640</v>
      </c>
      <c r="D573" t="s">
        <v>137</v>
      </c>
      <c r="E573" t="s">
        <v>242</v>
      </c>
      <c r="F573" t="s">
        <v>55</v>
      </c>
      <c r="G573" t="s">
        <v>56</v>
      </c>
      <c r="H573" t="s">
        <v>57</v>
      </c>
      <c r="I573">
        <v>735.29</v>
      </c>
      <c r="J573">
        <v>1</v>
      </c>
      <c r="K573" s="1">
        <v>0</v>
      </c>
      <c r="L573">
        <v>190.92</v>
      </c>
      <c r="M573" t="s">
        <v>87</v>
      </c>
      <c r="N573" t="s">
        <v>23</v>
      </c>
      <c r="O573" t="str">
        <f t="shared" si="48"/>
        <v>07/07/2024</v>
      </c>
      <c r="P573">
        <f t="shared" si="49"/>
        <v>2024</v>
      </c>
      <c r="Q573">
        <f t="shared" si="50"/>
        <v>7</v>
      </c>
      <c r="R573" t="str">
        <f t="shared" si="51"/>
        <v>July</v>
      </c>
      <c r="S573" t="str">
        <f t="shared" si="52"/>
        <v>No Discount</v>
      </c>
      <c r="T573" s="1">
        <f t="shared" si="53"/>
        <v>0.25965265405486271</v>
      </c>
      <c r="U573">
        <f>SUM($I$2:I573)</f>
        <v>1957541.139999999</v>
      </c>
      <c r="V573" s="1">
        <f>Table1[[#This Row],[Running total ]]/SUM(I:I)</f>
        <v>0.56487275295960648</v>
      </c>
    </row>
    <row r="574" spans="1:22" x14ac:dyDescent="0.3">
      <c r="A574" t="s">
        <v>1247</v>
      </c>
      <c r="B574" t="s">
        <v>1248</v>
      </c>
      <c r="C574" t="s">
        <v>153</v>
      </c>
      <c r="D574" t="s">
        <v>48</v>
      </c>
      <c r="E574" t="s">
        <v>84</v>
      </c>
      <c r="F574" t="s">
        <v>67</v>
      </c>
      <c r="G574" t="s">
        <v>85</v>
      </c>
      <c r="H574" t="s">
        <v>253</v>
      </c>
      <c r="I574">
        <v>4776.4399999999996</v>
      </c>
      <c r="J574">
        <v>4</v>
      </c>
      <c r="K574" s="1">
        <v>0.05</v>
      </c>
      <c r="L574">
        <v>758.17</v>
      </c>
      <c r="M574" t="s">
        <v>117</v>
      </c>
      <c r="N574" t="s">
        <v>32</v>
      </c>
      <c r="O574" t="str">
        <f t="shared" si="48"/>
        <v>19/03/2025</v>
      </c>
      <c r="P574">
        <f t="shared" si="49"/>
        <v>2025</v>
      </c>
      <c r="Q574">
        <f t="shared" si="50"/>
        <v>3</v>
      </c>
      <c r="R574" t="str">
        <f t="shared" si="51"/>
        <v>March</v>
      </c>
      <c r="S574" t="str">
        <f t="shared" si="52"/>
        <v>High</v>
      </c>
      <c r="T574" s="1">
        <f t="shared" si="53"/>
        <v>0.15873118891894383</v>
      </c>
      <c r="U574">
        <f>SUM($I$2:I574)</f>
        <v>1962317.5799999989</v>
      </c>
      <c r="V574" s="1">
        <f>Table1[[#This Row],[Running total ]]/SUM(I:I)</f>
        <v>0.56625105390920816</v>
      </c>
    </row>
    <row r="575" spans="1:22" x14ac:dyDescent="0.3">
      <c r="A575" t="s">
        <v>1249</v>
      </c>
      <c r="B575" t="s">
        <v>1250</v>
      </c>
      <c r="C575" t="s">
        <v>540</v>
      </c>
      <c r="D575" t="s">
        <v>137</v>
      </c>
      <c r="E575" t="s">
        <v>138</v>
      </c>
      <c r="F575" t="s">
        <v>67</v>
      </c>
      <c r="G575" t="s">
        <v>68</v>
      </c>
      <c r="H575" t="s">
        <v>382</v>
      </c>
      <c r="I575">
        <v>11398.4</v>
      </c>
      <c r="J575">
        <v>10</v>
      </c>
      <c r="K575" s="1">
        <v>0.3</v>
      </c>
      <c r="L575">
        <v>-2535.5500000000002</v>
      </c>
      <c r="M575" t="s">
        <v>195</v>
      </c>
      <c r="N575" t="s">
        <v>32</v>
      </c>
      <c r="O575" t="str">
        <f t="shared" si="48"/>
        <v>15/07/2024</v>
      </c>
      <c r="P575">
        <f t="shared" si="49"/>
        <v>2024</v>
      </c>
      <c r="Q575">
        <f t="shared" si="50"/>
        <v>7</v>
      </c>
      <c r="R575" t="str">
        <f t="shared" si="51"/>
        <v>July</v>
      </c>
      <c r="S575" t="str">
        <f t="shared" si="52"/>
        <v>Low</v>
      </c>
      <c r="T575" s="1">
        <f t="shared" si="53"/>
        <v>-0.2224478874227962</v>
      </c>
      <c r="U575">
        <f>SUM($I$2:I575)</f>
        <v>1973715.9799999988</v>
      </c>
      <c r="V575" s="1">
        <f>Table1[[#This Row],[Running total ]]/SUM(I:I)</f>
        <v>0.56954020347330614</v>
      </c>
    </row>
    <row r="576" spans="1:22" x14ac:dyDescent="0.3">
      <c r="A576" t="s">
        <v>1251</v>
      </c>
      <c r="B576" t="s">
        <v>1182</v>
      </c>
      <c r="C576" t="s">
        <v>1072</v>
      </c>
      <c r="D576" t="s">
        <v>137</v>
      </c>
      <c r="E576" t="s">
        <v>142</v>
      </c>
      <c r="F576" t="s">
        <v>67</v>
      </c>
      <c r="G576" t="s">
        <v>85</v>
      </c>
      <c r="H576" t="s">
        <v>86</v>
      </c>
      <c r="I576">
        <v>6016.02</v>
      </c>
      <c r="J576">
        <v>6</v>
      </c>
      <c r="K576" s="1">
        <v>0</v>
      </c>
      <c r="L576">
        <v>1184.03</v>
      </c>
      <c r="M576" t="s">
        <v>107</v>
      </c>
      <c r="N576" t="s">
        <v>76</v>
      </c>
      <c r="O576" t="str">
        <f t="shared" si="48"/>
        <v>11/10/2024</v>
      </c>
      <c r="P576">
        <f t="shared" si="49"/>
        <v>2024</v>
      </c>
      <c r="Q576">
        <f t="shared" si="50"/>
        <v>10</v>
      </c>
      <c r="R576" t="str">
        <f t="shared" si="51"/>
        <v>October</v>
      </c>
      <c r="S576" t="str">
        <f t="shared" si="52"/>
        <v>No Discount</v>
      </c>
      <c r="T576" s="1">
        <f t="shared" si="53"/>
        <v>0.19681284304241009</v>
      </c>
      <c r="U576">
        <f>SUM($I$2:I576)</f>
        <v>1979731.9999999988</v>
      </c>
      <c r="V576" s="1">
        <f>Table1[[#This Row],[Running total ]]/SUM(I:I)</f>
        <v>0.57127620059225304</v>
      </c>
    </row>
    <row r="577" spans="1:22" x14ac:dyDescent="0.3">
      <c r="A577" t="s">
        <v>1252</v>
      </c>
      <c r="B577" t="s">
        <v>182</v>
      </c>
      <c r="C577" t="s">
        <v>128</v>
      </c>
      <c r="D577" t="s">
        <v>27</v>
      </c>
      <c r="E577" t="s">
        <v>28</v>
      </c>
      <c r="F577" t="s">
        <v>55</v>
      </c>
      <c r="G577" t="s">
        <v>56</v>
      </c>
      <c r="H577" t="s">
        <v>57</v>
      </c>
      <c r="I577">
        <v>2420.4299999999998</v>
      </c>
      <c r="J577">
        <v>3</v>
      </c>
      <c r="K577" s="1">
        <v>0.05</v>
      </c>
      <c r="L577">
        <v>273.44</v>
      </c>
      <c r="M577" t="s">
        <v>143</v>
      </c>
      <c r="N577" t="s">
        <v>23</v>
      </c>
      <c r="O577" t="str">
        <f t="shared" si="48"/>
        <v>15/12/2024</v>
      </c>
      <c r="P577">
        <f t="shared" si="49"/>
        <v>2024</v>
      </c>
      <c r="Q577">
        <f t="shared" si="50"/>
        <v>12</v>
      </c>
      <c r="R577" t="str">
        <f t="shared" si="51"/>
        <v>December</v>
      </c>
      <c r="S577" t="str">
        <f t="shared" si="52"/>
        <v>High</v>
      </c>
      <c r="T577" s="1">
        <f t="shared" si="53"/>
        <v>0.11297166206004719</v>
      </c>
      <c r="U577">
        <f>SUM($I$2:I577)</f>
        <v>1982152.4299999988</v>
      </c>
      <c r="V577" s="1">
        <f>Table1[[#This Row],[Running total ]]/SUM(I:I)</f>
        <v>0.57197464566168643</v>
      </c>
    </row>
    <row r="578" spans="1:22" x14ac:dyDescent="0.3">
      <c r="A578" t="s">
        <v>1253</v>
      </c>
      <c r="B578" t="s">
        <v>1254</v>
      </c>
      <c r="C578" t="s">
        <v>1075</v>
      </c>
      <c r="D578" t="s">
        <v>17</v>
      </c>
      <c r="E578" t="s">
        <v>80</v>
      </c>
      <c r="F578" t="s">
        <v>67</v>
      </c>
      <c r="G578" t="s">
        <v>85</v>
      </c>
      <c r="H578" t="s">
        <v>125</v>
      </c>
      <c r="I578">
        <v>1615.76</v>
      </c>
      <c r="J578">
        <v>2</v>
      </c>
      <c r="K578" s="1">
        <v>0</v>
      </c>
      <c r="L578">
        <v>711.25</v>
      </c>
      <c r="M578" t="s">
        <v>195</v>
      </c>
      <c r="N578" t="s">
        <v>39</v>
      </c>
      <c r="O578" t="str">
        <f t="shared" si="48"/>
        <v>09/11/2025</v>
      </c>
      <c r="P578">
        <f t="shared" si="49"/>
        <v>2025</v>
      </c>
      <c r="Q578">
        <f t="shared" si="50"/>
        <v>11</v>
      </c>
      <c r="R578" t="str">
        <f t="shared" si="51"/>
        <v>November</v>
      </c>
      <c r="S578" t="str">
        <f t="shared" si="52"/>
        <v>No Discount</v>
      </c>
      <c r="T578" s="1">
        <f t="shared" si="53"/>
        <v>0.44019532603852057</v>
      </c>
      <c r="U578">
        <f>SUM($I$2:I578)</f>
        <v>1983768.1899999988</v>
      </c>
      <c r="V578" s="1">
        <f>Table1[[#This Row],[Running total ]]/SUM(I:I)</f>
        <v>0.57244089323149328</v>
      </c>
    </row>
    <row r="579" spans="1:22" x14ac:dyDescent="0.3">
      <c r="A579" t="s">
        <v>1255</v>
      </c>
      <c r="B579" t="s">
        <v>237</v>
      </c>
      <c r="C579" t="s">
        <v>571</v>
      </c>
      <c r="D579" t="s">
        <v>48</v>
      </c>
      <c r="E579" t="s">
        <v>49</v>
      </c>
      <c r="F579" t="s">
        <v>55</v>
      </c>
      <c r="G579" t="s">
        <v>74</v>
      </c>
      <c r="H579" t="s">
        <v>272</v>
      </c>
      <c r="I579">
        <v>2312.31</v>
      </c>
      <c r="J579">
        <v>3</v>
      </c>
      <c r="K579" s="1">
        <v>0.25</v>
      </c>
      <c r="L579">
        <v>-26.53</v>
      </c>
      <c r="M579" t="s">
        <v>22</v>
      </c>
      <c r="N579" t="s">
        <v>23</v>
      </c>
      <c r="O579" t="str">
        <f t="shared" ref="O579:O642" si="54">TEXT(B579,"dd/mm/yyyy")</f>
        <v>14/04/2025</v>
      </c>
      <c r="P579">
        <f t="shared" ref="P579:P642" si="55">YEAR(O579)</f>
        <v>2025</v>
      </c>
      <c r="Q579">
        <f t="shared" ref="Q579:Q642" si="56">MONTH(O579)</f>
        <v>4</v>
      </c>
      <c r="R579" t="str">
        <f t="shared" ref="R579:R642" si="57">TEXT(O579,"mmmm")</f>
        <v>April</v>
      </c>
      <c r="S579" t="str">
        <f t="shared" ref="S579:S642" si="58">IF(K579=0,"No Discount",IF(K579&gt;=0.1,"Low",IF(K579&gt;=0.2,"Medium","High")))</f>
        <v>Low</v>
      </c>
      <c r="T579" s="1">
        <f t="shared" ref="T579:T642" si="59">SUM(L579)/SUM(I579)</f>
        <v>-1.1473375109738747E-2</v>
      </c>
      <c r="U579">
        <f>SUM($I$2:I579)</f>
        <v>1986080.4999999988</v>
      </c>
      <c r="V579" s="1">
        <f>Table1[[#This Row],[Running total ]]/SUM(I:I)</f>
        <v>0.57310813893514989</v>
      </c>
    </row>
    <row r="580" spans="1:22" x14ac:dyDescent="0.3">
      <c r="A580" t="s">
        <v>1256</v>
      </c>
      <c r="B580" t="s">
        <v>905</v>
      </c>
      <c r="C580" t="s">
        <v>468</v>
      </c>
      <c r="D580" t="s">
        <v>27</v>
      </c>
      <c r="E580" t="s">
        <v>28</v>
      </c>
      <c r="F580" t="s">
        <v>67</v>
      </c>
      <c r="G580" t="s">
        <v>85</v>
      </c>
      <c r="H580" t="s">
        <v>253</v>
      </c>
      <c r="I580">
        <v>235.8</v>
      </c>
      <c r="J580">
        <v>9</v>
      </c>
      <c r="K580" s="1">
        <v>0.2</v>
      </c>
      <c r="L580">
        <v>-21.01</v>
      </c>
      <c r="M580" t="s">
        <v>63</v>
      </c>
      <c r="N580" t="s">
        <v>39</v>
      </c>
      <c r="O580" t="str">
        <f t="shared" si="54"/>
        <v>04/08/2024</v>
      </c>
      <c r="P580">
        <f t="shared" si="55"/>
        <v>2024</v>
      </c>
      <c r="Q580">
        <f t="shared" si="56"/>
        <v>8</v>
      </c>
      <c r="R580" t="str">
        <f t="shared" si="57"/>
        <v>August</v>
      </c>
      <c r="S580" t="str">
        <f t="shared" si="58"/>
        <v>Low</v>
      </c>
      <c r="T580" s="1">
        <f t="shared" si="59"/>
        <v>-8.910093299406277E-2</v>
      </c>
      <c r="U580">
        <f>SUM($I$2:I580)</f>
        <v>1986316.2999999989</v>
      </c>
      <c r="V580" s="1">
        <f>Table1[[#This Row],[Running total ]]/SUM(I:I)</f>
        <v>0.57317618194708264</v>
      </c>
    </row>
    <row r="581" spans="1:22" x14ac:dyDescent="0.3">
      <c r="A581" t="s">
        <v>1257</v>
      </c>
      <c r="B581" t="s">
        <v>65</v>
      </c>
      <c r="C581" t="s">
        <v>749</v>
      </c>
      <c r="D581" t="s">
        <v>137</v>
      </c>
      <c r="E581" t="s">
        <v>142</v>
      </c>
      <c r="F581" t="s">
        <v>19</v>
      </c>
      <c r="G581" t="s">
        <v>36</v>
      </c>
      <c r="H581" t="s">
        <v>37</v>
      </c>
      <c r="I581">
        <v>1544.34</v>
      </c>
      <c r="J581">
        <v>3</v>
      </c>
      <c r="K581" s="1">
        <v>0</v>
      </c>
      <c r="L581">
        <v>157.1</v>
      </c>
      <c r="M581" t="s">
        <v>195</v>
      </c>
      <c r="N581" t="s">
        <v>23</v>
      </c>
      <c r="O581" t="str">
        <f t="shared" si="54"/>
        <v>03/09/2025</v>
      </c>
      <c r="P581">
        <f t="shared" si="55"/>
        <v>2025</v>
      </c>
      <c r="Q581">
        <f t="shared" si="56"/>
        <v>9</v>
      </c>
      <c r="R581" t="str">
        <f t="shared" si="57"/>
        <v>September</v>
      </c>
      <c r="S581" t="str">
        <f t="shared" si="58"/>
        <v>No Discount</v>
      </c>
      <c r="T581" s="1">
        <f t="shared" si="59"/>
        <v>0.10172630379320616</v>
      </c>
      <c r="U581">
        <f>SUM($I$2:I581)</f>
        <v>1987860.639999999</v>
      </c>
      <c r="V581" s="1">
        <f>Table1[[#This Row],[Running total ]]/SUM(I:I)</f>
        <v>0.5736218203908835</v>
      </c>
    </row>
    <row r="582" spans="1:22" x14ac:dyDescent="0.3">
      <c r="A582" t="s">
        <v>1258</v>
      </c>
      <c r="B582" t="s">
        <v>610</v>
      </c>
      <c r="C582" t="s">
        <v>228</v>
      </c>
      <c r="D582" t="s">
        <v>17</v>
      </c>
      <c r="E582" t="s">
        <v>80</v>
      </c>
      <c r="F582" t="s">
        <v>67</v>
      </c>
      <c r="G582" t="s">
        <v>115</v>
      </c>
      <c r="H582" t="s">
        <v>116</v>
      </c>
      <c r="I582">
        <v>5492.3</v>
      </c>
      <c r="J582">
        <v>10</v>
      </c>
      <c r="K582" s="1">
        <v>0.15</v>
      </c>
      <c r="L582">
        <v>391.49</v>
      </c>
      <c r="M582" t="s">
        <v>107</v>
      </c>
      <c r="N582" t="s">
        <v>23</v>
      </c>
      <c r="O582" t="str">
        <f t="shared" si="54"/>
        <v>29/01/2025</v>
      </c>
      <c r="P582">
        <f t="shared" si="55"/>
        <v>2025</v>
      </c>
      <c r="Q582">
        <f t="shared" si="56"/>
        <v>1</v>
      </c>
      <c r="R582" t="str">
        <f t="shared" si="57"/>
        <v>January</v>
      </c>
      <c r="S582" t="str">
        <f t="shared" si="58"/>
        <v>Low</v>
      </c>
      <c r="T582" s="1">
        <f t="shared" si="59"/>
        <v>7.1279791708391743E-2</v>
      </c>
      <c r="U582">
        <f>SUM($I$2:I582)</f>
        <v>1993352.939999999</v>
      </c>
      <c r="V582" s="1">
        <f>Table1[[#This Row],[Running total ]]/SUM(I:I)</f>
        <v>0.57520669161411619</v>
      </c>
    </row>
    <row r="583" spans="1:22" x14ac:dyDescent="0.3">
      <c r="A583" t="s">
        <v>1259</v>
      </c>
      <c r="B583" t="s">
        <v>665</v>
      </c>
      <c r="C583" t="s">
        <v>172</v>
      </c>
      <c r="D583" t="s">
        <v>17</v>
      </c>
      <c r="E583" t="s">
        <v>80</v>
      </c>
      <c r="F583" t="s">
        <v>67</v>
      </c>
      <c r="G583" t="s">
        <v>85</v>
      </c>
      <c r="H583" t="s">
        <v>125</v>
      </c>
      <c r="I583">
        <v>1119.06</v>
      </c>
      <c r="J583">
        <v>6</v>
      </c>
      <c r="K583" s="1">
        <v>0</v>
      </c>
      <c r="L583">
        <v>190.93</v>
      </c>
      <c r="M583" t="s">
        <v>38</v>
      </c>
      <c r="N583" t="s">
        <v>39</v>
      </c>
      <c r="O583" t="str">
        <f t="shared" si="54"/>
        <v>18/07/2024</v>
      </c>
      <c r="P583">
        <f t="shared" si="55"/>
        <v>2024</v>
      </c>
      <c r="Q583">
        <f t="shared" si="56"/>
        <v>7</v>
      </c>
      <c r="R583" t="str">
        <f t="shared" si="57"/>
        <v>July</v>
      </c>
      <c r="S583" t="str">
        <f t="shared" si="58"/>
        <v>No Discount</v>
      </c>
      <c r="T583" s="1">
        <f t="shared" si="59"/>
        <v>0.17061641020141907</v>
      </c>
      <c r="U583">
        <f>SUM($I$2:I583)</f>
        <v>1994471.9999999991</v>
      </c>
      <c r="V583" s="1">
        <f>Table1[[#This Row],[Running total ]]/SUM(I:I)</f>
        <v>0.57552961024402916</v>
      </c>
    </row>
    <row r="584" spans="1:22" x14ac:dyDescent="0.3">
      <c r="A584" t="s">
        <v>1260</v>
      </c>
      <c r="B584" t="s">
        <v>1261</v>
      </c>
      <c r="C584" t="s">
        <v>340</v>
      </c>
      <c r="D584" t="s">
        <v>48</v>
      </c>
      <c r="E584" t="s">
        <v>84</v>
      </c>
      <c r="F584" t="s">
        <v>67</v>
      </c>
      <c r="G584" t="s">
        <v>115</v>
      </c>
      <c r="H584" t="s">
        <v>116</v>
      </c>
      <c r="I584">
        <v>177.39</v>
      </c>
      <c r="J584">
        <v>3</v>
      </c>
      <c r="K584" s="1">
        <v>0.15</v>
      </c>
      <c r="L584">
        <v>20.99</v>
      </c>
      <c r="M584" t="s">
        <v>87</v>
      </c>
      <c r="N584" t="s">
        <v>23</v>
      </c>
      <c r="O584" t="str">
        <f t="shared" si="54"/>
        <v>05/02/2024</v>
      </c>
      <c r="P584">
        <f t="shared" si="55"/>
        <v>2024</v>
      </c>
      <c r="Q584">
        <f t="shared" si="56"/>
        <v>2</v>
      </c>
      <c r="R584" t="str">
        <f t="shared" si="57"/>
        <v>February</v>
      </c>
      <c r="S584" t="str">
        <f t="shared" si="58"/>
        <v>Low</v>
      </c>
      <c r="T584" s="1">
        <f t="shared" si="59"/>
        <v>0.11832685044252776</v>
      </c>
      <c r="U584">
        <f>SUM($I$2:I584)</f>
        <v>1994649.389999999</v>
      </c>
      <c r="V584" s="1">
        <f>Table1[[#This Row],[Running total ]]/SUM(I:I)</f>
        <v>0.57558079832667008</v>
      </c>
    </row>
    <row r="585" spans="1:22" x14ac:dyDescent="0.3">
      <c r="A585" t="s">
        <v>1262</v>
      </c>
      <c r="B585" t="s">
        <v>905</v>
      </c>
      <c r="C585" t="s">
        <v>625</v>
      </c>
      <c r="D585" t="s">
        <v>48</v>
      </c>
      <c r="E585" t="s">
        <v>110</v>
      </c>
      <c r="F585" t="s">
        <v>55</v>
      </c>
      <c r="G585" t="s">
        <v>74</v>
      </c>
      <c r="H585" t="s">
        <v>133</v>
      </c>
      <c r="I585">
        <v>516.47</v>
      </c>
      <c r="J585">
        <v>1</v>
      </c>
      <c r="K585" s="1">
        <v>0</v>
      </c>
      <c r="L585">
        <v>35.159999999999997</v>
      </c>
      <c r="M585" t="s">
        <v>22</v>
      </c>
      <c r="N585" t="s">
        <v>23</v>
      </c>
      <c r="O585" t="str">
        <f t="shared" si="54"/>
        <v>04/08/2024</v>
      </c>
      <c r="P585">
        <f t="shared" si="55"/>
        <v>2024</v>
      </c>
      <c r="Q585">
        <f t="shared" si="56"/>
        <v>8</v>
      </c>
      <c r="R585" t="str">
        <f t="shared" si="57"/>
        <v>August</v>
      </c>
      <c r="S585" t="str">
        <f t="shared" si="58"/>
        <v>No Discount</v>
      </c>
      <c r="T585" s="1">
        <f t="shared" si="59"/>
        <v>6.8077526284198497E-2</v>
      </c>
      <c r="U585">
        <f>SUM($I$2:I585)</f>
        <v>1995165.8599999989</v>
      </c>
      <c r="V585" s="1">
        <f>Table1[[#This Row],[Running total ]]/SUM(I:I)</f>
        <v>0.57572983214504547</v>
      </c>
    </row>
    <row r="586" spans="1:22" x14ac:dyDescent="0.3">
      <c r="A586" t="s">
        <v>1263</v>
      </c>
      <c r="B586" t="s">
        <v>326</v>
      </c>
      <c r="C586" t="s">
        <v>281</v>
      </c>
      <c r="D586" t="s">
        <v>137</v>
      </c>
      <c r="E586" t="s">
        <v>142</v>
      </c>
      <c r="F586" t="s">
        <v>19</v>
      </c>
      <c r="G586" t="s">
        <v>20</v>
      </c>
      <c r="H586" t="s">
        <v>21</v>
      </c>
      <c r="I586">
        <v>3250.38</v>
      </c>
      <c r="J586">
        <v>7</v>
      </c>
      <c r="K586" s="1">
        <v>0.05</v>
      </c>
      <c r="L586">
        <v>989.87</v>
      </c>
      <c r="M586" t="s">
        <v>143</v>
      </c>
      <c r="N586" t="s">
        <v>23</v>
      </c>
      <c r="O586" t="str">
        <f t="shared" si="54"/>
        <v>15/05/2024</v>
      </c>
      <c r="P586">
        <f t="shared" si="55"/>
        <v>2024</v>
      </c>
      <c r="Q586">
        <f t="shared" si="56"/>
        <v>5</v>
      </c>
      <c r="R586" t="str">
        <f t="shared" si="57"/>
        <v>May</v>
      </c>
      <c r="S586" t="str">
        <f t="shared" si="58"/>
        <v>High</v>
      </c>
      <c r="T586" s="1">
        <f t="shared" si="59"/>
        <v>0.30453977688762546</v>
      </c>
      <c r="U586">
        <f>SUM($I$2:I586)</f>
        <v>1998416.2399999988</v>
      </c>
      <c r="V586" s="1">
        <f>Table1[[#This Row],[Running total ]]/SUM(I:I)</f>
        <v>0.57666776957136423</v>
      </c>
    </row>
    <row r="587" spans="1:22" x14ac:dyDescent="0.3">
      <c r="A587" t="s">
        <v>1264</v>
      </c>
      <c r="B587" t="s">
        <v>1084</v>
      </c>
      <c r="C587" t="s">
        <v>666</v>
      </c>
      <c r="D587" t="s">
        <v>48</v>
      </c>
      <c r="E587" t="s">
        <v>110</v>
      </c>
      <c r="F587" t="s">
        <v>19</v>
      </c>
      <c r="G587" t="s">
        <v>36</v>
      </c>
      <c r="H587" t="s">
        <v>222</v>
      </c>
      <c r="I587">
        <v>1838.61</v>
      </c>
      <c r="J587">
        <v>9</v>
      </c>
      <c r="K587" s="1">
        <v>0.05</v>
      </c>
      <c r="L587">
        <v>609.54999999999995</v>
      </c>
      <c r="M587" t="s">
        <v>63</v>
      </c>
      <c r="N587" t="s">
        <v>76</v>
      </c>
      <c r="O587" t="str">
        <f t="shared" si="54"/>
        <v>27/08/2025</v>
      </c>
      <c r="P587">
        <f t="shared" si="55"/>
        <v>2025</v>
      </c>
      <c r="Q587">
        <f t="shared" si="56"/>
        <v>8</v>
      </c>
      <c r="R587" t="str">
        <f t="shared" si="57"/>
        <v>August</v>
      </c>
      <c r="S587" t="str">
        <f t="shared" si="58"/>
        <v>High</v>
      </c>
      <c r="T587" s="1">
        <f t="shared" si="59"/>
        <v>0.33152762140965186</v>
      </c>
      <c r="U587">
        <f>SUM($I$2:I587)</f>
        <v>2000254.8499999989</v>
      </c>
      <c r="V587" s="1">
        <f>Table1[[#This Row],[Running total ]]/SUM(I:I)</f>
        <v>0.5771983232701331</v>
      </c>
    </row>
    <row r="588" spans="1:22" x14ac:dyDescent="0.3">
      <c r="A588" t="s">
        <v>1265</v>
      </c>
      <c r="B588" t="s">
        <v>1266</v>
      </c>
      <c r="C588" t="s">
        <v>375</v>
      </c>
      <c r="D588" t="s">
        <v>48</v>
      </c>
      <c r="E588" t="s">
        <v>84</v>
      </c>
      <c r="F588" t="s">
        <v>55</v>
      </c>
      <c r="G588" t="s">
        <v>98</v>
      </c>
      <c r="H588" t="s">
        <v>150</v>
      </c>
      <c r="I588">
        <v>4197.97</v>
      </c>
      <c r="J588">
        <v>7</v>
      </c>
      <c r="K588" s="1">
        <v>0.1</v>
      </c>
      <c r="L588">
        <v>-159.44999999999999</v>
      </c>
      <c r="M588" t="s">
        <v>31</v>
      </c>
      <c r="N588" t="s">
        <v>76</v>
      </c>
      <c r="O588" t="str">
        <f t="shared" si="54"/>
        <v>18/05/2025</v>
      </c>
      <c r="P588">
        <f t="shared" si="55"/>
        <v>2025</v>
      </c>
      <c r="Q588">
        <f t="shared" si="56"/>
        <v>5</v>
      </c>
      <c r="R588" t="str">
        <f t="shared" si="57"/>
        <v>May</v>
      </c>
      <c r="S588" t="str">
        <f t="shared" si="58"/>
        <v>Low</v>
      </c>
      <c r="T588" s="1">
        <f t="shared" si="59"/>
        <v>-3.7982643992215279E-2</v>
      </c>
      <c r="U588">
        <f>SUM($I$2:I588)</f>
        <v>2004452.8199999989</v>
      </c>
      <c r="V588" s="1">
        <f>Table1[[#This Row],[Running total ]]/SUM(I:I)</f>
        <v>0.57840969953308186</v>
      </c>
    </row>
    <row r="589" spans="1:22" x14ac:dyDescent="0.3">
      <c r="A589" t="s">
        <v>1267</v>
      </c>
      <c r="B589" t="s">
        <v>1268</v>
      </c>
      <c r="C589" t="s">
        <v>630</v>
      </c>
      <c r="D589" t="s">
        <v>137</v>
      </c>
      <c r="E589" t="s">
        <v>138</v>
      </c>
      <c r="F589" t="s">
        <v>67</v>
      </c>
      <c r="G589" t="s">
        <v>68</v>
      </c>
      <c r="H589" t="s">
        <v>69</v>
      </c>
      <c r="I589">
        <v>444.37</v>
      </c>
      <c r="J589">
        <v>1</v>
      </c>
      <c r="K589" s="1">
        <v>0.25</v>
      </c>
      <c r="L589">
        <v>13.42</v>
      </c>
      <c r="M589" t="s">
        <v>107</v>
      </c>
      <c r="N589" t="s">
        <v>39</v>
      </c>
      <c r="O589" t="str">
        <f t="shared" si="54"/>
        <v>12/08/2024</v>
      </c>
      <c r="P589">
        <f t="shared" si="55"/>
        <v>2024</v>
      </c>
      <c r="Q589">
        <f t="shared" si="56"/>
        <v>8</v>
      </c>
      <c r="R589" t="str">
        <f t="shared" si="57"/>
        <v>August</v>
      </c>
      <c r="S589" t="str">
        <f t="shared" si="58"/>
        <v>Low</v>
      </c>
      <c r="T589" s="1">
        <f t="shared" si="59"/>
        <v>3.0200058509800391E-2</v>
      </c>
      <c r="U589">
        <f>SUM($I$2:I589)</f>
        <v>2004897.189999999</v>
      </c>
      <c r="V589" s="1">
        <f>Table1[[#This Row],[Running total ]]/SUM(I:I)</f>
        <v>0.57853792800302495</v>
      </c>
    </row>
    <row r="590" spans="1:22" x14ac:dyDescent="0.3">
      <c r="A590" t="s">
        <v>1269</v>
      </c>
      <c r="B590" t="s">
        <v>1270</v>
      </c>
      <c r="C590" t="s">
        <v>132</v>
      </c>
      <c r="D590" t="s">
        <v>137</v>
      </c>
      <c r="E590" t="s">
        <v>138</v>
      </c>
      <c r="F590" t="s">
        <v>55</v>
      </c>
      <c r="G590" t="s">
        <v>98</v>
      </c>
      <c r="H590" t="s">
        <v>150</v>
      </c>
      <c r="I590">
        <v>2002.5</v>
      </c>
      <c r="J590">
        <v>5</v>
      </c>
      <c r="K590" s="1">
        <v>0.1</v>
      </c>
      <c r="L590">
        <v>166.99</v>
      </c>
      <c r="M590" t="s">
        <v>22</v>
      </c>
      <c r="N590" t="s">
        <v>32</v>
      </c>
      <c r="O590" t="str">
        <f t="shared" si="54"/>
        <v>19/03/2024</v>
      </c>
      <c r="P590">
        <f t="shared" si="55"/>
        <v>2024</v>
      </c>
      <c r="Q590">
        <f t="shared" si="56"/>
        <v>3</v>
      </c>
      <c r="R590" t="str">
        <f t="shared" si="57"/>
        <v>March</v>
      </c>
      <c r="S590" t="str">
        <f t="shared" si="58"/>
        <v>Low</v>
      </c>
      <c r="T590" s="1">
        <f t="shared" si="59"/>
        <v>8.3390761548064921E-2</v>
      </c>
      <c r="U590">
        <f>SUM($I$2:I590)</f>
        <v>2006899.689999999</v>
      </c>
      <c r="V590" s="1">
        <f>Table1[[#This Row],[Running total ]]/SUM(I:I)</f>
        <v>0.57911577419214855</v>
      </c>
    </row>
    <row r="591" spans="1:22" x14ac:dyDescent="0.3">
      <c r="A591" t="s">
        <v>1271</v>
      </c>
      <c r="B591" t="s">
        <v>1272</v>
      </c>
      <c r="C591" t="s">
        <v>818</v>
      </c>
      <c r="D591" t="s">
        <v>48</v>
      </c>
      <c r="E591" t="s">
        <v>84</v>
      </c>
      <c r="F591" t="s">
        <v>19</v>
      </c>
      <c r="G591" t="s">
        <v>36</v>
      </c>
      <c r="H591" t="s">
        <v>222</v>
      </c>
      <c r="I591">
        <v>638.76</v>
      </c>
      <c r="J591">
        <v>4</v>
      </c>
      <c r="K591" s="1">
        <v>0.3</v>
      </c>
      <c r="L591">
        <v>-115.34</v>
      </c>
      <c r="M591" t="s">
        <v>22</v>
      </c>
      <c r="N591" t="s">
        <v>32</v>
      </c>
      <c r="O591" t="str">
        <f t="shared" si="54"/>
        <v>22/07/2024</v>
      </c>
      <c r="P591">
        <f t="shared" si="55"/>
        <v>2024</v>
      </c>
      <c r="Q591">
        <f t="shared" si="56"/>
        <v>7</v>
      </c>
      <c r="R591" t="str">
        <f t="shared" si="57"/>
        <v>July</v>
      </c>
      <c r="S591" t="str">
        <f t="shared" si="58"/>
        <v>Low</v>
      </c>
      <c r="T591" s="1">
        <f t="shared" si="59"/>
        <v>-0.18056860166572736</v>
      </c>
      <c r="U591">
        <f>SUM($I$2:I591)</f>
        <v>2007538.449999999</v>
      </c>
      <c r="V591" s="1">
        <f>Table1[[#This Row],[Running total ]]/SUM(I:I)</f>
        <v>0.57930009630538926</v>
      </c>
    </row>
    <row r="592" spans="1:22" x14ac:dyDescent="0.3">
      <c r="A592" t="s">
        <v>1273</v>
      </c>
      <c r="B592" t="s">
        <v>1274</v>
      </c>
      <c r="C592" t="s">
        <v>455</v>
      </c>
      <c r="D592" t="s">
        <v>27</v>
      </c>
      <c r="E592" t="s">
        <v>124</v>
      </c>
      <c r="F592" t="s">
        <v>55</v>
      </c>
      <c r="G592" t="s">
        <v>74</v>
      </c>
      <c r="H592" t="s">
        <v>75</v>
      </c>
      <c r="I592">
        <v>5114.41</v>
      </c>
      <c r="J592">
        <v>7</v>
      </c>
      <c r="K592" s="1">
        <v>0.15</v>
      </c>
      <c r="L592">
        <v>567.77</v>
      </c>
      <c r="M592" t="s">
        <v>63</v>
      </c>
      <c r="N592" t="s">
        <v>76</v>
      </c>
      <c r="O592" t="str">
        <f t="shared" si="54"/>
        <v>02/08/2024</v>
      </c>
      <c r="P592">
        <f t="shared" si="55"/>
        <v>2024</v>
      </c>
      <c r="Q592">
        <f t="shared" si="56"/>
        <v>8</v>
      </c>
      <c r="R592" t="str">
        <f t="shared" si="57"/>
        <v>August</v>
      </c>
      <c r="S592" t="str">
        <f t="shared" si="58"/>
        <v>Low</v>
      </c>
      <c r="T592" s="1">
        <f t="shared" si="59"/>
        <v>0.11101378262595295</v>
      </c>
      <c r="U592">
        <f>SUM($I$2:I592)</f>
        <v>2012652.8599999989</v>
      </c>
      <c r="V592" s="1">
        <f>Table1[[#This Row],[Running total ]]/SUM(I:I)</f>
        <v>0.5807759226864706</v>
      </c>
    </row>
    <row r="593" spans="1:22" x14ac:dyDescent="0.3">
      <c r="A593" t="s">
        <v>1275</v>
      </c>
      <c r="B593" t="s">
        <v>1204</v>
      </c>
      <c r="C593" t="s">
        <v>218</v>
      </c>
      <c r="D593" t="s">
        <v>48</v>
      </c>
      <c r="E593" t="s">
        <v>110</v>
      </c>
      <c r="F593" t="s">
        <v>19</v>
      </c>
      <c r="G593" t="s">
        <v>29</v>
      </c>
      <c r="H593" t="s">
        <v>30</v>
      </c>
      <c r="I593">
        <v>1392.8</v>
      </c>
      <c r="J593">
        <v>2</v>
      </c>
      <c r="K593" s="1">
        <v>0.2</v>
      </c>
      <c r="L593">
        <v>306.72000000000003</v>
      </c>
      <c r="M593" t="s">
        <v>44</v>
      </c>
      <c r="N593" t="s">
        <v>76</v>
      </c>
      <c r="O593" t="str">
        <f t="shared" si="54"/>
        <v>22/09/2024</v>
      </c>
      <c r="P593">
        <f t="shared" si="55"/>
        <v>2024</v>
      </c>
      <c r="Q593">
        <f t="shared" si="56"/>
        <v>9</v>
      </c>
      <c r="R593" t="str">
        <f t="shared" si="57"/>
        <v>September</v>
      </c>
      <c r="S593" t="str">
        <f t="shared" si="58"/>
        <v>Low</v>
      </c>
      <c r="T593" s="1">
        <f t="shared" si="59"/>
        <v>0.22021826536473293</v>
      </c>
      <c r="U593">
        <f>SUM($I$2:I593)</f>
        <v>2014045.659999999</v>
      </c>
      <c r="V593" s="1">
        <f>Table1[[#This Row],[Running total ]]/SUM(I:I)</f>
        <v>0.58117783238545251</v>
      </c>
    </row>
    <row r="594" spans="1:22" x14ac:dyDescent="0.3">
      <c r="A594" t="s">
        <v>1276</v>
      </c>
      <c r="B594" t="s">
        <v>1179</v>
      </c>
      <c r="C594" t="s">
        <v>335</v>
      </c>
      <c r="D594" t="s">
        <v>137</v>
      </c>
      <c r="E594" t="s">
        <v>142</v>
      </c>
      <c r="F594" t="s">
        <v>67</v>
      </c>
      <c r="G594" t="s">
        <v>115</v>
      </c>
      <c r="H594" t="s">
        <v>116</v>
      </c>
      <c r="I594">
        <v>4124.16</v>
      </c>
      <c r="J594">
        <v>9</v>
      </c>
      <c r="K594" s="1">
        <v>0.15</v>
      </c>
      <c r="L594">
        <v>509.96</v>
      </c>
      <c r="M594" t="s">
        <v>107</v>
      </c>
      <c r="N594" t="s">
        <v>39</v>
      </c>
      <c r="O594" t="str">
        <f t="shared" si="54"/>
        <v>13/09/2024</v>
      </c>
      <c r="P594">
        <f t="shared" si="55"/>
        <v>2024</v>
      </c>
      <c r="Q594">
        <f t="shared" si="56"/>
        <v>9</v>
      </c>
      <c r="R594" t="str">
        <f t="shared" si="57"/>
        <v>September</v>
      </c>
      <c r="S594" t="str">
        <f t="shared" si="58"/>
        <v>Low</v>
      </c>
      <c r="T594" s="1">
        <f t="shared" si="59"/>
        <v>0.12365184667908131</v>
      </c>
      <c r="U594">
        <f>SUM($I$2:I594)</f>
        <v>2018169.8199999989</v>
      </c>
      <c r="V594" s="1">
        <f>Table1[[#This Row],[Running total ]]/SUM(I:I)</f>
        <v>0.58236790985827946</v>
      </c>
    </row>
    <row r="595" spans="1:22" x14ac:dyDescent="0.3">
      <c r="A595" t="s">
        <v>1277</v>
      </c>
      <c r="B595" t="s">
        <v>1147</v>
      </c>
      <c r="C595" t="s">
        <v>434</v>
      </c>
      <c r="D595" t="s">
        <v>27</v>
      </c>
      <c r="E595" t="s">
        <v>124</v>
      </c>
      <c r="F595" t="s">
        <v>19</v>
      </c>
      <c r="G595" t="s">
        <v>20</v>
      </c>
      <c r="H595" t="s">
        <v>21</v>
      </c>
      <c r="I595">
        <v>2343.5300000000002</v>
      </c>
      <c r="J595">
        <v>7</v>
      </c>
      <c r="K595" s="1">
        <v>0.25</v>
      </c>
      <c r="L595">
        <v>-358.01</v>
      </c>
      <c r="M595" t="s">
        <v>63</v>
      </c>
      <c r="N595" t="s">
        <v>23</v>
      </c>
      <c r="O595" t="str">
        <f t="shared" si="54"/>
        <v>26/02/2025</v>
      </c>
      <c r="P595">
        <f t="shared" si="55"/>
        <v>2025</v>
      </c>
      <c r="Q595">
        <f t="shared" si="56"/>
        <v>2</v>
      </c>
      <c r="R595" t="str">
        <f t="shared" si="57"/>
        <v>February</v>
      </c>
      <c r="S595" t="str">
        <f t="shared" si="58"/>
        <v>Low</v>
      </c>
      <c r="T595" s="1">
        <f t="shared" si="59"/>
        <v>-0.15276527290028288</v>
      </c>
      <c r="U595">
        <f>SUM($I$2:I595)</f>
        <v>2020513.3499999989</v>
      </c>
      <c r="V595" s="1">
        <f>Table1[[#This Row],[Running total ]]/SUM(I:I)</f>
        <v>0.5830441644798009</v>
      </c>
    </row>
    <row r="596" spans="1:22" x14ac:dyDescent="0.3">
      <c r="A596" t="s">
        <v>1278</v>
      </c>
      <c r="B596" t="s">
        <v>1174</v>
      </c>
      <c r="C596" t="s">
        <v>278</v>
      </c>
      <c r="D596" t="s">
        <v>27</v>
      </c>
      <c r="E596" t="s">
        <v>28</v>
      </c>
      <c r="F596" t="s">
        <v>19</v>
      </c>
      <c r="G596" t="s">
        <v>36</v>
      </c>
      <c r="H596" t="s">
        <v>111</v>
      </c>
      <c r="I596">
        <v>7065.84</v>
      </c>
      <c r="J596">
        <v>8</v>
      </c>
      <c r="K596" s="1">
        <v>0.05</v>
      </c>
      <c r="L596">
        <v>112.31</v>
      </c>
      <c r="M596" t="s">
        <v>195</v>
      </c>
      <c r="N596" t="s">
        <v>39</v>
      </c>
      <c r="O596" t="str">
        <f t="shared" si="54"/>
        <v>08/01/2024</v>
      </c>
      <c r="P596">
        <f t="shared" si="55"/>
        <v>2024</v>
      </c>
      <c r="Q596">
        <f t="shared" si="56"/>
        <v>1</v>
      </c>
      <c r="R596" t="str">
        <f t="shared" si="57"/>
        <v>January</v>
      </c>
      <c r="S596" t="str">
        <f t="shared" si="58"/>
        <v>High</v>
      </c>
      <c r="T596" s="1">
        <f t="shared" si="59"/>
        <v>1.5894783918118723E-2</v>
      </c>
      <c r="U596">
        <f>SUM($I$2:I596)</f>
        <v>2027579.189999999</v>
      </c>
      <c r="V596" s="1">
        <f>Table1[[#This Row],[Running total ]]/SUM(I:I)</f>
        <v>0.58508310016866827</v>
      </c>
    </row>
    <row r="597" spans="1:22" x14ac:dyDescent="0.3">
      <c r="A597" t="s">
        <v>1279</v>
      </c>
      <c r="B597" t="s">
        <v>1280</v>
      </c>
      <c r="C597" t="s">
        <v>625</v>
      </c>
      <c r="D597" t="s">
        <v>137</v>
      </c>
      <c r="E597" t="s">
        <v>142</v>
      </c>
      <c r="F597" t="s">
        <v>67</v>
      </c>
      <c r="G597" t="s">
        <v>68</v>
      </c>
      <c r="H597" t="s">
        <v>69</v>
      </c>
      <c r="I597">
        <v>2349.85</v>
      </c>
      <c r="J597">
        <v>5</v>
      </c>
      <c r="K597" s="1">
        <v>0.1</v>
      </c>
      <c r="L597">
        <v>767</v>
      </c>
      <c r="M597" t="s">
        <v>22</v>
      </c>
      <c r="N597" t="s">
        <v>23</v>
      </c>
      <c r="O597" t="str">
        <f t="shared" si="54"/>
        <v>01/05/2025</v>
      </c>
      <c r="P597">
        <f t="shared" si="55"/>
        <v>2025</v>
      </c>
      <c r="Q597">
        <f t="shared" si="56"/>
        <v>5</v>
      </c>
      <c r="R597" t="str">
        <f t="shared" si="57"/>
        <v>May</v>
      </c>
      <c r="S597" t="str">
        <f t="shared" si="58"/>
        <v>Low</v>
      </c>
      <c r="T597" s="1">
        <f t="shared" si="59"/>
        <v>0.32640381300934102</v>
      </c>
      <c r="U597">
        <f>SUM($I$2:I597)</f>
        <v>2029929.0399999991</v>
      </c>
      <c r="V597" s="1">
        <f>Table1[[#This Row],[Running total ]]/SUM(I:I)</f>
        <v>0.5857611785045046</v>
      </c>
    </row>
    <row r="598" spans="1:22" x14ac:dyDescent="0.3">
      <c r="A598" t="s">
        <v>1281</v>
      </c>
      <c r="B598" t="s">
        <v>1282</v>
      </c>
      <c r="C598" t="s">
        <v>79</v>
      </c>
      <c r="D598" t="s">
        <v>27</v>
      </c>
      <c r="E598" t="s">
        <v>43</v>
      </c>
      <c r="F598" t="s">
        <v>19</v>
      </c>
      <c r="G598" t="s">
        <v>20</v>
      </c>
      <c r="H598" t="s">
        <v>347</v>
      </c>
      <c r="I598">
        <v>2595.65</v>
      </c>
      <c r="J598">
        <v>5</v>
      </c>
      <c r="K598" s="1">
        <v>0.1</v>
      </c>
      <c r="L598">
        <v>-9.84</v>
      </c>
      <c r="M598" t="s">
        <v>22</v>
      </c>
      <c r="N598" t="s">
        <v>39</v>
      </c>
      <c r="O598" t="str">
        <f t="shared" si="54"/>
        <v>09/01/2024</v>
      </c>
      <c r="P598">
        <f t="shared" si="55"/>
        <v>2024</v>
      </c>
      <c r="Q598">
        <f t="shared" si="56"/>
        <v>1</v>
      </c>
      <c r="R598" t="str">
        <f t="shared" si="57"/>
        <v>January</v>
      </c>
      <c r="S598" t="str">
        <f t="shared" si="58"/>
        <v>Low</v>
      </c>
      <c r="T598" s="1">
        <f t="shared" si="59"/>
        <v>-3.790957948876004E-3</v>
      </c>
      <c r="U598">
        <f>SUM($I$2:I598)</f>
        <v>2032524.689999999</v>
      </c>
      <c r="V598" s="1">
        <f>Table1[[#This Row],[Running total ]]/SUM(I:I)</f>
        <v>0.58651018547618927</v>
      </c>
    </row>
    <row r="599" spans="1:22" x14ac:dyDescent="0.3">
      <c r="A599" t="s">
        <v>1283</v>
      </c>
      <c r="B599" t="s">
        <v>600</v>
      </c>
      <c r="C599" t="s">
        <v>60</v>
      </c>
      <c r="D599" t="s">
        <v>17</v>
      </c>
      <c r="E599" t="s">
        <v>18</v>
      </c>
      <c r="F599" t="s">
        <v>67</v>
      </c>
      <c r="G599" t="s">
        <v>115</v>
      </c>
      <c r="H599" t="s">
        <v>116</v>
      </c>
      <c r="I599">
        <v>670.55</v>
      </c>
      <c r="J599">
        <v>5</v>
      </c>
      <c r="K599" s="1">
        <v>0</v>
      </c>
      <c r="L599">
        <v>239.03</v>
      </c>
      <c r="M599" t="s">
        <v>195</v>
      </c>
      <c r="N599" t="s">
        <v>23</v>
      </c>
      <c r="O599" t="str">
        <f t="shared" si="54"/>
        <v>27/10/2025</v>
      </c>
      <c r="P599">
        <f t="shared" si="55"/>
        <v>2025</v>
      </c>
      <c r="Q599">
        <f t="shared" si="56"/>
        <v>10</v>
      </c>
      <c r="R599" t="str">
        <f t="shared" si="57"/>
        <v>October</v>
      </c>
      <c r="S599" t="str">
        <f t="shared" si="58"/>
        <v>No Discount</v>
      </c>
      <c r="T599" s="1">
        <f t="shared" si="59"/>
        <v>0.35646857057639253</v>
      </c>
      <c r="U599">
        <f>SUM($I$2:I599)</f>
        <v>2033195.2399999991</v>
      </c>
      <c r="V599" s="1">
        <f>Table1[[#This Row],[Running total ]]/SUM(I:I)</f>
        <v>0.58670368098785808</v>
      </c>
    </row>
    <row r="600" spans="1:22" x14ac:dyDescent="0.3">
      <c r="A600" t="s">
        <v>1284</v>
      </c>
      <c r="B600" t="s">
        <v>372</v>
      </c>
      <c r="C600" t="s">
        <v>163</v>
      </c>
      <c r="D600" t="s">
        <v>17</v>
      </c>
      <c r="E600" t="s">
        <v>54</v>
      </c>
      <c r="F600" t="s">
        <v>67</v>
      </c>
      <c r="G600" t="s">
        <v>68</v>
      </c>
      <c r="H600" t="s">
        <v>382</v>
      </c>
      <c r="I600">
        <v>1326.36</v>
      </c>
      <c r="J600">
        <v>7</v>
      </c>
      <c r="K600" s="1">
        <v>0.3</v>
      </c>
      <c r="L600">
        <v>-10.119999999999999</v>
      </c>
      <c r="M600" t="s">
        <v>44</v>
      </c>
      <c r="N600" t="s">
        <v>39</v>
      </c>
      <c r="O600" t="str">
        <f t="shared" si="54"/>
        <v>28/07/2024</v>
      </c>
      <c r="P600">
        <f t="shared" si="55"/>
        <v>2024</v>
      </c>
      <c r="Q600">
        <f t="shared" si="56"/>
        <v>7</v>
      </c>
      <c r="R600" t="str">
        <f t="shared" si="57"/>
        <v>July</v>
      </c>
      <c r="S600" t="str">
        <f t="shared" si="58"/>
        <v>Low</v>
      </c>
      <c r="T600" s="1">
        <f t="shared" si="59"/>
        <v>-7.6299044000120633E-3</v>
      </c>
      <c r="U600">
        <f>SUM($I$2:I600)</f>
        <v>2034521.5999999992</v>
      </c>
      <c r="V600" s="1">
        <f>Table1[[#This Row],[Running total ]]/SUM(I:I)</f>
        <v>0.58708641860154398</v>
      </c>
    </row>
    <row r="601" spans="1:22" x14ac:dyDescent="0.3">
      <c r="A601" t="s">
        <v>1285</v>
      </c>
      <c r="B601" t="s">
        <v>700</v>
      </c>
      <c r="C601" t="s">
        <v>583</v>
      </c>
      <c r="D601" t="s">
        <v>48</v>
      </c>
      <c r="E601" t="s">
        <v>84</v>
      </c>
      <c r="F601" t="s">
        <v>67</v>
      </c>
      <c r="G601" t="s">
        <v>115</v>
      </c>
      <c r="H601" t="s">
        <v>212</v>
      </c>
      <c r="I601">
        <v>7943.11</v>
      </c>
      <c r="J601">
        <v>7</v>
      </c>
      <c r="K601" s="1">
        <v>0.25</v>
      </c>
      <c r="L601">
        <v>-1363.76</v>
      </c>
      <c r="M601" t="s">
        <v>44</v>
      </c>
      <c r="N601" t="s">
        <v>32</v>
      </c>
      <c r="O601" t="str">
        <f t="shared" si="54"/>
        <v>16/01/2024</v>
      </c>
      <c r="P601">
        <f t="shared" si="55"/>
        <v>2024</v>
      </c>
      <c r="Q601">
        <f t="shared" si="56"/>
        <v>1</v>
      </c>
      <c r="R601" t="str">
        <f t="shared" si="57"/>
        <v>January</v>
      </c>
      <c r="S601" t="str">
        <f t="shared" si="58"/>
        <v>Low</v>
      </c>
      <c r="T601" s="1">
        <f t="shared" si="59"/>
        <v>-0.17169093717699996</v>
      </c>
      <c r="U601">
        <f>SUM($I$2:I601)</f>
        <v>2042464.7099999993</v>
      </c>
      <c r="V601" s="1">
        <f>Table1[[#This Row],[Running total ]]/SUM(I:I)</f>
        <v>0.58937850141966597</v>
      </c>
    </row>
    <row r="602" spans="1:22" x14ac:dyDescent="0.3">
      <c r="A602" t="s">
        <v>1286</v>
      </c>
      <c r="B602" t="s">
        <v>506</v>
      </c>
      <c r="C602" t="s">
        <v>375</v>
      </c>
      <c r="D602" t="s">
        <v>137</v>
      </c>
      <c r="E602" t="s">
        <v>138</v>
      </c>
      <c r="F602" t="s">
        <v>55</v>
      </c>
      <c r="G602" t="s">
        <v>74</v>
      </c>
      <c r="H602" t="s">
        <v>272</v>
      </c>
      <c r="I602">
        <v>5981.34</v>
      </c>
      <c r="J602">
        <v>6</v>
      </c>
      <c r="K602" s="1">
        <v>0.2</v>
      </c>
      <c r="L602">
        <v>467.52</v>
      </c>
      <c r="M602" t="s">
        <v>31</v>
      </c>
      <c r="N602" t="s">
        <v>23</v>
      </c>
      <c r="O602" t="str">
        <f t="shared" si="54"/>
        <v>05/03/2024</v>
      </c>
      <c r="P602">
        <f t="shared" si="55"/>
        <v>2024</v>
      </c>
      <c r="Q602">
        <f t="shared" si="56"/>
        <v>3</v>
      </c>
      <c r="R602" t="str">
        <f t="shared" si="57"/>
        <v>March</v>
      </c>
      <c r="S602" t="str">
        <f t="shared" si="58"/>
        <v>Low</v>
      </c>
      <c r="T602" s="1">
        <f t="shared" si="59"/>
        <v>7.8163087201195719E-2</v>
      </c>
      <c r="U602">
        <f>SUM($I$2:I602)</f>
        <v>2048446.0499999993</v>
      </c>
      <c r="V602" s="1">
        <f>Table1[[#This Row],[Running total ]]/SUM(I:I)</f>
        <v>0.59110449119487318</v>
      </c>
    </row>
    <row r="603" spans="1:22" x14ac:dyDescent="0.3">
      <c r="A603" t="s">
        <v>1287</v>
      </c>
      <c r="B603" t="s">
        <v>1174</v>
      </c>
      <c r="C603" t="s">
        <v>292</v>
      </c>
      <c r="D603" t="s">
        <v>48</v>
      </c>
      <c r="E603" t="s">
        <v>49</v>
      </c>
      <c r="F603" t="s">
        <v>67</v>
      </c>
      <c r="G603" t="s">
        <v>85</v>
      </c>
      <c r="H603" t="s">
        <v>125</v>
      </c>
      <c r="I603">
        <v>209.72</v>
      </c>
      <c r="J603">
        <v>2</v>
      </c>
      <c r="K603" s="1">
        <v>0.05</v>
      </c>
      <c r="L603">
        <v>4.6900000000000004</v>
      </c>
      <c r="M603" t="s">
        <v>63</v>
      </c>
      <c r="N603" t="s">
        <v>23</v>
      </c>
      <c r="O603" t="str">
        <f t="shared" si="54"/>
        <v>08/01/2024</v>
      </c>
      <c r="P603">
        <f t="shared" si="55"/>
        <v>2024</v>
      </c>
      <c r="Q603">
        <f t="shared" si="56"/>
        <v>1</v>
      </c>
      <c r="R603" t="str">
        <f t="shared" si="57"/>
        <v>January</v>
      </c>
      <c r="S603" t="str">
        <f t="shared" si="58"/>
        <v>High</v>
      </c>
      <c r="T603" s="1">
        <f t="shared" si="59"/>
        <v>2.2363150867823766E-2</v>
      </c>
      <c r="U603">
        <f>SUM($I$2:I603)</f>
        <v>2048655.7699999993</v>
      </c>
      <c r="V603" s="1">
        <f>Table1[[#This Row],[Running total ]]/SUM(I:I)</f>
        <v>0.59116500849963372</v>
      </c>
    </row>
    <row r="604" spans="1:22" x14ac:dyDescent="0.3">
      <c r="A604" t="s">
        <v>1288</v>
      </c>
      <c r="B604" t="s">
        <v>234</v>
      </c>
      <c r="C604" t="s">
        <v>672</v>
      </c>
      <c r="D604" t="s">
        <v>48</v>
      </c>
      <c r="E604" t="s">
        <v>84</v>
      </c>
      <c r="F604" t="s">
        <v>55</v>
      </c>
      <c r="G604" t="s">
        <v>98</v>
      </c>
      <c r="H604" t="s">
        <v>99</v>
      </c>
      <c r="I604">
        <v>1101.76</v>
      </c>
      <c r="J604">
        <v>2</v>
      </c>
      <c r="K604" s="1">
        <v>0.25</v>
      </c>
      <c r="L604">
        <v>35.380000000000003</v>
      </c>
      <c r="M604" t="s">
        <v>143</v>
      </c>
      <c r="N604" t="s">
        <v>23</v>
      </c>
      <c r="O604" t="str">
        <f t="shared" si="54"/>
        <v>02/03/2025</v>
      </c>
      <c r="P604">
        <f t="shared" si="55"/>
        <v>2025</v>
      </c>
      <c r="Q604">
        <f t="shared" si="56"/>
        <v>3</v>
      </c>
      <c r="R604" t="str">
        <f t="shared" si="57"/>
        <v>March</v>
      </c>
      <c r="S604" t="str">
        <f t="shared" si="58"/>
        <v>Low</v>
      </c>
      <c r="T604" s="1">
        <f t="shared" si="59"/>
        <v>3.2112256752831837E-2</v>
      </c>
      <c r="U604">
        <f>SUM($I$2:I604)</f>
        <v>2049757.5299999993</v>
      </c>
      <c r="V604" s="1">
        <f>Table1[[#This Row],[Running total ]]/SUM(I:I)</f>
        <v>0.59148293500017246</v>
      </c>
    </row>
    <row r="605" spans="1:22" x14ac:dyDescent="0.3">
      <c r="A605" t="s">
        <v>1289</v>
      </c>
      <c r="B605" t="s">
        <v>59</v>
      </c>
      <c r="C605" t="s">
        <v>79</v>
      </c>
      <c r="D605" t="s">
        <v>48</v>
      </c>
      <c r="E605" t="s">
        <v>110</v>
      </c>
      <c r="F605" t="s">
        <v>67</v>
      </c>
      <c r="G605" t="s">
        <v>115</v>
      </c>
      <c r="H605" t="s">
        <v>212</v>
      </c>
      <c r="I605">
        <v>424.4</v>
      </c>
      <c r="J605">
        <v>5</v>
      </c>
      <c r="K605" s="1">
        <v>0.15</v>
      </c>
      <c r="L605">
        <v>91.88</v>
      </c>
      <c r="M605" t="s">
        <v>38</v>
      </c>
      <c r="N605" t="s">
        <v>76</v>
      </c>
      <c r="O605" t="str">
        <f t="shared" si="54"/>
        <v>15/10/2024</v>
      </c>
      <c r="P605">
        <f t="shared" si="55"/>
        <v>2024</v>
      </c>
      <c r="Q605">
        <f t="shared" si="56"/>
        <v>10</v>
      </c>
      <c r="R605" t="str">
        <f t="shared" si="57"/>
        <v>October</v>
      </c>
      <c r="S605" t="str">
        <f t="shared" si="58"/>
        <v>Low</v>
      </c>
      <c r="T605" s="1">
        <f t="shared" si="59"/>
        <v>0.21649387370405279</v>
      </c>
      <c r="U605">
        <f>SUM($I$2:I605)</f>
        <v>2050181.9299999992</v>
      </c>
      <c r="V605" s="1">
        <f>Table1[[#This Row],[Running total ]]/SUM(I:I)</f>
        <v>0.5916054008791557</v>
      </c>
    </row>
    <row r="606" spans="1:22" x14ac:dyDescent="0.3">
      <c r="A606" t="s">
        <v>1290</v>
      </c>
      <c r="B606" t="s">
        <v>1291</v>
      </c>
      <c r="C606" t="s">
        <v>535</v>
      </c>
      <c r="D606" t="s">
        <v>137</v>
      </c>
      <c r="E606" t="s">
        <v>142</v>
      </c>
      <c r="F606" t="s">
        <v>55</v>
      </c>
      <c r="G606" t="s">
        <v>74</v>
      </c>
      <c r="H606" t="s">
        <v>133</v>
      </c>
      <c r="I606">
        <v>124.72</v>
      </c>
      <c r="J606">
        <v>4</v>
      </c>
      <c r="K606" s="1">
        <v>0.15</v>
      </c>
      <c r="L606">
        <v>-3.76</v>
      </c>
      <c r="M606" t="s">
        <v>22</v>
      </c>
      <c r="N606" t="s">
        <v>23</v>
      </c>
      <c r="O606" t="str">
        <f t="shared" si="54"/>
        <v>09/04/2025</v>
      </c>
      <c r="P606">
        <f t="shared" si="55"/>
        <v>2025</v>
      </c>
      <c r="Q606">
        <f t="shared" si="56"/>
        <v>4</v>
      </c>
      <c r="R606" t="str">
        <f t="shared" si="57"/>
        <v>April</v>
      </c>
      <c r="S606" t="str">
        <f t="shared" si="58"/>
        <v>Low</v>
      </c>
      <c r="T606" s="1">
        <f t="shared" si="59"/>
        <v>-3.0147530468248876E-2</v>
      </c>
      <c r="U606">
        <f>SUM($I$2:I606)</f>
        <v>2050306.6499999992</v>
      </c>
      <c r="V606" s="1">
        <f>Table1[[#This Row],[Running total ]]/SUM(I:I)</f>
        <v>0.59164139038063257</v>
      </c>
    </row>
    <row r="607" spans="1:22" x14ac:dyDescent="0.3">
      <c r="A607" t="s">
        <v>1292</v>
      </c>
      <c r="B607" t="s">
        <v>1293</v>
      </c>
      <c r="C607" t="s">
        <v>1294</v>
      </c>
      <c r="D607" t="s">
        <v>48</v>
      </c>
      <c r="E607" t="s">
        <v>110</v>
      </c>
      <c r="F607" t="s">
        <v>19</v>
      </c>
      <c r="G607" t="s">
        <v>20</v>
      </c>
      <c r="H607" t="s">
        <v>347</v>
      </c>
      <c r="I607">
        <v>638.91</v>
      </c>
      <c r="J607">
        <v>3</v>
      </c>
      <c r="K607" s="1">
        <v>0.15</v>
      </c>
      <c r="L607">
        <v>124.97</v>
      </c>
      <c r="M607" t="s">
        <v>31</v>
      </c>
      <c r="N607" t="s">
        <v>39</v>
      </c>
      <c r="O607" t="str">
        <f t="shared" si="54"/>
        <v>15/08/2024</v>
      </c>
      <c r="P607">
        <f t="shared" si="55"/>
        <v>2024</v>
      </c>
      <c r="Q607">
        <f t="shared" si="56"/>
        <v>8</v>
      </c>
      <c r="R607" t="str">
        <f t="shared" si="57"/>
        <v>August</v>
      </c>
      <c r="S607" t="str">
        <f t="shared" si="58"/>
        <v>Low</v>
      </c>
      <c r="T607" s="1">
        <f t="shared" si="59"/>
        <v>0.19559875412812447</v>
      </c>
      <c r="U607">
        <f>SUM($I$2:I607)</f>
        <v>2050945.5599999991</v>
      </c>
      <c r="V607" s="1">
        <f>Table1[[#This Row],[Running total ]]/SUM(I:I)</f>
        <v>0.59182575577823204</v>
      </c>
    </row>
    <row r="608" spans="1:22" x14ac:dyDescent="0.3">
      <c r="A608" t="s">
        <v>1295</v>
      </c>
      <c r="B608" t="s">
        <v>1296</v>
      </c>
      <c r="C608" t="s">
        <v>153</v>
      </c>
      <c r="D608" t="s">
        <v>137</v>
      </c>
      <c r="E608" t="s">
        <v>138</v>
      </c>
      <c r="F608" t="s">
        <v>55</v>
      </c>
      <c r="G608" t="s">
        <v>56</v>
      </c>
      <c r="H608" t="s">
        <v>57</v>
      </c>
      <c r="I608">
        <v>121.08</v>
      </c>
      <c r="J608">
        <v>4</v>
      </c>
      <c r="K608" s="1">
        <v>0.2</v>
      </c>
      <c r="L608">
        <v>6.65</v>
      </c>
      <c r="M608" t="s">
        <v>44</v>
      </c>
      <c r="N608" t="s">
        <v>76</v>
      </c>
      <c r="O608" t="str">
        <f t="shared" si="54"/>
        <v>29/05/2024</v>
      </c>
      <c r="P608">
        <f t="shared" si="55"/>
        <v>2024</v>
      </c>
      <c r="Q608">
        <f t="shared" si="56"/>
        <v>5</v>
      </c>
      <c r="R608" t="str">
        <f t="shared" si="57"/>
        <v>May</v>
      </c>
      <c r="S608" t="str">
        <f t="shared" si="58"/>
        <v>Low</v>
      </c>
      <c r="T608" s="1">
        <f t="shared" si="59"/>
        <v>5.4922365378262311E-2</v>
      </c>
      <c r="U608">
        <f>SUM($I$2:I608)</f>
        <v>2051066.6399999992</v>
      </c>
      <c r="V608" s="1">
        <f>Table1[[#This Row],[Running total ]]/SUM(I:I)</f>
        <v>0.59186069491260362</v>
      </c>
    </row>
    <row r="609" spans="1:22" x14ac:dyDescent="0.3">
      <c r="A609" t="s">
        <v>1297</v>
      </c>
      <c r="B609" t="s">
        <v>477</v>
      </c>
      <c r="C609" t="s">
        <v>1006</v>
      </c>
      <c r="D609" t="s">
        <v>137</v>
      </c>
      <c r="E609" t="s">
        <v>138</v>
      </c>
      <c r="F609" t="s">
        <v>55</v>
      </c>
      <c r="G609" t="s">
        <v>56</v>
      </c>
      <c r="H609" t="s">
        <v>57</v>
      </c>
      <c r="I609">
        <v>3495.92</v>
      </c>
      <c r="J609">
        <v>4</v>
      </c>
      <c r="K609" s="1">
        <v>0.3</v>
      </c>
      <c r="L609">
        <v>-379.17</v>
      </c>
      <c r="M609" t="s">
        <v>195</v>
      </c>
      <c r="N609" t="s">
        <v>76</v>
      </c>
      <c r="O609" t="str">
        <f t="shared" si="54"/>
        <v>29/12/2024</v>
      </c>
      <c r="P609">
        <f t="shared" si="55"/>
        <v>2024</v>
      </c>
      <c r="Q609">
        <f t="shared" si="56"/>
        <v>12</v>
      </c>
      <c r="R609" t="str">
        <f t="shared" si="57"/>
        <v>December</v>
      </c>
      <c r="S609" t="str">
        <f t="shared" si="58"/>
        <v>Low</v>
      </c>
      <c r="T609" s="1">
        <f t="shared" si="59"/>
        <v>-0.10846071992494108</v>
      </c>
      <c r="U609">
        <f>SUM($I$2:I609)</f>
        <v>2054562.5599999991</v>
      </c>
      <c r="V609" s="1">
        <f>Table1[[#This Row],[Running total ]]/SUM(I:I)</f>
        <v>0.59286948594854916</v>
      </c>
    </row>
    <row r="610" spans="1:22" x14ac:dyDescent="0.3">
      <c r="A610" t="s">
        <v>1298</v>
      </c>
      <c r="B610" t="s">
        <v>1123</v>
      </c>
      <c r="C610" t="s">
        <v>491</v>
      </c>
      <c r="D610" t="s">
        <v>17</v>
      </c>
      <c r="E610" t="s">
        <v>18</v>
      </c>
      <c r="F610" t="s">
        <v>19</v>
      </c>
      <c r="G610" t="s">
        <v>36</v>
      </c>
      <c r="H610" t="s">
        <v>111</v>
      </c>
      <c r="I610">
        <v>5155.3</v>
      </c>
      <c r="J610">
        <v>10</v>
      </c>
      <c r="K610" s="1">
        <v>0.25</v>
      </c>
      <c r="L610">
        <v>-942.51</v>
      </c>
      <c r="M610" t="s">
        <v>31</v>
      </c>
      <c r="N610" t="s">
        <v>23</v>
      </c>
      <c r="O610" t="str">
        <f t="shared" si="54"/>
        <v>10/08/2024</v>
      </c>
      <c r="P610">
        <f t="shared" si="55"/>
        <v>2024</v>
      </c>
      <c r="Q610">
        <f t="shared" si="56"/>
        <v>8</v>
      </c>
      <c r="R610" t="str">
        <f t="shared" si="57"/>
        <v>August</v>
      </c>
      <c r="S610" t="str">
        <f t="shared" si="58"/>
        <v>Low</v>
      </c>
      <c r="T610" s="1">
        <f t="shared" si="59"/>
        <v>-0.18282350202704012</v>
      </c>
      <c r="U610">
        <f>SUM($I$2:I610)</f>
        <v>2059717.8599999992</v>
      </c>
      <c r="V610" s="1">
        <f>Table1[[#This Row],[Running total ]]/SUM(I:I)</f>
        <v>0.59435711164582194</v>
      </c>
    </row>
    <row r="611" spans="1:22" x14ac:dyDescent="0.3">
      <c r="A611" t="s">
        <v>1299</v>
      </c>
      <c r="B611" t="s">
        <v>135</v>
      </c>
      <c r="C611" t="s">
        <v>198</v>
      </c>
      <c r="D611" t="s">
        <v>27</v>
      </c>
      <c r="E611" t="s">
        <v>43</v>
      </c>
      <c r="F611" t="s">
        <v>67</v>
      </c>
      <c r="G611" t="s">
        <v>85</v>
      </c>
      <c r="H611" t="s">
        <v>86</v>
      </c>
      <c r="I611">
        <v>4143.5600000000004</v>
      </c>
      <c r="J611">
        <v>4</v>
      </c>
      <c r="K611" s="1">
        <v>0.2</v>
      </c>
      <c r="L611">
        <v>63.35</v>
      </c>
      <c r="M611" t="s">
        <v>63</v>
      </c>
      <c r="N611" t="s">
        <v>76</v>
      </c>
      <c r="O611" t="str">
        <f t="shared" si="54"/>
        <v>24/07/2025</v>
      </c>
      <c r="P611">
        <f t="shared" si="55"/>
        <v>2025</v>
      </c>
      <c r="Q611">
        <f t="shared" si="56"/>
        <v>7</v>
      </c>
      <c r="R611" t="str">
        <f t="shared" si="57"/>
        <v>July</v>
      </c>
      <c r="S611" t="str">
        <f t="shared" si="58"/>
        <v>Low</v>
      </c>
      <c r="T611" s="1">
        <f t="shared" si="59"/>
        <v>1.5288785488806725E-2</v>
      </c>
      <c r="U611">
        <f>SUM($I$2:I611)</f>
        <v>2063861.4199999992</v>
      </c>
      <c r="V611" s="1">
        <f>Table1[[#This Row],[Running total ]]/SUM(I:I)</f>
        <v>0.59555278722904537</v>
      </c>
    </row>
    <row r="612" spans="1:22" x14ac:dyDescent="0.3">
      <c r="A612" t="s">
        <v>1300</v>
      </c>
      <c r="B612" t="s">
        <v>875</v>
      </c>
      <c r="C612" t="s">
        <v>690</v>
      </c>
      <c r="D612" t="s">
        <v>48</v>
      </c>
      <c r="E612" t="s">
        <v>84</v>
      </c>
      <c r="F612" t="s">
        <v>55</v>
      </c>
      <c r="G612" t="s">
        <v>74</v>
      </c>
      <c r="H612" t="s">
        <v>133</v>
      </c>
      <c r="I612">
        <v>8462.8799999999992</v>
      </c>
      <c r="J612">
        <v>9</v>
      </c>
      <c r="K612" s="1">
        <v>0.05</v>
      </c>
      <c r="L612">
        <v>2387.1999999999998</v>
      </c>
      <c r="M612" t="s">
        <v>107</v>
      </c>
      <c r="N612" t="s">
        <v>76</v>
      </c>
      <c r="O612" t="str">
        <f t="shared" si="54"/>
        <v>01/12/2025</v>
      </c>
      <c r="P612">
        <f t="shared" si="55"/>
        <v>2025</v>
      </c>
      <c r="Q612">
        <f t="shared" si="56"/>
        <v>12</v>
      </c>
      <c r="R612" t="str">
        <f t="shared" si="57"/>
        <v>December</v>
      </c>
      <c r="S612" t="str">
        <f t="shared" si="58"/>
        <v>High</v>
      </c>
      <c r="T612" s="1">
        <f t="shared" si="59"/>
        <v>0.28207891403399316</v>
      </c>
      <c r="U612">
        <f>SUM($I$2:I612)</f>
        <v>2072324.2999999991</v>
      </c>
      <c r="V612" s="1">
        <f>Table1[[#This Row],[Running total ]]/SUM(I:I)</f>
        <v>0.59799485612143488</v>
      </c>
    </row>
    <row r="613" spans="1:22" x14ac:dyDescent="0.3">
      <c r="A613" t="s">
        <v>1301</v>
      </c>
      <c r="B613" t="s">
        <v>127</v>
      </c>
      <c r="C613" t="s">
        <v>132</v>
      </c>
      <c r="D613" t="s">
        <v>137</v>
      </c>
      <c r="E613" t="s">
        <v>242</v>
      </c>
      <c r="F613" t="s">
        <v>55</v>
      </c>
      <c r="G613" t="s">
        <v>98</v>
      </c>
      <c r="H613" t="s">
        <v>99</v>
      </c>
      <c r="I613">
        <v>708.66</v>
      </c>
      <c r="J613">
        <v>3</v>
      </c>
      <c r="K613" s="1">
        <v>0.15</v>
      </c>
      <c r="L613">
        <v>108.53</v>
      </c>
      <c r="M613" t="s">
        <v>107</v>
      </c>
      <c r="N613" t="s">
        <v>39</v>
      </c>
      <c r="O613" t="str">
        <f t="shared" si="54"/>
        <v>20/12/2024</v>
      </c>
      <c r="P613">
        <f t="shared" si="55"/>
        <v>2024</v>
      </c>
      <c r="Q613">
        <f t="shared" si="56"/>
        <v>12</v>
      </c>
      <c r="R613" t="str">
        <f t="shared" si="57"/>
        <v>December</v>
      </c>
      <c r="S613" t="str">
        <f t="shared" si="58"/>
        <v>Low</v>
      </c>
      <c r="T613" s="1">
        <f t="shared" si="59"/>
        <v>0.15314819518527928</v>
      </c>
      <c r="U613">
        <f>SUM($I$2:I613)</f>
        <v>2073032.959999999</v>
      </c>
      <c r="V613" s="1">
        <f>Table1[[#This Row],[Running total ]]/SUM(I:I)</f>
        <v>0.59819934874584646</v>
      </c>
    </row>
    <row r="614" spans="1:22" x14ac:dyDescent="0.3">
      <c r="A614" t="s">
        <v>1302</v>
      </c>
      <c r="B614" t="s">
        <v>558</v>
      </c>
      <c r="C614" t="s">
        <v>308</v>
      </c>
      <c r="D614" t="s">
        <v>137</v>
      </c>
      <c r="E614" t="s">
        <v>138</v>
      </c>
      <c r="F614" t="s">
        <v>19</v>
      </c>
      <c r="G614" t="s">
        <v>29</v>
      </c>
      <c r="H614" t="s">
        <v>50</v>
      </c>
      <c r="I614">
        <v>6601.5</v>
      </c>
      <c r="J614">
        <v>10</v>
      </c>
      <c r="K614" s="1">
        <v>0.1</v>
      </c>
      <c r="L614">
        <v>1066.8499999999999</v>
      </c>
      <c r="M614" t="s">
        <v>143</v>
      </c>
      <c r="N614" t="s">
        <v>32</v>
      </c>
      <c r="O614" t="str">
        <f t="shared" si="54"/>
        <v>21/03/2025</v>
      </c>
      <c r="P614">
        <f t="shared" si="55"/>
        <v>2025</v>
      </c>
      <c r="Q614">
        <f t="shared" si="56"/>
        <v>3</v>
      </c>
      <c r="R614" t="str">
        <f t="shared" si="57"/>
        <v>March</v>
      </c>
      <c r="S614" t="str">
        <f t="shared" si="58"/>
        <v>Low</v>
      </c>
      <c r="T614" s="1">
        <f t="shared" si="59"/>
        <v>0.1616072104824661</v>
      </c>
      <c r="U614">
        <f>SUM($I$2:I614)</f>
        <v>2079634.459999999</v>
      </c>
      <c r="V614" s="1">
        <f>Table1[[#This Row],[Running total ]]/SUM(I:I)</f>
        <v>0.60010429337381122</v>
      </c>
    </row>
    <row r="615" spans="1:22" x14ac:dyDescent="0.3">
      <c r="A615" t="s">
        <v>1303</v>
      </c>
      <c r="B615" t="s">
        <v>1304</v>
      </c>
      <c r="C615" t="s">
        <v>60</v>
      </c>
      <c r="D615" t="s">
        <v>27</v>
      </c>
      <c r="E615" t="s">
        <v>61</v>
      </c>
      <c r="F615" t="s">
        <v>67</v>
      </c>
      <c r="G615" t="s">
        <v>85</v>
      </c>
      <c r="H615" t="s">
        <v>125</v>
      </c>
      <c r="I615">
        <v>3207.42</v>
      </c>
      <c r="J615">
        <v>6</v>
      </c>
      <c r="K615" s="1">
        <v>0.15</v>
      </c>
      <c r="L615">
        <v>-100.21</v>
      </c>
      <c r="M615" t="s">
        <v>87</v>
      </c>
      <c r="N615" t="s">
        <v>32</v>
      </c>
      <c r="O615" t="str">
        <f t="shared" si="54"/>
        <v>23/05/2025</v>
      </c>
      <c r="P615">
        <f t="shared" si="55"/>
        <v>2025</v>
      </c>
      <c r="Q615">
        <f t="shared" si="56"/>
        <v>5</v>
      </c>
      <c r="R615" t="str">
        <f t="shared" si="57"/>
        <v>May</v>
      </c>
      <c r="S615" t="str">
        <f t="shared" si="58"/>
        <v>Low</v>
      </c>
      <c r="T615" s="1">
        <f t="shared" si="59"/>
        <v>-3.124317987666099E-2</v>
      </c>
      <c r="U615">
        <f>SUM($I$2:I615)</f>
        <v>2082841.879999999</v>
      </c>
      <c r="V615" s="1">
        <f>Table1[[#This Row],[Running total ]]/SUM(I:I)</f>
        <v>0.60102983415978806</v>
      </c>
    </row>
    <row r="616" spans="1:22" x14ac:dyDescent="0.3">
      <c r="A616" t="s">
        <v>1305</v>
      </c>
      <c r="B616" t="s">
        <v>95</v>
      </c>
      <c r="C616" t="s">
        <v>146</v>
      </c>
      <c r="D616" t="s">
        <v>17</v>
      </c>
      <c r="E616" t="s">
        <v>80</v>
      </c>
      <c r="F616" t="s">
        <v>67</v>
      </c>
      <c r="G616" t="s">
        <v>85</v>
      </c>
      <c r="H616" t="s">
        <v>86</v>
      </c>
      <c r="I616">
        <v>477.98</v>
      </c>
      <c r="J616">
        <v>2</v>
      </c>
      <c r="K616" s="1">
        <v>0.3</v>
      </c>
      <c r="L616">
        <v>-27.44</v>
      </c>
      <c r="M616" t="s">
        <v>143</v>
      </c>
      <c r="N616" t="s">
        <v>76</v>
      </c>
      <c r="O616" t="str">
        <f t="shared" si="54"/>
        <v>23/03/2025</v>
      </c>
      <c r="P616">
        <f t="shared" si="55"/>
        <v>2025</v>
      </c>
      <c r="Q616">
        <f t="shared" si="56"/>
        <v>3</v>
      </c>
      <c r="R616" t="str">
        <f t="shared" si="57"/>
        <v>March</v>
      </c>
      <c r="S616" t="str">
        <f t="shared" si="58"/>
        <v>Low</v>
      </c>
      <c r="T616" s="1">
        <f t="shared" si="59"/>
        <v>-5.740825975982259E-2</v>
      </c>
      <c r="U616">
        <f>SUM($I$2:I616)</f>
        <v>2083319.8599999989</v>
      </c>
      <c r="V616" s="1">
        <f>Table1[[#This Row],[Running total ]]/SUM(I:I)</f>
        <v>0.60116776121171178</v>
      </c>
    </row>
    <row r="617" spans="1:22" x14ac:dyDescent="0.3">
      <c r="A617" t="s">
        <v>1306</v>
      </c>
      <c r="B617" t="s">
        <v>1307</v>
      </c>
      <c r="C617" t="s">
        <v>146</v>
      </c>
      <c r="D617" t="s">
        <v>17</v>
      </c>
      <c r="E617" t="s">
        <v>18</v>
      </c>
      <c r="F617" t="s">
        <v>55</v>
      </c>
      <c r="G617" t="s">
        <v>74</v>
      </c>
      <c r="H617" t="s">
        <v>272</v>
      </c>
      <c r="I617">
        <v>8957.52</v>
      </c>
      <c r="J617">
        <v>9</v>
      </c>
      <c r="K617" s="1">
        <v>0.05</v>
      </c>
      <c r="L617">
        <v>2687.85</v>
      </c>
      <c r="M617" t="s">
        <v>38</v>
      </c>
      <c r="N617" t="s">
        <v>23</v>
      </c>
      <c r="O617" t="str">
        <f t="shared" si="54"/>
        <v>10/01/2024</v>
      </c>
      <c r="P617">
        <f t="shared" si="55"/>
        <v>2024</v>
      </c>
      <c r="Q617">
        <f t="shared" si="56"/>
        <v>1</v>
      </c>
      <c r="R617" t="str">
        <f t="shared" si="57"/>
        <v>January</v>
      </c>
      <c r="S617" t="str">
        <f t="shared" si="58"/>
        <v>High</v>
      </c>
      <c r="T617" s="1">
        <f t="shared" si="59"/>
        <v>0.30006631299734743</v>
      </c>
      <c r="U617">
        <f>SUM($I$2:I617)</f>
        <v>2092277.379999999</v>
      </c>
      <c r="V617" s="1">
        <f>Table1[[#This Row],[Running total ]]/SUM(I:I)</f>
        <v>0.60375256460546867</v>
      </c>
    </row>
    <row r="618" spans="1:22" x14ac:dyDescent="0.3">
      <c r="A618" t="s">
        <v>1308</v>
      </c>
      <c r="B618" t="s">
        <v>180</v>
      </c>
      <c r="C618" t="s">
        <v>646</v>
      </c>
      <c r="D618" t="s">
        <v>27</v>
      </c>
      <c r="E618" t="s">
        <v>61</v>
      </c>
      <c r="F618" t="s">
        <v>67</v>
      </c>
      <c r="G618" t="s">
        <v>68</v>
      </c>
      <c r="H618" t="s">
        <v>103</v>
      </c>
      <c r="I618">
        <v>234.84</v>
      </c>
      <c r="J618">
        <v>6</v>
      </c>
      <c r="K618" s="1">
        <v>0.1</v>
      </c>
      <c r="L618">
        <v>20.02</v>
      </c>
      <c r="M618" t="s">
        <v>44</v>
      </c>
      <c r="N618" t="s">
        <v>76</v>
      </c>
      <c r="O618" t="str">
        <f t="shared" si="54"/>
        <v>03/07/2024</v>
      </c>
      <c r="P618">
        <f t="shared" si="55"/>
        <v>2024</v>
      </c>
      <c r="Q618">
        <f t="shared" si="56"/>
        <v>7</v>
      </c>
      <c r="R618" t="str">
        <f t="shared" si="57"/>
        <v>July</v>
      </c>
      <c r="S618" t="str">
        <f t="shared" si="58"/>
        <v>Low</v>
      </c>
      <c r="T618" s="1">
        <f t="shared" si="59"/>
        <v>8.5249531595980241E-2</v>
      </c>
      <c r="U618">
        <f>SUM($I$2:I618)</f>
        <v>2092512.219999999</v>
      </c>
      <c r="V618" s="1">
        <f>Table1[[#This Row],[Running total ]]/SUM(I:I)</f>
        <v>0.60382033059750551</v>
      </c>
    </row>
    <row r="619" spans="1:22" x14ac:dyDescent="0.3">
      <c r="A619" t="s">
        <v>1309</v>
      </c>
      <c r="B619" t="s">
        <v>472</v>
      </c>
      <c r="C619" t="s">
        <v>903</v>
      </c>
      <c r="D619" t="s">
        <v>48</v>
      </c>
      <c r="E619" t="s">
        <v>84</v>
      </c>
      <c r="F619" t="s">
        <v>67</v>
      </c>
      <c r="G619" t="s">
        <v>85</v>
      </c>
      <c r="H619" t="s">
        <v>253</v>
      </c>
      <c r="I619">
        <v>1061.58</v>
      </c>
      <c r="J619">
        <v>6</v>
      </c>
      <c r="K619" s="1">
        <v>0.25</v>
      </c>
      <c r="L619">
        <v>-95.35</v>
      </c>
      <c r="M619" t="s">
        <v>117</v>
      </c>
      <c r="N619" t="s">
        <v>32</v>
      </c>
      <c r="O619" t="str">
        <f t="shared" si="54"/>
        <v>07/08/2025</v>
      </c>
      <c r="P619">
        <f t="shared" si="55"/>
        <v>2025</v>
      </c>
      <c r="Q619">
        <f t="shared" si="56"/>
        <v>8</v>
      </c>
      <c r="R619" t="str">
        <f t="shared" si="57"/>
        <v>August</v>
      </c>
      <c r="S619" t="str">
        <f t="shared" si="58"/>
        <v>Low</v>
      </c>
      <c r="T619" s="1">
        <f t="shared" si="59"/>
        <v>-8.9818949113585414E-2</v>
      </c>
      <c r="U619">
        <f>SUM($I$2:I619)</f>
        <v>2093573.7999999991</v>
      </c>
      <c r="V619" s="1">
        <f>Table1[[#This Row],[Running total ]]/SUM(I:I)</f>
        <v>0.60412666266115089</v>
      </c>
    </row>
    <row r="620" spans="1:22" x14ac:dyDescent="0.3">
      <c r="A620" t="s">
        <v>1310</v>
      </c>
      <c r="B620" t="s">
        <v>255</v>
      </c>
      <c r="C620" t="s">
        <v>186</v>
      </c>
      <c r="D620" t="s">
        <v>48</v>
      </c>
      <c r="E620" t="s">
        <v>110</v>
      </c>
      <c r="F620" t="s">
        <v>67</v>
      </c>
      <c r="G620" t="s">
        <v>68</v>
      </c>
      <c r="H620" t="s">
        <v>103</v>
      </c>
      <c r="I620">
        <v>1102.8499999999999</v>
      </c>
      <c r="J620">
        <v>7</v>
      </c>
      <c r="K620" s="1">
        <v>0</v>
      </c>
      <c r="L620">
        <v>490.92</v>
      </c>
      <c r="M620" t="s">
        <v>143</v>
      </c>
      <c r="N620" t="s">
        <v>39</v>
      </c>
      <c r="O620" t="str">
        <f t="shared" si="54"/>
        <v>29/04/2024</v>
      </c>
      <c r="P620">
        <f t="shared" si="55"/>
        <v>2024</v>
      </c>
      <c r="Q620">
        <f t="shared" si="56"/>
        <v>4</v>
      </c>
      <c r="R620" t="str">
        <f t="shared" si="57"/>
        <v>April</v>
      </c>
      <c r="S620" t="str">
        <f t="shared" si="58"/>
        <v>No Discount</v>
      </c>
      <c r="T620" s="1">
        <f t="shared" si="59"/>
        <v>0.44513759804143815</v>
      </c>
      <c r="U620">
        <f>SUM($I$2:I620)</f>
        <v>2094676.6499999992</v>
      </c>
      <c r="V620" s="1">
        <f>Table1[[#This Row],[Running total ]]/SUM(I:I)</f>
        <v>0.6044449036946965</v>
      </c>
    </row>
    <row r="621" spans="1:22" x14ac:dyDescent="0.3">
      <c r="A621" t="s">
        <v>1311</v>
      </c>
      <c r="B621" t="s">
        <v>1312</v>
      </c>
      <c r="C621" t="s">
        <v>1006</v>
      </c>
      <c r="D621" t="s">
        <v>17</v>
      </c>
      <c r="E621" t="s">
        <v>80</v>
      </c>
      <c r="F621" t="s">
        <v>55</v>
      </c>
      <c r="G621" t="s">
        <v>56</v>
      </c>
      <c r="H621" t="s">
        <v>129</v>
      </c>
      <c r="I621">
        <v>628.94000000000005</v>
      </c>
      <c r="J621">
        <v>1</v>
      </c>
      <c r="K621" s="1">
        <v>0.25</v>
      </c>
      <c r="L621">
        <v>-59.35</v>
      </c>
      <c r="M621" t="s">
        <v>143</v>
      </c>
      <c r="N621" t="s">
        <v>39</v>
      </c>
      <c r="O621" t="str">
        <f t="shared" si="54"/>
        <v>20/07/2025</v>
      </c>
      <c r="P621">
        <f t="shared" si="55"/>
        <v>2025</v>
      </c>
      <c r="Q621">
        <f t="shared" si="56"/>
        <v>7</v>
      </c>
      <c r="R621" t="str">
        <f t="shared" si="57"/>
        <v>July</v>
      </c>
      <c r="S621" t="str">
        <f t="shared" si="58"/>
        <v>Low</v>
      </c>
      <c r="T621" s="1">
        <f t="shared" si="59"/>
        <v>-9.4365122269214868E-2</v>
      </c>
      <c r="U621">
        <f>SUM($I$2:I621)</f>
        <v>2095305.5899999992</v>
      </c>
      <c r="V621" s="1">
        <f>Table1[[#This Row],[Running total ]]/SUM(I:I)</f>
        <v>0.60462639212525193</v>
      </c>
    </row>
    <row r="622" spans="1:22" x14ac:dyDescent="0.3">
      <c r="A622" t="s">
        <v>1313</v>
      </c>
      <c r="B622" t="s">
        <v>534</v>
      </c>
      <c r="C622" t="s">
        <v>601</v>
      </c>
      <c r="D622" t="s">
        <v>137</v>
      </c>
      <c r="E622" t="s">
        <v>138</v>
      </c>
      <c r="F622" t="s">
        <v>67</v>
      </c>
      <c r="G622" t="s">
        <v>68</v>
      </c>
      <c r="H622" t="s">
        <v>69</v>
      </c>
      <c r="I622">
        <v>5274.08</v>
      </c>
      <c r="J622">
        <v>7</v>
      </c>
      <c r="K622" s="1">
        <v>0.2</v>
      </c>
      <c r="L622">
        <v>786.64</v>
      </c>
      <c r="M622" t="s">
        <v>107</v>
      </c>
      <c r="N622" t="s">
        <v>23</v>
      </c>
      <c r="O622" t="str">
        <f t="shared" si="54"/>
        <v>17/11/2024</v>
      </c>
      <c r="P622">
        <f t="shared" si="55"/>
        <v>2024</v>
      </c>
      <c r="Q622">
        <f t="shared" si="56"/>
        <v>11</v>
      </c>
      <c r="R622" t="str">
        <f t="shared" si="57"/>
        <v>November</v>
      </c>
      <c r="S622" t="str">
        <f t="shared" si="58"/>
        <v>Low</v>
      </c>
      <c r="T622" s="1">
        <f t="shared" si="59"/>
        <v>0.14915207960440494</v>
      </c>
      <c r="U622">
        <f>SUM($I$2:I622)</f>
        <v>2100579.669999999</v>
      </c>
      <c r="V622" s="1">
        <f>Table1[[#This Row],[Running total ]]/SUM(I:I)</f>
        <v>0.6061482932633957</v>
      </c>
    </row>
    <row r="623" spans="1:22" x14ac:dyDescent="0.3">
      <c r="A623" t="s">
        <v>1314</v>
      </c>
      <c r="B623" t="s">
        <v>1212</v>
      </c>
      <c r="C623" t="s">
        <v>335</v>
      </c>
      <c r="D623" t="s">
        <v>17</v>
      </c>
      <c r="E623" t="s">
        <v>97</v>
      </c>
      <c r="F623" t="s">
        <v>55</v>
      </c>
      <c r="G623" t="s">
        <v>98</v>
      </c>
      <c r="H623" t="s">
        <v>154</v>
      </c>
      <c r="I623">
        <v>3317.4</v>
      </c>
      <c r="J623">
        <v>5</v>
      </c>
      <c r="K623" s="1">
        <v>0.3</v>
      </c>
      <c r="L623">
        <v>-370.43</v>
      </c>
      <c r="M623" t="s">
        <v>87</v>
      </c>
      <c r="N623" t="s">
        <v>39</v>
      </c>
      <c r="O623" t="str">
        <f t="shared" si="54"/>
        <v>18/10/2025</v>
      </c>
      <c r="P623">
        <f t="shared" si="55"/>
        <v>2025</v>
      </c>
      <c r="Q623">
        <f t="shared" si="56"/>
        <v>10</v>
      </c>
      <c r="R623" t="str">
        <f t="shared" si="57"/>
        <v>October</v>
      </c>
      <c r="S623" t="str">
        <f t="shared" si="58"/>
        <v>Low</v>
      </c>
      <c r="T623" s="1">
        <f t="shared" si="59"/>
        <v>-0.11166274793512992</v>
      </c>
      <c r="U623">
        <f>SUM($I$2:I623)</f>
        <v>2103897.0699999989</v>
      </c>
      <c r="V623" s="1">
        <f>Table1[[#This Row],[Running total ]]/SUM(I:I)</f>
        <v>0.60710557014119759</v>
      </c>
    </row>
    <row r="624" spans="1:22" x14ac:dyDescent="0.3">
      <c r="A624" t="s">
        <v>1315</v>
      </c>
      <c r="B624" t="s">
        <v>796</v>
      </c>
      <c r="C624" t="s">
        <v>932</v>
      </c>
      <c r="D624" t="s">
        <v>27</v>
      </c>
      <c r="E624" t="s">
        <v>43</v>
      </c>
      <c r="F624" t="s">
        <v>67</v>
      </c>
      <c r="G624" t="s">
        <v>115</v>
      </c>
      <c r="H624" t="s">
        <v>178</v>
      </c>
      <c r="I624">
        <v>8726.58</v>
      </c>
      <c r="J624">
        <v>9</v>
      </c>
      <c r="K624" s="1">
        <v>0.3</v>
      </c>
      <c r="L624">
        <v>-1012.32</v>
      </c>
      <c r="M624" t="s">
        <v>107</v>
      </c>
      <c r="N624" t="s">
        <v>32</v>
      </c>
      <c r="O624" t="str">
        <f t="shared" si="54"/>
        <v>03/04/2024</v>
      </c>
      <c r="P624">
        <f t="shared" si="55"/>
        <v>2024</v>
      </c>
      <c r="Q624">
        <f t="shared" si="56"/>
        <v>4</v>
      </c>
      <c r="R624" t="str">
        <f t="shared" si="57"/>
        <v>April</v>
      </c>
      <c r="S624" t="str">
        <f t="shared" si="58"/>
        <v>Low</v>
      </c>
      <c r="T624" s="1">
        <f t="shared" si="59"/>
        <v>-0.11600420783399683</v>
      </c>
      <c r="U624">
        <f>SUM($I$2:I624)</f>
        <v>2112623.649999999</v>
      </c>
      <c r="V624" s="1">
        <f>Table1[[#This Row],[Running total ]]/SUM(I:I)</f>
        <v>0.60962373293624483</v>
      </c>
    </row>
    <row r="625" spans="1:22" x14ac:dyDescent="0.3">
      <c r="A625" t="s">
        <v>1316</v>
      </c>
      <c r="B625" t="s">
        <v>244</v>
      </c>
      <c r="C625" t="s">
        <v>252</v>
      </c>
      <c r="D625" t="s">
        <v>27</v>
      </c>
      <c r="E625" t="s">
        <v>28</v>
      </c>
      <c r="F625" t="s">
        <v>19</v>
      </c>
      <c r="G625" t="s">
        <v>20</v>
      </c>
      <c r="H625" t="s">
        <v>21</v>
      </c>
      <c r="I625">
        <v>401.73</v>
      </c>
      <c r="J625">
        <v>1</v>
      </c>
      <c r="K625" s="1">
        <v>0.15</v>
      </c>
      <c r="L625">
        <v>-7.94</v>
      </c>
      <c r="M625" t="s">
        <v>22</v>
      </c>
      <c r="N625" t="s">
        <v>32</v>
      </c>
      <c r="O625" t="str">
        <f t="shared" si="54"/>
        <v>25/03/2025</v>
      </c>
      <c r="P625">
        <f t="shared" si="55"/>
        <v>2025</v>
      </c>
      <c r="Q625">
        <f t="shared" si="56"/>
        <v>3</v>
      </c>
      <c r="R625" t="str">
        <f t="shared" si="57"/>
        <v>March</v>
      </c>
      <c r="S625" t="str">
        <f t="shared" si="58"/>
        <v>Low</v>
      </c>
      <c r="T625" s="1">
        <f t="shared" si="59"/>
        <v>-1.9764518457670573E-2</v>
      </c>
      <c r="U625">
        <f>SUM($I$2:I625)</f>
        <v>2113025.379999999</v>
      </c>
      <c r="V625" s="1">
        <f>Table1[[#This Row],[Running total ]]/SUM(I:I)</f>
        <v>0.60973965710581124</v>
      </c>
    </row>
    <row r="626" spans="1:22" x14ac:dyDescent="0.3">
      <c r="A626" t="s">
        <v>1317</v>
      </c>
      <c r="B626" t="s">
        <v>1009</v>
      </c>
      <c r="C626" t="s">
        <v>256</v>
      </c>
      <c r="D626" t="s">
        <v>17</v>
      </c>
      <c r="E626" t="s">
        <v>97</v>
      </c>
      <c r="F626" t="s">
        <v>67</v>
      </c>
      <c r="G626" t="s">
        <v>68</v>
      </c>
      <c r="H626" t="s">
        <v>69</v>
      </c>
      <c r="I626">
        <v>919.94</v>
      </c>
      <c r="J626">
        <v>7</v>
      </c>
      <c r="K626" s="1">
        <v>0.1</v>
      </c>
      <c r="L626">
        <v>69.42</v>
      </c>
      <c r="M626" t="s">
        <v>44</v>
      </c>
      <c r="N626" t="s">
        <v>23</v>
      </c>
      <c r="O626" t="str">
        <f t="shared" si="54"/>
        <v>22/08/2025</v>
      </c>
      <c r="P626">
        <f t="shared" si="55"/>
        <v>2025</v>
      </c>
      <c r="Q626">
        <f t="shared" si="56"/>
        <v>8</v>
      </c>
      <c r="R626" t="str">
        <f t="shared" si="57"/>
        <v>August</v>
      </c>
      <c r="S626" t="str">
        <f t="shared" si="58"/>
        <v>Low</v>
      </c>
      <c r="T626" s="1">
        <f t="shared" si="59"/>
        <v>7.5461443137595924E-2</v>
      </c>
      <c r="U626">
        <f>SUM($I$2:I626)</f>
        <v>2113945.3199999989</v>
      </c>
      <c r="V626" s="1">
        <f>Table1[[#This Row],[Running total ]]/SUM(I:I)</f>
        <v>0.61000511719231421</v>
      </c>
    </row>
    <row r="627" spans="1:22" x14ac:dyDescent="0.3">
      <c r="A627" t="s">
        <v>1318</v>
      </c>
      <c r="B627" t="s">
        <v>1319</v>
      </c>
      <c r="C627" t="s">
        <v>35</v>
      </c>
      <c r="D627" t="s">
        <v>137</v>
      </c>
      <c r="E627" t="s">
        <v>242</v>
      </c>
      <c r="F627" t="s">
        <v>55</v>
      </c>
      <c r="G627" t="s">
        <v>98</v>
      </c>
      <c r="H627" t="s">
        <v>154</v>
      </c>
      <c r="I627">
        <v>11195.2</v>
      </c>
      <c r="J627">
        <v>10</v>
      </c>
      <c r="K627" s="1">
        <v>0.2</v>
      </c>
      <c r="L627">
        <v>-778.78</v>
      </c>
      <c r="M627" t="s">
        <v>143</v>
      </c>
      <c r="N627" t="s">
        <v>23</v>
      </c>
      <c r="O627" t="str">
        <f t="shared" si="54"/>
        <v>07/04/2025</v>
      </c>
      <c r="P627">
        <f t="shared" si="55"/>
        <v>2025</v>
      </c>
      <c r="Q627">
        <f t="shared" si="56"/>
        <v>4</v>
      </c>
      <c r="R627" t="str">
        <f t="shared" si="57"/>
        <v>April</v>
      </c>
      <c r="S627" t="str">
        <f t="shared" si="58"/>
        <v>Low</v>
      </c>
      <c r="T627" s="1">
        <f t="shared" si="59"/>
        <v>-6.9563741603544366E-2</v>
      </c>
      <c r="U627">
        <f>SUM($I$2:I627)</f>
        <v>2125140.5199999991</v>
      </c>
      <c r="V627" s="1">
        <f>Table1[[#This Row],[Running total ]]/SUM(I:I)</f>
        <v>0.61323563087844468</v>
      </c>
    </row>
    <row r="628" spans="1:22" x14ac:dyDescent="0.3">
      <c r="A628" t="s">
        <v>1320</v>
      </c>
      <c r="B628" t="s">
        <v>1321</v>
      </c>
      <c r="C628" t="s">
        <v>1010</v>
      </c>
      <c r="D628" t="s">
        <v>48</v>
      </c>
      <c r="E628" t="s">
        <v>84</v>
      </c>
      <c r="F628" t="s">
        <v>19</v>
      </c>
      <c r="G628" t="s">
        <v>20</v>
      </c>
      <c r="H628" t="s">
        <v>347</v>
      </c>
      <c r="I628">
        <v>4920.03</v>
      </c>
      <c r="J628">
        <v>9</v>
      </c>
      <c r="K628" s="1">
        <v>0.25</v>
      </c>
      <c r="L628">
        <v>357.74</v>
      </c>
      <c r="M628" t="s">
        <v>195</v>
      </c>
      <c r="N628" t="s">
        <v>23</v>
      </c>
      <c r="O628" t="str">
        <f t="shared" si="54"/>
        <v>01/10/2024</v>
      </c>
      <c r="P628">
        <f t="shared" si="55"/>
        <v>2024</v>
      </c>
      <c r="Q628">
        <f t="shared" si="56"/>
        <v>10</v>
      </c>
      <c r="R628" t="str">
        <f t="shared" si="57"/>
        <v>October</v>
      </c>
      <c r="S628" t="str">
        <f t="shared" si="58"/>
        <v>Low</v>
      </c>
      <c r="T628" s="1">
        <f t="shared" si="59"/>
        <v>7.2710938754438501E-2</v>
      </c>
      <c r="U628">
        <f>SUM($I$2:I628)</f>
        <v>2130060.5499999989</v>
      </c>
      <c r="V628" s="1">
        <f>Table1[[#This Row],[Running total ]]/SUM(I:I)</f>
        <v>0.61465536650185226</v>
      </c>
    </row>
    <row r="629" spans="1:22" x14ac:dyDescent="0.3">
      <c r="A629" t="s">
        <v>1322</v>
      </c>
      <c r="B629" t="s">
        <v>1134</v>
      </c>
      <c r="C629" t="s">
        <v>1101</v>
      </c>
      <c r="D629" t="s">
        <v>48</v>
      </c>
      <c r="E629" t="s">
        <v>73</v>
      </c>
      <c r="F629" t="s">
        <v>67</v>
      </c>
      <c r="G629" t="s">
        <v>68</v>
      </c>
      <c r="H629" t="s">
        <v>69</v>
      </c>
      <c r="I629">
        <v>9882.18</v>
      </c>
      <c r="J629">
        <v>9</v>
      </c>
      <c r="K629" s="1">
        <v>0.2</v>
      </c>
      <c r="L629">
        <v>-637.38</v>
      </c>
      <c r="M629" t="s">
        <v>107</v>
      </c>
      <c r="N629" t="s">
        <v>23</v>
      </c>
      <c r="O629" t="str">
        <f t="shared" si="54"/>
        <v>24/11/2024</v>
      </c>
      <c r="P629">
        <f t="shared" si="55"/>
        <v>2024</v>
      </c>
      <c r="Q629">
        <f t="shared" si="56"/>
        <v>11</v>
      </c>
      <c r="R629" t="str">
        <f t="shared" si="57"/>
        <v>November</v>
      </c>
      <c r="S629" t="str">
        <f t="shared" si="58"/>
        <v>Low</v>
      </c>
      <c r="T629" s="1">
        <f t="shared" si="59"/>
        <v>-6.4497914427788197E-2</v>
      </c>
      <c r="U629">
        <f>SUM($I$2:I629)</f>
        <v>2139942.7299999991</v>
      </c>
      <c r="V629" s="1">
        <f>Table1[[#This Row],[Running total ]]/SUM(I:I)</f>
        <v>0.61750699199660042</v>
      </c>
    </row>
    <row r="630" spans="1:22" x14ac:dyDescent="0.3">
      <c r="A630" t="s">
        <v>1323</v>
      </c>
      <c r="B630" t="s">
        <v>1324</v>
      </c>
      <c r="C630" t="s">
        <v>256</v>
      </c>
      <c r="D630" t="s">
        <v>48</v>
      </c>
      <c r="E630" t="s">
        <v>49</v>
      </c>
      <c r="F630" t="s">
        <v>67</v>
      </c>
      <c r="G630" t="s">
        <v>68</v>
      </c>
      <c r="H630" t="s">
        <v>382</v>
      </c>
      <c r="I630">
        <v>286.83999999999997</v>
      </c>
      <c r="J630">
        <v>4</v>
      </c>
      <c r="K630" s="1">
        <v>0.15</v>
      </c>
      <c r="L630">
        <v>45.37</v>
      </c>
      <c r="M630" t="s">
        <v>63</v>
      </c>
      <c r="N630" t="s">
        <v>23</v>
      </c>
      <c r="O630" t="str">
        <f t="shared" si="54"/>
        <v>25/10/2025</v>
      </c>
      <c r="P630">
        <f t="shared" si="55"/>
        <v>2025</v>
      </c>
      <c r="Q630">
        <f t="shared" si="56"/>
        <v>10</v>
      </c>
      <c r="R630" t="str">
        <f t="shared" si="57"/>
        <v>October</v>
      </c>
      <c r="S630" t="str">
        <f t="shared" si="58"/>
        <v>Low</v>
      </c>
      <c r="T630" s="1">
        <f t="shared" si="59"/>
        <v>0.15817180309580253</v>
      </c>
      <c r="U630">
        <f>SUM($I$2:I630)</f>
        <v>2140229.5699999989</v>
      </c>
      <c r="V630" s="1">
        <f>Table1[[#This Row],[Running total ]]/SUM(I:I)</f>
        <v>0.61758976323299897</v>
      </c>
    </row>
    <row r="631" spans="1:22" x14ac:dyDescent="0.3">
      <c r="A631" t="s">
        <v>1325</v>
      </c>
      <c r="B631" t="s">
        <v>71</v>
      </c>
      <c r="C631" t="s">
        <v>452</v>
      </c>
      <c r="D631" t="s">
        <v>48</v>
      </c>
      <c r="E631" t="s">
        <v>84</v>
      </c>
      <c r="F631" t="s">
        <v>19</v>
      </c>
      <c r="G631" t="s">
        <v>36</v>
      </c>
      <c r="H631" t="s">
        <v>111</v>
      </c>
      <c r="I631">
        <v>8572.23</v>
      </c>
      <c r="J631">
        <v>9</v>
      </c>
      <c r="K631" s="1">
        <v>0.1</v>
      </c>
      <c r="L631">
        <v>443.72</v>
      </c>
      <c r="M631" t="s">
        <v>31</v>
      </c>
      <c r="N631" t="s">
        <v>32</v>
      </c>
      <c r="O631" t="str">
        <f t="shared" si="54"/>
        <v>02/10/2024</v>
      </c>
      <c r="P631">
        <f t="shared" si="55"/>
        <v>2024</v>
      </c>
      <c r="Q631">
        <f t="shared" si="56"/>
        <v>10</v>
      </c>
      <c r="R631" t="str">
        <f t="shared" si="57"/>
        <v>October</v>
      </c>
      <c r="S631" t="str">
        <f t="shared" si="58"/>
        <v>Low</v>
      </c>
      <c r="T631" s="1">
        <f t="shared" si="59"/>
        <v>5.1762493540187332E-2</v>
      </c>
      <c r="U631">
        <f>SUM($I$2:I631)</f>
        <v>2148801.7999999989</v>
      </c>
      <c r="V631" s="1">
        <f>Table1[[#This Row],[Running total ]]/SUM(I:I)</f>
        <v>0.62006338642290693</v>
      </c>
    </row>
    <row r="632" spans="1:22" x14ac:dyDescent="0.3">
      <c r="A632" t="s">
        <v>1326</v>
      </c>
      <c r="B632" t="s">
        <v>751</v>
      </c>
      <c r="C632" t="s">
        <v>96</v>
      </c>
      <c r="D632" t="s">
        <v>17</v>
      </c>
      <c r="E632" t="s">
        <v>54</v>
      </c>
      <c r="F632" t="s">
        <v>19</v>
      </c>
      <c r="G632" t="s">
        <v>36</v>
      </c>
      <c r="H632" t="s">
        <v>37</v>
      </c>
      <c r="I632">
        <v>4252.59</v>
      </c>
      <c r="J632">
        <v>9</v>
      </c>
      <c r="K632" s="1">
        <v>0.25</v>
      </c>
      <c r="L632">
        <v>828.49</v>
      </c>
      <c r="M632" t="s">
        <v>38</v>
      </c>
      <c r="N632" t="s">
        <v>76</v>
      </c>
      <c r="O632" t="str">
        <f t="shared" si="54"/>
        <v>09/01/2025</v>
      </c>
      <c r="P632">
        <f t="shared" si="55"/>
        <v>2025</v>
      </c>
      <c r="Q632">
        <f t="shared" si="56"/>
        <v>1</v>
      </c>
      <c r="R632" t="str">
        <f t="shared" si="57"/>
        <v>January</v>
      </c>
      <c r="S632" t="str">
        <f t="shared" si="58"/>
        <v>Low</v>
      </c>
      <c r="T632" s="1">
        <f t="shared" si="59"/>
        <v>0.19482009786976878</v>
      </c>
      <c r="U632">
        <f>SUM($I$2:I632)</f>
        <v>2153054.3899999987</v>
      </c>
      <c r="V632" s="1">
        <f>Table1[[#This Row],[Running total ]]/SUM(I:I)</f>
        <v>0.62129052396368345</v>
      </c>
    </row>
    <row r="633" spans="1:22" x14ac:dyDescent="0.3">
      <c r="A633" t="s">
        <v>1327</v>
      </c>
      <c r="B633" t="s">
        <v>1328</v>
      </c>
      <c r="C633" t="s">
        <v>281</v>
      </c>
      <c r="D633" t="s">
        <v>27</v>
      </c>
      <c r="E633" t="s">
        <v>61</v>
      </c>
      <c r="F633" t="s">
        <v>19</v>
      </c>
      <c r="G633" t="s">
        <v>36</v>
      </c>
      <c r="H633" t="s">
        <v>222</v>
      </c>
      <c r="I633">
        <v>4932</v>
      </c>
      <c r="J633">
        <v>5</v>
      </c>
      <c r="K633" s="1">
        <v>0.25</v>
      </c>
      <c r="L633">
        <v>-299.17</v>
      </c>
      <c r="M633" t="s">
        <v>117</v>
      </c>
      <c r="N633" t="s">
        <v>23</v>
      </c>
      <c r="O633" t="str">
        <f t="shared" si="54"/>
        <v>06/06/2024</v>
      </c>
      <c r="P633">
        <f t="shared" si="55"/>
        <v>2024</v>
      </c>
      <c r="Q633">
        <f t="shared" si="56"/>
        <v>6</v>
      </c>
      <c r="R633" t="str">
        <f t="shared" si="57"/>
        <v>June</v>
      </c>
      <c r="S633" t="str">
        <f t="shared" si="58"/>
        <v>Low</v>
      </c>
      <c r="T633" s="1">
        <f t="shared" si="59"/>
        <v>-6.0658961881589625E-2</v>
      </c>
      <c r="U633">
        <f>SUM($I$2:I633)</f>
        <v>2157986.3899999987</v>
      </c>
      <c r="V633" s="1">
        <f>Table1[[#This Row],[Running total ]]/SUM(I:I)</f>
        <v>0.62271371367891815</v>
      </c>
    </row>
    <row r="634" spans="1:22" x14ac:dyDescent="0.3">
      <c r="A634" t="s">
        <v>1329</v>
      </c>
      <c r="B634" t="s">
        <v>1282</v>
      </c>
      <c r="C634" t="s">
        <v>516</v>
      </c>
      <c r="D634" t="s">
        <v>17</v>
      </c>
      <c r="E634" t="s">
        <v>80</v>
      </c>
      <c r="F634" t="s">
        <v>55</v>
      </c>
      <c r="G634" t="s">
        <v>98</v>
      </c>
      <c r="H634" t="s">
        <v>99</v>
      </c>
      <c r="I634">
        <v>4775.26</v>
      </c>
      <c r="J634">
        <v>7</v>
      </c>
      <c r="K634" s="1">
        <v>0.1</v>
      </c>
      <c r="L634">
        <v>988.97</v>
      </c>
      <c r="M634" t="s">
        <v>22</v>
      </c>
      <c r="N634" t="s">
        <v>39</v>
      </c>
      <c r="O634" t="str">
        <f t="shared" si="54"/>
        <v>09/01/2024</v>
      </c>
      <c r="P634">
        <f t="shared" si="55"/>
        <v>2024</v>
      </c>
      <c r="Q634">
        <f t="shared" si="56"/>
        <v>1</v>
      </c>
      <c r="R634" t="str">
        <f t="shared" si="57"/>
        <v>January</v>
      </c>
      <c r="S634" t="str">
        <f t="shared" si="58"/>
        <v>Low</v>
      </c>
      <c r="T634" s="1">
        <f t="shared" si="59"/>
        <v>0.20710285932074901</v>
      </c>
      <c r="U634">
        <f>SUM($I$2:I634)</f>
        <v>2162761.6499999985</v>
      </c>
      <c r="V634" s="1">
        <f>Table1[[#This Row],[Running total ]]/SUM(I:I)</f>
        <v>0.62409167412489774</v>
      </c>
    </row>
    <row r="635" spans="1:22" x14ac:dyDescent="0.3">
      <c r="A635" t="s">
        <v>1330</v>
      </c>
      <c r="B635" t="s">
        <v>568</v>
      </c>
      <c r="C635" t="s">
        <v>535</v>
      </c>
      <c r="D635" t="s">
        <v>48</v>
      </c>
      <c r="E635" t="s">
        <v>49</v>
      </c>
      <c r="F635" t="s">
        <v>19</v>
      </c>
      <c r="G635" t="s">
        <v>20</v>
      </c>
      <c r="H635" t="s">
        <v>347</v>
      </c>
      <c r="I635">
        <v>6775.28</v>
      </c>
      <c r="J635">
        <v>8</v>
      </c>
      <c r="K635" s="1">
        <v>0.05</v>
      </c>
      <c r="L635">
        <v>2213.81</v>
      </c>
      <c r="M635" t="s">
        <v>195</v>
      </c>
      <c r="N635" t="s">
        <v>23</v>
      </c>
      <c r="O635" t="str">
        <f t="shared" si="54"/>
        <v>19/12/2025</v>
      </c>
      <c r="P635">
        <f t="shared" si="55"/>
        <v>2025</v>
      </c>
      <c r="Q635">
        <f t="shared" si="56"/>
        <v>12</v>
      </c>
      <c r="R635" t="str">
        <f t="shared" si="57"/>
        <v>December</v>
      </c>
      <c r="S635" t="str">
        <f t="shared" si="58"/>
        <v>High</v>
      </c>
      <c r="T635" s="1">
        <f t="shared" si="59"/>
        <v>0.32674811963490807</v>
      </c>
      <c r="U635">
        <f>SUM($I$2:I635)</f>
        <v>2169536.9299999983</v>
      </c>
      <c r="V635" s="1">
        <f>Table1[[#This Row],[Running total ]]/SUM(I:I)</f>
        <v>0.6260467651252698</v>
      </c>
    </row>
    <row r="636" spans="1:22" x14ac:dyDescent="0.3">
      <c r="A636" t="s">
        <v>1331</v>
      </c>
      <c r="B636" t="s">
        <v>627</v>
      </c>
      <c r="C636" t="s">
        <v>1088</v>
      </c>
      <c r="D636" t="s">
        <v>137</v>
      </c>
      <c r="E636" t="s">
        <v>242</v>
      </c>
      <c r="F636" t="s">
        <v>67</v>
      </c>
      <c r="G636" t="s">
        <v>115</v>
      </c>
      <c r="H636" t="s">
        <v>116</v>
      </c>
      <c r="I636">
        <v>11325.1</v>
      </c>
      <c r="J636">
        <v>10</v>
      </c>
      <c r="K636" s="1">
        <v>0.25</v>
      </c>
      <c r="L636">
        <v>775.22</v>
      </c>
      <c r="M636" t="s">
        <v>22</v>
      </c>
      <c r="N636" t="s">
        <v>32</v>
      </c>
      <c r="O636" t="str">
        <f t="shared" si="54"/>
        <v>27/06/2025</v>
      </c>
      <c r="P636">
        <f t="shared" si="55"/>
        <v>2025</v>
      </c>
      <c r="Q636">
        <f t="shared" si="56"/>
        <v>6</v>
      </c>
      <c r="R636" t="str">
        <f t="shared" si="57"/>
        <v>June</v>
      </c>
      <c r="S636" t="str">
        <f t="shared" si="58"/>
        <v>Low</v>
      </c>
      <c r="T636" s="1">
        <f t="shared" si="59"/>
        <v>6.8451492702051198E-2</v>
      </c>
      <c r="U636">
        <f>SUM($I$2:I636)</f>
        <v>2180862.0299999984</v>
      </c>
      <c r="V636" s="1">
        <f>Table1[[#This Row],[Running total ]]/SUM(I:I)</f>
        <v>0.62931476306606549</v>
      </c>
    </row>
    <row r="637" spans="1:22" x14ac:dyDescent="0.3">
      <c r="A637" t="s">
        <v>1332</v>
      </c>
      <c r="B637" t="s">
        <v>329</v>
      </c>
      <c r="C637" t="s">
        <v>225</v>
      </c>
      <c r="D637" t="s">
        <v>137</v>
      </c>
      <c r="E637" t="s">
        <v>142</v>
      </c>
      <c r="F637" t="s">
        <v>19</v>
      </c>
      <c r="G637" t="s">
        <v>20</v>
      </c>
      <c r="H637" t="s">
        <v>239</v>
      </c>
      <c r="I637">
        <v>4778.3599999999997</v>
      </c>
      <c r="J637">
        <v>4</v>
      </c>
      <c r="K637" s="1">
        <v>0.25</v>
      </c>
      <c r="L637">
        <v>939.71</v>
      </c>
      <c r="M637" t="s">
        <v>117</v>
      </c>
      <c r="N637" t="s">
        <v>39</v>
      </c>
      <c r="O637" t="str">
        <f t="shared" si="54"/>
        <v>31/12/2024</v>
      </c>
      <c r="P637">
        <f t="shared" si="55"/>
        <v>2024</v>
      </c>
      <c r="Q637">
        <f t="shared" si="56"/>
        <v>12</v>
      </c>
      <c r="R637" t="str">
        <f t="shared" si="57"/>
        <v>December</v>
      </c>
      <c r="S637" t="str">
        <f t="shared" si="58"/>
        <v>Low</v>
      </c>
      <c r="T637" s="1">
        <f t="shared" si="59"/>
        <v>0.19665952335110792</v>
      </c>
      <c r="U637">
        <f>SUM($I$2:I637)</f>
        <v>2185640.3899999983</v>
      </c>
      <c r="V637" s="1">
        <f>Table1[[#This Row],[Running total ]]/SUM(I:I)</f>
        <v>0.63069361805545898</v>
      </c>
    </row>
    <row r="638" spans="1:22" x14ac:dyDescent="0.3">
      <c r="A638" t="s">
        <v>1333</v>
      </c>
      <c r="B638" t="s">
        <v>1334</v>
      </c>
      <c r="C638" t="s">
        <v>96</v>
      </c>
      <c r="D638" t="s">
        <v>137</v>
      </c>
      <c r="E638" t="s">
        <v>138</v>
      </c>
      <c r="F638" t="s">
        <v>19</v>
      </c>
      <c r="G638" t="s">
        <v>36</v>
      </c>
      <c r="H638" t="s">
        <v>111</v>
      </c>
      <c r="I638">
        <v>3493.44</v>
      </c>
      <c r="J638">
        <v>3</v>
      </c>
      <c r="K638" s="1">
        <v>0.25</v>
      </c>
      <c r="L638">
        <v>-384.47</v>
      </c>
      <c r="M638" t="s">
        <v>87</v>
      </c>
      <c r="N638" t="s">
        <v>39</v>
      </c>
      <c r="O638" t="str">
        <f t="shared" si="54"/>
        <v>24/12/2024</v>
      </c>
      <c r="P638">
        <f t="shared" si="55"/>
        <v>2024</v>
      </c>
      <c r="Q638">
        <f t="shared" si="56"/>
        <v>12</v>
      </c>
      <c r="R638" t="str">
        <f t="shared" si="57"/>
        <v>December</v>
      </c>
      <c r="S638" t="str">
        <f t="shared" si="58"/>
        <v>Low</v>
      </c>
      <c r="T638" s="1">
        <f t="shared" si="59"/>
        <v>-0.11005484565356784</v>
      </c>
      <c r="U638">
        <f>SUM($I$2:I638)</f>
        <v>2189133.8299999982</v>
      </c>
      <c r="V638" s="1">
        <f>Table1[[#This Row],[Running total ]]/SUM(I:I)</f>
        <v>0.63170169345667337</v>
      </c>
    </row>
    <row r="639" spans="1:22" x14ac:dyDescent="0.3">
      <c r="A639" t="s">
        <v>1335</v>
      </c>
      <c r="B639" t="s">
        <v>497</v>
      </c>
      <c r="C639" t="s">
        <v>818</v>
      </c>
      <c r="D639" t="s">
        <v>137</v>
      </c>
      <c r="E639" t="s">
        <v>138</v>
      </c>
      <c r="F639" t="s">
        <v>19</v>
      </c>
      <c r="G639" t="s">
        <v>36</v>
      </c>
      <c r="H639" t="s">
        <v>222</v>
      </c>
      <c r="I639">
        <v>528.78</v>
      </c>
      <c r="J639">
        <v>3</v>
      </c>
      <c r="K639" s="1">
        <v>0.2</v>
      </c>
      <c r="L639">
        <v>77.349999999999994</v>
      </c>
      <c r="M639" t="s">
        <v>44</v>
      </c>
      <c r="N639" t="s">
        <v>76</v>
      </c>
      <c r="O639" t="str">
        <f t="shared" si="54"/>
        <v>17/12/2025</v>
      </c>
      <c r="P639">
        <f t="shared" si="55"/>
        <v>2025</v>
      </c>
      <c r="Q639">
        <f t="shared" si="56"/>
        <v>12</v>
      </c>
      <c r="R639" t="str">
        <f t="shared" si="57"/>
        <v>December</v>
      </c>
      <c r="S639" t="str">
        <f t="shared" si="58"/>
        <v>Low</v>
      </c>
      <c r="T639" s="1">
        <f t="shared" si="59"/>
        <v>0.1462801164945724</v>
      </c>
      <c r="U639">
        <f>SUM($I$2:I639)</f>
        <v>2189662.609999998</v>
      </c>
      <c r="V639" s="1">
        <f>Table1[[#This Row],[Running total ]]/SUM(I:I)</f>
        <v>0.63185427947808892</v>
      </c>
    </row>
    <row r="640" spans="1:22" x14ac:dyDescent="0.3">
      <c r="A640" t="s">
        <v>1336</v>
      </c>
      <c r="B640" t="s">
        <v>1337</v>
      </c>
      <c r="C640" t="s">
        <v>157</v>
      </c>
      <c r="D640" t="s">
        <v>27</v>
      </c>
      <c r="E640" t="s">
        <v>28</v>
      </c>
      <c r="F640" t="s">
        <v>67</v>
      </c>
      <c r="G640" t="s">
        <v>85</v>
      </c>
      <c r="H640" t="s">
        <v>125</v>
      </c>
      <c r="I640">
        <v>5847.8</v>
      </c>
      <c r="J640">
        <v>5</v>
      </c>
      <c r="K640" s="1">
        <v>0.1</v>
      </c>
      <c r="L640">
        <v>1776.8</v>
      </c>
      <c r="M640" t="s">
        <v>87</v>
      </c>
      <c r="N640" t="s">
        <v>39</v>
      </c>
      <c r="O640" t="str">
        <f t="shared" si="54"/>
        <v>04/05/2024</v>
      </c>
      <c r="P640">
        <f t="shared" si="55"/>
        <v>2024</v>
      </c>
      <c r="Q640">
        <f t="shared" si="56"/>
        <v>5</v>
      </c>
      <c r="R640" t="str">
        <f t="shared" si="57"/>
        <v>May</v>
      </c>
      <c r="S640" t="str">
        <f t="shared" si="58"/>
        <v>Low</v>
      </c>
      <c r="T640" s="1">
        <f t="shared" si="59"/>
        <v>0.30384076062792842</v>
      </c>
      <c r="U640">
        <f>SUM($I$2:I640)</f>
        <v>2195510.4099999978</v>
      </c>
      <c r="V640" s="1">
        <f>Table1[[#This Row],[Running total ]]/SUM(I:I)</f>
        <v>0.63354173463152552</v>
      </c>
    </row>
    <row r="641" spans="1:22" x14ac:dyDescent="0.3">
      <c r="A641" t="s">
        <v>1338</v>
      </c>
      <c r="B641" t="s">
        <v>1339</v>
      </c>
      <c r="C641" t="s">
        <v>630</v>
      </c>
      <c r="D641" t="s">
        <v>17</v>
      </c>
      <c r="E641" t="s">
        <v>18</v>
      </c>
      <c r="F641" t="s">
        <v>55</v>
      </c>
      <c r="G641" t="s">
        <v>98</v>
      </c>
      <c r="H641" t="s">
        <v>99</v>
      </c>
      <c r="I641">
        <v>3363.81</v>
      </c>
      <c r="J641">
        <v>3</v>
      </c>
      <c r="K641" s="1">
        <v>0.25</v>
      </c>
      <c r="L641">
        <v>500.79</v>
      </c>
      <c r="M641" t="s">
        <v>63</v>
      </c>
      <c r="N641" t="s">
        <v>39</v>
      </c>
      <c r="O641" t="str">
        <f t="shared" si="54"/>
        <v>03/04/2025</v>
      </c>
      <c r="P641">
        <f t="shared" si="55"/>
        <v>2025</v>
      </c>
      <c r="Q641">
        <f t="shared" si="56"/>
        <v>4</v>
      </c>
      <c r="R641" t="str">
        <f t="shared" si="57"/>
        <v>April</v>
      </c>
      <c r="S641" t="str">
        <f t="shared" si="58"/>
        <v>Low</v>
      </c>
      <c r="T641" s="1">
        <f t="shared" si="59"/>
        <v>0.14887582830183632</v>
      </c>
      <c r="U641">
        <f>SUM($I$2:I641)</f>
        <v>2198874.2199999979</v>
      </c>
      <c r="V641" s="1">
        <f>Table1[[#This Row],[Running total ]]/SUM(I:I)</f>
        <v>0.63451240368992035</v>
      </c>
    </row>
    <row r="642" spans="1:22" x14ac:dyDescent="0.3">
      <c r="A642" t="s">
        <v>1340</v>
      </c>
      <c r="B642" t="s">
        <v>1341</v>
      </c>
      <c r="C642" t="s">
        <v>439</v>
      </c>
      <c r="D642" t="s">
        <v>17</v>
      </c>
      <c r="E642" t="s">
        <v>18</v>
      </c>
      <c r="F642" t="s">
        <v>67</v>
      </c>
      <c r="G642" t="s">
        <v>85</v>
      </c>
      <c r="H642" t="s">
        <v>125</v>
      </c>
      <c r="I642">
        <v>6961.52</v>
      </c>
      <c r="J642">
        <v>8</v>
      </c>
      <c r="K642" s="1">
        <v>0.15</v>
      </c>
      <c r="L642">
        <v>2065.69</v>
      </c>
      <c r="M642" t="s">
        <v>87</v>
      </c>
      <c r="N642" t="s">
        <v>23</v>
      </c>
      <c r="O642" t="str">
        <f t="shared" si="54"/>
        <v>05/08/2025</v>
      </c>
      <c r="P642">
        <f t="shared" si="55"/>
        <v>2025</v>
      </c>
      <c r="Q642">
        <f t="shared" si="56"/>
        <v>8</v>
      </c>
      <c r="R642" t="str">
        <f t="shared" si="57"/>
        <v>August</v>
      </c>
      <c r="S642" t="str">
        <f t="shared" si="58"/>
        <v>Low</v>
      </c>
      <c r="T642" s="1">
        <f t="shared" si="59"/>
        <v>0.29672973718383339</v>
      </c>
      <c r="U642">
        <f>SUM($I$2:I642)</f>
        <v>2205835.7399999979</v>
      </c>
      <c r="V642" s="1">
        <f>Table1[[#This Row],[Running total ]]/SUM(I:I)</f>
        <v>0.63652123655009896</v>
      </c>
    </row>
    <row r="643" spans="1:22" x14ac:dyDescent="0.3">
      <c r="A643" t="s">
        <v>1342</v>
      </c>
      <c r="B643" t="s">
        <v>632</v>
      </c>
      <c r="C643" t="s">
        <v>1343</v>
      </c>
      <c r="D643" t="s">
        <v>48</v>
      </c>
      <c r="E643" t="s">
        <v>49</v>
      </c>
      <c r="F643" t="s">
        <v>67</v>
      </c>
      <c r="G643" t="s">
        <v>68</v>
      </c>
      <c r="H643" t="s">
        <v>103</v>
      </c>
      <c r="I643">
        <v>10626.6</v>
      </c>
      <c r="J643">
        <v>10</v>
      </c>
      <c r="K643" s="1">
        <v>0.3</v>
      </c>
      <c r="L643">
        <v>-297.55</v>
      </c>
      <c r="M643" t="s">
        <v>143</v>
      </c>
      <c r="N643" t="s">
        <v>39</v>
      </c>
      <c r="O643" t="str">
        <f t="shared" ref="O643:O706" si="60">TEXT(B643,"dd/mm/yyyy")</f>
        <v>08/04/2025</v>
      </c>
      <c r="P643">
        <f t="shared" ref="P643:P706" si="61">YEAR(O643)</f>
        <v>2025</v>
      </c>
      <c r="Q643">
        <f t="shared" ref="Q643:Q706" si="62">MONTH(O643)</f>
        <v>4</v>
      </c>
      <c r="R643" t="str">
        <f t="shared" ref="R643:R706" si="63">TEXT(O643,"mmmm")</f>
        <v>April</v>
      </c>
      <c r="S643" t="str">
        <f t="shared" ref="S643:S706" si="64">IF(K643=0,"No Discount",IF(K643&gt;=0.1,"Low",IF(K643&gt;=0.2,"Medium","High")))</f>
        <v>Low</v>
      </c>
      <c r="T643" s="1">
        <f t="shared" ref="T643:T706" si="65">SUM(L643)/SUM(I643)</f>
        <v>-2.800048933807615E-2</v>
      </c>
      <c r="U643">
        <f>SUM($I$2:I643)</f>
        <v>2216462.339999998</v>
      </c>
      <c r="V643" s="1">
        <f>Table1[[#This Row],[Running total ]]/SUM(I:I)</f>
        <v>0.63958767366038138</v>
      </c>
    </row>
    <row r="644" spans="1:22" x14ac:dyDescent="0.3">
      <c r="A644" t="s">
        <v>1344</v>
      </c>
      <c r="B644" t="s">
        <v>521</v>
      </c>
      <c r="C644" t="s">
        <v>132</v>
      </c>
      <c r="D644" t="s">
        <v>27</v>
      </c>
      <c r="E644" t="s">
        <v>43</v>
      </c>
      <c r="F644" t="s">
        <v>67</v>
      </c>
      <c r="G644" t="s">
        <v>85</v>
      </c>
      <c r="H644" t="s">
        <v>253</v>
      </c>
      <c r="I644">
        <v>2613.48</v>
      </c>
      <c r="J644">
        <v>3</v>
      </c>
      <c r="K644" s="1">
        <v>0.1</v>
      </c>
      <c r="L644">
        <v>245.82</v>
      </c>
      <c r="M644" t="s">
        <v>107</v>
      </c>
      <c r="N644" t="s">
        <v>76</v>
      </c>
      <c r="O644" t="str">
        <f t="shared" si="60"/>
        <v>07/03/2024</v>
      </c>
      <c r="P644">
        <f t="shared" si="61"/>
        <v>2024</v>
      </c>
      <c r="Q644">
        <f t="shared" si="62"/>
        <v>3</v>
      </c>
      <c r="R644" t="str">
        <f t="shared" si="63"/>
        <v>March</v>
      </c>
      <c r="S644" t="str">
        <f t="shared" si="64"/>
        <v>Low</v>
      </c>
      <c r="T644" s="1">
        <f t="shared" si="65"/>
        <v>9.4058496717020976E-2</v>
      </c>
      <c r="U644">
        <f>SUM($I$2:I644)</f>
        <v>2219075.819999998</v>
      </c>
      <c r="V644" s="1">
        <f>Table1[[#This Row],[Running total ]]/SUM(I:I)</f>
        <v>0.64034182569950782</v>
      </c>
    </row>
    <row r="645" spans="1:22" x14ac:dyDescent="0.3">
      <c r="A645" t="s">
        <v>1345</v>
      </c>
      <c r="B645" t="s">
        <v>1346</v>
      </c>
      <c r="C645" t="s">
        <v>42</v>
      </c>
      <c r="D645" t="s">
        <v>17</v>
      </c>
      <c r="E645" t="s">
        <v>80</v>
      </c>
      <c r="F645" t="s">
        <v>67</v>
      </c>
      <c r="G645" t="s">
        <v>68</v>
      </c>
      <c r="H645" t="s">
        <v>382</v>
      </c>
      <c r="I645">
        <v>892.48</v>
      </c>
      <c r="J645">
        <v>2</v>
      </c>
      <c r="K645" s="1">
        <v>0.05</v>
      </c>
      <c r="L645">
        <v>120.83</v>
      </c>
      <c r="M645" t="s">
        <v>87</v>
      </c>
      <c r="N645" t="s">
        <v>32</v>
      </c>
      <c r="O645" t="str">
        <f t="shared" si="60"/>
        <v>21/10/2024</v>
      </c>
      <c r="P645">
        <f t="shared" si="61"/>
        <v>2024</v>
      </c>
      <c r="Q645">
        <f t="shared" si="62"/>
        <v>10</v>
      </c>
      <c r="R645" t="str">
        <f t="shared" si="63"/>
        <v>October</v>
      </c>
      <c r="S645" t="str">
        <f t="shared" si="64"/>
        <v>High</v>
      </c>
      <c r="T645" s="1">
        <f t="shared" si="65"/>
        <v>0.13538678737898888</v>
      </c>
      <c r="U645">
        <f>SUM($I$2:I645)</f>
        <v>2219968.299999998</v>
      </c>
      <c r="V645" s="1">
        <f>Table1[[#This Row],[Running total ]]/SUM(I:I)</f>
        <v>0.64059936186273825</v>
      </c>
    </row>
    <row r="646" spans="1:22" x14ac:dyDescent="0.3">
      <c r="A646" t="s">
        <v>1347</v>
      </c>
      <c r="B646" t="s">
        <v>1348</v>
      </c>
      <c r="C646" t="s">
        <v>543</v>
      </c>
      <c r="D646" t="s">
        <v>137</v>
      </c>
      <c r="E646" t="s">
        <v>242</v>
      </c>
      <c r="F646" t="s">
        <v>19</v>
      </c>
      <c r="G646" t="s">
        <v>20</v>
      </c>
      <c r="H646" t="s">
        <v>21</v>
      </c>
      <c r="I646">
        <v>3232.2</v>
      </c>
      <c r="J646">
        <v>3</v>
      </c>
      <c r="K646" s="1">
        <v>0.05</v>
      </c>
      <c r="L646">
        <v>844.98</v>
      </c>
      <c r="M646" t="s">
        <v>22</v>
      </c>
      <c r="N646" t="s">
        <v>23</v>
      </c>
      <c r="O646" t="str">
        <f t="shared" si="60"/>
        <v>12/07/2024</v>
      </c>
      <c r="P646">
        <f t="shared" si="61"/>
        <v>2024</v>
      </c>
      <c r="Q646">
        <f t="shared" si="62"/>
        <v>7</v>
      </c>
      <c r="R646" t="str">
        <f t="shared" si="63"/>
        <v>July</v>
      </c>
      <c r="S646" t="str">
        <f t="shared" si="64"/>
        <v>High</v>
      </c>
      <c r="T646" s="1">
        <f t="shared" si="65"/>
        <v>0.26142565435307225</v>
      </c>
      <c r="U646">
        <f>SUM($I$2:I646)</f>
        <v>2223200.4999999981</v>
      </c>
      <c r="V646" s="1">
        <f>Table1[[#This Row],[Running total ]]/SUM(I:I)</f>
        <v>0.64153205322477835</v>
      </c>
    </row>
    <row r="647" spans="1:22" x14ac:dyDescent="0.3">
      <c r="A647" t="s">
        <v>1349</v>
      </c>
      <c r="B647" t="s">
        <v>270</v>
      </c>
      <c r="C647" t="s">
        <v>218</v>
      </c>
      <c r="D647" t="s">
        <v>17</v>
      </c>
      <c r="E647" t="s">
        <v>80</v>
      </c>
      <c r="F647" t="s">
        <v>55</v>
      </c>
      <c r="G647" t="s">
        <v>74</v>
      </c>
      <c r="H647" t="s">
        <v>272</v>
      </c>
      <c r="I647">
        <v>2752.44</v>
      </c>
      <c r="J647">
        <v>4</v>
      </c>
      <c r="K647" s="1">
        <v>0.15</v>
      </c>
      <c r="L647">
        <v>-271.36</v>
      </c>
      <c r="M647" t="s">
        <v>107</v>
      </c>
      <c r="N647" t="s">
        <v>76</v>
      </c>
      <c r="O647" t="str">
        <f t="shared" si="60"/>
        <v>18/02/2025</v>
      </c>
      <c r="P647">
        <f t="shared" si="61"/>
        <v>2025</v>
      </c>
      <c r="Q647">
        <f t="shared" si="62"/>
        <v>2</v>
      </c>
      <c r="R647" t="str">
        <f t="shared" si="63"/>
        <v>February</v>
      </c>
      <c r="S647" t="str">
        <f t="shared" si="64"/>
        <v>Low</v>
      </c>
      <c r="T647" s="1">
        <f t="shared" si="65"/>
        <v>-9.8588888404470221E-2</v>
      </c>
      <c r="U647">
        <f>SUM($I$2:I647)</f>
        <v>2225952.9399999981</v>
      </c>
      <c r="V647" s="1">
        <f>Table1[[#This Row],[Running total ]]/SUM(I:I)</f>
        <v>0.64232630389383771</v>
      </c>
    </row>
    <row r="648" spans="1:22" x14ac:dyDescent="0.3">
      <c r="A648" t="s">
        <v>1350</v>
      </c>
      <c r="B648" t="s">
        <v>1351</v>
      </c>
      <c r="C648" t="s">
        <v>1010</v>
      </c>
      <c r="D648" t="s">
        <v>48</v>
      </c>
      <c r="E648" t="s">
        <v>73</v>
      </c>
      <c r="F648" t="s">
        <v>19</v>
      </c>
      <c r="G648" t="s">
        <v>36</v>
      </c>
      <c r="H648" t="s">
        <v>111</v>
      </c>
      <c r="I648">
        <v>7049.34</v>
      </c>
      <c r="J648">
        <v>6</v>
      </c>
      <c r="K648" s="1">
        <v>0.2</v>
      </c>
      <c r="L648">
        <v>1539.25</v>
      </c>
      <c r="M648" t="s">
        <v>31</v>
      </c>
      <c r="N648" t="s">
        <v>39</v>
      </c>
      <c r="O648" t="str">
        <f t="shared" si="60"/>
        <v>20/08/2024</v>
      </c>
      <c r="P648">
        <f t="shared" si="61"/>
        <v>2024</v>
      </c>
      <c r="Q648">
        <f t="shared" si="62"/>
        <v>8</v>
      </c>
      <c r="R648" t="str">
        <f t="shared" si="63"/>
        <v>August</v>
      </c>
      <c r="S648" t="str">
        <f t="shared" si="64"/>
        <v>Low</v>
      </c>
      <c r="T648" s="1">
        <f t="shared" si="65"/>
        <v>0.21835377496332989</v>
      </c>
      <c r="U648">
        <f>SUM($I$2:I648)</f>
        <v>2233002.2799999979</v>
      </c>
      <c r="V648" s="1">
        <f>Table1[[#This Row],[Running total ]]/SUM(I:I)</f>
        <v>0.64436047830324406</v>
      </c>
    </row>
    <row r="649" spans="1:22" x14ac:dyDescent="0.3">
      <c r="A649" t="s">
        <v>1352</v>
      </c>
      <c r="B649" t="s">
        <v>1353</v>
      </c>
      <c r="C649" t="s">
        <v>1354</v>
      </c>
      <c r="D649" t="s">
        <v>17</v>
      </c>
      <c r="E649" t="s">
        <v>18</v>
      </c>
      <c r="F649" t="s">
        <v>19</v>
      </c>
      <c r="G649" t="s">
        <v>29</v>
      </c>
      <c r="H649" t="s">
        <v>30</v>
      </c>
      <c r="I649">
        <v>3526.02</v>
      </c>
      <c r="J649">
        <v>9</v>
      </c>
      <c r="K649" s="1">
        <v>0.2</v>
      </c>
      <c r="L649">
        <v>236.86</v>
      </c>
      <c r="M649" t="s">
        <v>117</v>
      </c>
      <c r="N649" t="s">
        <v>76</v>
      </c>
      <c r="O649" t="str">
        <f t="shared" si="60"/>
        <v>19/02/2025</v>
      </c>
      <c r="P649">
        <f t="shared" si="61"/>
        <v>2025</v>
      </c>
      <c r="Q649">
        <f t="shared" si="62"/>
        <v>2</v>
      </c>
      <c r="R649" t="str">
        <f t="shared" si="63"/>
        <v>February</v>
      </c>
      <c r="S649" t="str">
        <f t="shared" si="64"/>
        <v>Low</v>
      </c>
      <c r="T649" s="1">
        <f t="shared" si="65"/>
        <v>6.7174888401086777E-2</v>
      </c>
      <c r="U649">
        <f>SUM($I$2:I649)</f>
        <v>2236528.299999998</v>
      </c>
      <c r="V649" s="1">
        <f>Table1[[#This Row],[Running total ]]/SUM(I:I)</f>
        <v>0.64537795506717588</v>
      </c>
    </row>
    <row r="650" spans="1:22" x14ac:dyDescent="0.3">
      <c r="A650" t="s">
        <v>1355</v>
      </c>
      <c r="B650" t="s">
        <v>590</v>
      </c>
      <c r="C650" t="s">
        <v>311</v>
      </c>
      <c r="D650" t="s">
        <v>27</v>
      </c>
      <c r="E650" t="s">
        <v>28</v>
      </c>
      <c r="F650" t="s">
        <v>55</v>
      </c>
      <c r="G650" t="s">
        <v>74</v>
      </c>
      <c r="H650" t="s">
        <v>272</v>
      </c>
      <c r="I650">
        <v>260.01</v>
      </c>
      <c r="J650">
        <v>9</v>
      </c>
      <c r="K650" s="1">
        <v>0</v>
      </c>
      <c r="L650">
        <v>68.900000000000006</v>
      </c>
      <c r="M650" t="s">
        <v>107</v>
      </c>
      <c r="N650" t="s">
        <v>39</v>
      </c>
      <c r="O650" t="str">
        <f t="shared" si="60"/>
        <v>14/07/2024</v>
      </c>
      <c r="P650">
        <f t="shared" si="61"/>
        <v>2024</v>
      </c>
      <c r="Q650">
        <f t="shared" si="62"/>
        <v>7</v>
      </c>
      <c r="R650" t="str">
        <f t="shared" si="63"/>
        <v>July</v>
      </c>
      <c r="S650" t="str">
        <f t="shared" si="64"/>
        <v>No Discount</v>
      </c>
      <c r="T650" s="1">
        <f t="shared" si="65"/>
        <v>0.2649898080843045</v>
      </c>
      <c r="U650">
        <f>SUM($I$2:I650)</f>
        <v>2236788.3099999977</v>
      </c>
      <c r="V650" s="1">
        <f>Table1[[#This Row],[Running total ]]/SUM(I:I)</f>
        <v>0.6454529841746085</v>
      </c>
    </row>
    <row r="651" spans="1:22" x14ac:dyDescent="0.3">
      <c r="A651" t="s">
        <v>1356</v>
      </c>
      <c r="B651" t="s">
        <v>590</v>
      </c>
      <c r="C651" t="s">
        <v>871</v>
      </c>
      <c r="D651" t="s">
        <v>17</v>
      </c>
      <c r="E651" t="s">
        <v>18</v>
      </c>
      <c r="F651" t="s">
        <v>55</v>
      </c>
      <c r="G651" t="s">
        <v>56</v>
      </c>
      <c r="H651" t="s">
        <v>129</v>
      </c>
      <c r="I651">
        <v>817.08</v>
      </c>
      <c r="J651">
        <v>4</v>
      </c>
      <c r="K651" s="1">
        <v>0.2</v>
      </c>
      <c r="L651">
        <v>-106.36</v>
      </c>
      <c r="M651" t="s">
        <v>31</v>
      </c>
      <c r="N651" t="s">
        <v>32</v>
      </c>
      <c r="O651" t="str">
        <f t="shared" si="60"/>
        <v>14/07/2024</v>
      </c>
      <c r="P651">
        <f t="shared" si="61"/>
        <v>2024</v>
      </c>
      <c r="Q651">
        <f t="shared" si="62"/>
        <v>7</v>
      </c>
      <c r="R651" t="str">
        <f t="shared" si="63"/>
        <v>July</v>
      </c>
      <c r="S651" t="str">
        <f t="shared" si="64"/>
        <v>Low</v>
      </c>
      <c r="T651" s="1">
        <f t="shared" si="65"/>
        <v>-0.13017085230332404</v>
      </c>
      <c r="U651">
        <f>SUM($I$2:I651)</f>
        <v>2237605.3899999978</v>
      </c>
      <c r="V651" s="1">
        <f>Table1[[#This Row],[Running total ]]/SUM(I:I)</f>
        <v>0.6456887627335145</v>
      </c>
    </row>
    <row r="652" spans="1:22" x14ac:dyDescent="0.3">
      <c r="A652" t="s">
        <v>1357</v>
      </c>
      <c r="B652" t="s">
        <v>1358</v>
      </c>
      <c r="C652" t="s">
        <v>1294</v>
      </c>
      <c r="D652" t="s">
        <v>137</v>
      </c>
      <c r="E652" t="s">
        <v>138</v>
      </c>
      <c r="F652" t="s">
        <v>19</v>
      </c>
      <c r="G652" t="s">
        <v>20</v>
      </c>
      <c r="H652" t="s">
        <v>239</v>
      </c>
      <c r="I652">
        <v>5958.7</v>
      </c>
      <c r="J652">
        <v>5</v>
      </c>
      <c r="K652" s="1">
        <v>0</v>
      </c>
      <c r="L652">
        <v>1683.94</v>
      </c>
      <c r="M652" t="s">
        <v>117</v>
      </c>
      <c r="N652" t="s">
        <v>23</v>
      </c>
      <c r="O652" t="str">
        <f t="shared" si="60"/>
        <v>01/07/2024</v>
      </c>
      <c r="P652">
        <f t="shared" si="61"/>
        <v>2024</v>
      </c>
      <c r="Q652">
        <f t="shared" si="62"/>
        <v>7</v>
      </c>
      <c r="R652" t="str">
        <f t="shared" si="63"/>
        <v>July</v>
      </c>
      <c r="S652" t="str">
        <f t="shared" si="64"/>
        <v>No Discount</v>
      </c>
      <c r="T652" s="1">
        <f t="shared" si="65"/>
        <v>0.28260190981254302</v>
      </c>
      <c r="U652">
        <f>SUM($I$2:I652)</f>
        <v>2243564.089999998</v>
      </c>
      <c r="V652" s="1">
        <f>Table1[[#This Row],[Running total ]]/SUM(I:I)</f>
        <v>0.64740821945617655</v>
      </c>
    </row>
    <row r="653" spans="1:22" x14ac:dyDescent="0.3">
      <c r="A653" t="s">
        <v>1359</v>
      </c>
      <c r="B653" t="s">
        <v>924</v>
      </c>
      <c r="C653" t="s">
        <v>411</v>
      </c>
      <c r="D653" t="s">
        <v>17</v>
      </c>
      <c r="E653" t="s">
        <v>54</v>
      </c>
      <c r="F653" t="s">
        <v>55</v>
      </c>
      <c r="G653" t="s">
        <v>74</v>
      </c>
      <c r="H653" t="s">
        <v>272</v>
      </c>
      <c r="I653">
        <v>4756.8</v>
      </c>
      <c r="J653">
        <v>10</v>
      </c>
      <c r="K653" s="1">
        <v>0.05</v>
      </c>
      <c r="L653">
        <v>1652.38</v>
      </c>
      <c r="M653" t="s">
        <v>44</v>
      </c>
      <c r="N653" t="s">
        <v>76</v>
      </c>
      <c r="O653" t="str">
        <f t="shared" si="60"/>
        <v>29/11/2025</v>
      </c>
      <c r="P653">
        <f t="shared" si="61"/>
        <v>2025</v>
      </c>
      <c r="Q653">
        <f t="shared" si="62"/>
        <v>11</v>
      </c>
      <c r="R653" t="str">
        <f t="shared" si="63"/>
        <v>November</v>
      </c>
      <c r="S653" t="str">
        <f t="shared" si="64"/>
        <v>High</v>
      </c>
      <c r="T653" s="1">
        <f t="shared" si="65"/>
        <v>0.34737218298015471</v>
      </c>
      <c r="U653">
        <f>SUM($I$2:I653)</f>
        <v>2248320.8899999978</v>
      </c>
      <c r="V653" s="1">
        <f>Table1[[#This Row],[Running total ]]/SUM(I:I)</f>
        <v>0.64878085304040767</v>
      </c>
    </row>
    <row r="654" spans="1:22" x14ac:dyDescent="0.3">
      <c r="A654" t="s">
        <v>1360</v>
      </c>
      <c r="B654" t="s">
        <v>1361</v>
      </c>
      <c r="C654" t="s">
        <v>857</v>
      </c>
      <c r="D654" t="s">
        <v>17</v>
      </c>
      <c r="E654" t="s">
        <v>80</v>
      </c>
      <c r="F654" t="s">
        <v>19</v>
      </c>
      <c r="G654" t="s">
        <v>20</v>
      </c>
      <c r="H654" t="s">
        <v>21</v>
      </c>
      <c r="I654">
        <v>2476.1999999999998</v>
      </c>
      <c r="J654">
        <v>4</v>
      </c>
      <c r="K654" s="1">
        <v>0.15</v>
      </c>
      <c r="L654">
        <v>508.1</v>
      </c>
      <c r="M654" t="s">
        <v>195</v>
      </c>
      <c r="N654" t="s">
        <v>32</v>
      </c>
      <c r="O654" t="str">
        <f t="shared" si="60"/>
        <v>23/04/2025</v>
      </c>
      <c r="P654">
        <f t="shared" si="61"/>
        <v>2025</v>
      </c>
      <c r="Q654">
        <f t="shared" si="62"/>
        <v>4</v>
      </c>
      <c r="R654" t="str">
        <f t="shared" si="63"/>
        <v>April</v>
      </c>
      <c r="S654" t="str">
        <f t="shared" si="64"/>
        <v>Low</v>
      </c>
      <c r="T654" s="1">
        <f t="shared" si="65"/>
        <v>0.20519344156368632</v>
      </c>
      <c r="U654">
        <f>SUM($I$2:I654)</f>
        <v>2250797.089999998</v>
      </c>
      <c r="V654" s="1">
        <f>Table1[[#This Row],[Running total ]]/SUM(I:I)</f>
        <v>0.64949539123441913</v>
      </c>
    </row>
    <row r="655" spans="1:22" x14ac:dyDescent="0.3">
      <c r="A655" t="s">
        <v>1362</v>
      </c>
      <c r="B655" t="s">
        <v>1363</v>
      </c>
      <c r="C655" t="s">
        <v>601</v>
      </c>
      <c r="D655" t="s">
        <v>137</v>
      </c>
      <c r="E655" t="s">
        <v>242</v>
      </c>
      <c r="F655" t="s">
        <v>55</v>
      </c>
      <c r="G655" t="s">
        <v>74</v>
      </c>
      <c r="H655" t="s">
        <v>272</v>
      </c>
      <c r="I655">
        <v>8951.1299999999992</v>
      </c>
      <c r="J655">
        <v>9</v>
      </c>
      <c r="K655" s="1">
        <v>0.2</v>
      </c>
      <c r="L655">
        <v>1737.78</v>
      </c>
      <c r="M655" t="s">
        <v>195</v>
      </c>
      <c r="N655" t="s">
        <v>39</v>
      </c>
      <c r="O655" t="str">
        <f t="shared" si="60"/>
        <v>30/01/2025</v>
      </c>
      <c r="P655">
        <f t="shared" si="61"/>
        <v>2025</v>
      </c>
      <c r="Q655">
        <f t="shared" si="62"/>
        <v>1</v>
      </c>
      <c r="R655" t="str">
        <f t="shared" si="63"/>
        <v>January</v>
      </c>
      <c r="S655" t="str">
        <f t="shared" si="64"/>
        <v>Low</v>
      </c>
      <c r="T655" s="1">
        <f t="shared" si="65"/>
        <v>0.19414085149025878</v>
      </c>
      <c r="U655">
        <f>SUM($I$2:I655)</f>
        <v>2259748.2199999979</v>
      </c>
      <c r="V655" s="1">
        <f>Table1[[#This Row],[Running total ]]/SUM(I:I)</f>
        <v>0.65207835071449383</v>
      </c>
    </row>
    <row r="656" spans="1:22" x14ac:dyDescent="0.3">
      <c r="A656" t="s">
        <v>1364</v>
      </c>
      <c r="B656" t="s">
        <v>629</v>
      </c>
      <c r="C656" t="s">
        <v>262</v>
      </c>
      <c r="D656" t="s">
        <v>48</v>
      </c>
      <c r="E656" t="s">
        <v>49</v>
      </c>
      <c r="F656" t="s">
        <v>55</v>
      </c>
      <c r="G656" t="s">
        <v>56</v>
      </c>
      <c r="H656" t="s">
        <v>62</v>
      </c>
      <c r="I656">
        <v>6868.98</v>
      </c>
      <c r="J656">
        <v>6</v>
      </c>
      <c r="K656" s="1">
        <v>0.1</v>
      </c>
      <c r="L656">
        <v>1645.73</v>
      </c>
      <c r="M656" t="s">
        <v>44</v>
      </c>
      <c r="N656" t="s">
        <v>76</v>
      </c>
      <c r="O656" t="str">
        <f t="shared" si="60"/>
        <v>03/09/2024</v>
      </c>
      <c r="P656">
        <f t="shared" si="61"/>
        <v>2024</v>
      </c>
      <c r="Q656">
        <f t="shared" si="62"/>
        <v>9</v>
      </c>
      <c r="R656" t="str">
        <f t="shared" si="63"/>
        <v>September</v>
      </c>
      <c r="S656" t="str">
        <f t="shared" si="64"/>
        <v>Low</v>
      </c>
      <c r="T656" s="1">
        <f t="shared" si="65"/>
        <v>0.23958870167040813</v>
      </c>
      <c r="U656">
        <f>SUM($I$2:I656)</f>
        <v>2266617.1999999979</v>
      </c>
      <c r="V656" s="1">
        <f>Table1[[#This Row],[Running total ]]/SUM(I:I)</f>
        <v>0.65406048001095629</v>
      </c>
    </row>
    <row r="657" spans="1:22" x14ac:dyDescent="0.3">
      <c r="A657" t="s">
        <v>1365</v>
      </c>
      <c r="B657" t="s">
        <v>736</v>
      </c>
      <c r="C657" t="s">
        <v>797</v>
      </c>
      <c r="D657" t="s">
        <v>137</v>
      </c>
      <c r="E657" t="s">
        <v>142</v>
      </c>
      <c r="F657" t="s">
        <v>55</v>
      </c>
      <c r="G657" t="s">
        <v>74</v>
      </c>
      <c r="H657" t="s">
        <v>272</v>
      </c>
      <c r="I657">
        <v>788.48</v>
      </c>
      <c r="J657">
        <v>2</v>
      </c>
      <c r="K657" s="1">
        <v>0.05</v>
      </c>
      <c r="L657">
        <v>241.47</v>
      </c>
      <c r="M657" t="s">
        <v>31</v>
      </c>
      <c r="N657" t="s">
        <v>32</v>
      </c>
      <c r="O657" t="str">
        <f t="shared" si="60"/>
        <v>24/07/2024</v>
      </c>
      <c r="P657">
        <f t="shared" si="61"/>
        <v>2024</v>
      </c>
      <c r="Q657">
        <f t="shared" si="62"/>
        <v>7</v>
      </c>
      <c r="R657" t="str">
        <f t="shared" si="63"/>
        <v>July</v>
      </c>
      <c r="S657" t="str">
        <f t="shared" si="64"/>
        <v>High</v>
      </c>
      <c r="T657" s="1">
        <f t="shared" si="65"/>
        <v>0.30624746347402598</v>
      </c>
      <c r="U657">
        <f>SUM($I$2:I657)</f>
        <v>2267405.6799999978</v>
      </c>
      <c r="V657" s="1">
        <f>Table1[[#This Row],[Running total ]]/SUM(I:I)</f>
        <v>0.65428800568546319</v>
      </c>
    </row>
    <row r="658" spans="1:22" x14ac:dyDescent="0.3">
      <c r="A658" t="s">
        <v>1366</v>
      </c>
      <c r="B658" t="s">
        <v>1046</v>
      </c>
      <c r="C658" t="s">
        <v>42</v>
      </c>
      <c r="D658" t="s">
        <v>137</v>
      </c>
      <c r="E658" t="s">
        <v>242</v>
      </c>
      <c r="F658" t="s">
        <v>55</v>
      </c>
      <c r="G658" t="s">
        <v>74</v>
      </c>
      <c r="H658" t="s">
        <v>75</v>
      </c>
      <c r="I658">
        <v>2815.83</v>
      </c>
      <c r="J658">
        <v>9</v>
      </c>
      <c r="K658" s="1">
        <v>0.2</v>
      </c>
      <c r="L658">
        <v>88.72</v>
      </c>
      <c r="M658" t="s">
        <v>44</v>
      </c>
      <c r="N658" t="s">
        <v>76</v>
      </c>
      <c r="O658" t="str">
        <f t="shared" si="60"/>
        <v>18/07/2025</v>
      </c>
      <c r="P658">
        <f t="shared" si="61"/>
        <v>2025</v>
      </c>
      <c r="Q658">
        <f t="shared" si="62"/>
        <v>7</v>
      </c>
      <c r="R658" t="str">
        <f t="shared" si="63"/>
        <v>July</v>
      </c>
      <c r="S658" t="str">
        <f t="shared" si="64"/>
        <v>Low</v>
      </c>
      <c r="T658" s="1">
        <f t="shared" si="65"/>
        <v>3.1507583909539991E-2</v>
      </c>
      <c r="U658">
        <f>SUM($I$2:I658)</f>
        <v>2270221.5099999979</v>
      </c>
      <c r="V658" s="1">
        <f>Table1[[#This Row],[Running total ]]/SUM(I:I)</f>
        <v>0.65510054832452436</v>
      </c>
    </row>
    <row r="659" spans="1:22" x14ac:dyDescent="0.3">
      <c r="A659" t="s">
        <v>1367</v>
      </c>
      <c r="B659" t="s">
        <v>1368</v>
      </c>
      <c r="C659" t="s">
        <v>797</v>
      </c>
      <c r="D659" t="s">
        <v>48</v>
      </c>
      <c r="E659" t="s">
        <v>49</v>
      </c>
      <c r="F659" t="s">
        <v>67</v>
      </c>
      <c r="G659" t="s">
        <v>85</v>
      </c>
      <c r="H659" t="s">
        <v>125</v>
      </c>
      <c r="I659">
        <v>6828.96</v>
      </c>
      <c r="J659">
        <v>8</v>
      </c>
      <c r="K659" s="1">
        <v>0.05</v>
      </c>
      <c r="L659">
        <v>1192.5899999999999</v>
      </c>
      <c r="M659" t="s">
        <v>117</v>
      </c>
      <c r="N659" t="s">
        <v>23</v>
      </c>
      <c r="O659" t="str">
        <f t="shared" si="60"/>
        <v>07/01/2024</v>
      </c>
      <c r="P659">
        <f t="shared" si="61"/>
        <v>2024</v>
      </c>
      <c r="Q659">
        <f t="shared" si="62"/>
        <v>1</v>
      </c>
      <c r="R659" t="str">
        <f t="shared" si="63"/>
        <v>January</v>
      </c>
      <c r="S659" t="str">
        <f t="shared" si="64"/>
        <v>High</v>
      </c>
      <c r="T659" s="1">
        <f t="shared" si="65"/>
        <v>0.17463713361917479</v>
      </c>
      <c r="U659">
        <f>SUM($I$2:I659)</f>
        <v>2277050.4699999979</v>
      </c>
      <c r="V659" s="1">
        <f>Table1[[#This Row],[Running total ]]/SUM(I:I)</f>
        <v>0.65707112935407597</v>
      </c>
    </row>
    <row r="660" spans="1:22" x14ac:dyDescent="0.3">
      <c r="A660" t="s">
        <v>1369</v>
      </c>
      <c r="B660" t="s">
        <v>1370</v>
      </c>
      <c r="C660" t="s">
        <v>221</v>
      </c>
      <c r="D660" t="s">
        <v>48</v>
      </c>
      <c r="E660" t="s">
        <v>49</v>
      </c>
      <c r="F660" t="s">
        <v>55</v>
      </c>
      <c r="G660" t="s">
        <v>74</v>
      </c>
      <c r="H660" t="s">
        <v>133</v>
      </c>
      <c r="I660">
        <v>2283.6</v>
      </c>
      <c r="J660">
        <v>4</v>
      </c>
      <c r="K660" s="1">
        <v>0.25</v>
      </c>
      <c r="L660">
        <v>-384.32</v>
      </c>
      <c r="M660" t="s">
        <v>38</v>
      </c>
      <c r="N660" t="s">
        <v>39</v>
      </c>
      <c r="O660" t="str">
        <f t="shared" si="60"/>
        <v>13/03/2024</v>
      </c>
      <c r="P660">
        <f t="shared" si="61"/>
        <v>2024</v>
      </c>
      <c r="Q660">
        <f t="shared" si="62"/>
        <v>3</v>
      </c>
      <c r="R660" t="str">
        <f t="shared" si="63"/>
        <v>March</v>
      </c>
      <c r="S660" t="str">
        <f t="shared" si="64"/>
        <v>Low</v>
      </c>
      <c r="T660" s="1">
        <f t="shared" si="65"/>
        <v>-0.16829567349798563</v>
      </c>
      <c r="U660">
        <f>SUM($I$2:I660)</f>
        <v>2279334.069999998</v>
      </c>
      <c r="V660" s="1">
        <f>Table1[[#This Row],[Running total ]]/SUM(I:I)</f>
        <v>0.65773009043147057</v>
      </c>
    </row>
    <row r="661" spans="1:22" x14ac:dyDescent="0.3">
      <c r="A661" t="s">
        <v>1371</v>
      </c>
      <c r="B661" t="s">
        <v>1372</v>
      </c>
      <c r="C661" t="s">
        <v>375</v>
      </c>
      <c r="D661" t="s">
        <v>137</v>
      </c>
      <c r="E661" t="s">
        <v>138</v>
      </c>
      <c r="F661" t="s">
        <v>19</v>
      </c>
      <c r="G661" t="s">
        <v>29</v>
      </c>
      <c r="H661" t="s">
        <v>199</v>
      </c>
      <c r="I661">
        <v>3086.13</v>
      </c>
      <c r="J661">
        <v>3</v>
      </c>
      <c r="K661" s="1">
        <v>0.15</v>
      </c>
      <c r="L661">
        <v>577.42999999999995</v>
      </c>
      <c r="M661" t="s">
        <v>63</v>
      </c>
      <c r="N661" t="s">
        <v>39</v>
      </c>
      <c r="O661" t="str">
        <f t="shared" si="60"/>
        <v>12/12/2024</v>
      </c>
      <c r="P661">
        <f t="shared" si="61"/>
        <v>2024</v>
      </c>
      <c r="Q661">
        <f t="shared" si="62"/>
        <v>12</v>
      </c>
      <c r="R661" t="str">
        <f t="shared" si="63"/>
        <v>December</v>
      </c>
      <c r="S661" t="str">
        <f t="shared" si="64"/>
        <v>Low</v>
      </c>
      <c r="T661" s="1">
        <f t="shared" si="65"/>
        <v>0.18710488540664194</v>
      </c>
      <c r="U661">
        <f>SUM($I$2:I661)</f>
        <v>2282420.1999999979</v>
      </c>
      <c r="V661" s="1">
        <f>Table1[[#This Row],[Running total ]]/SUM(I:I)</f>
        <v>0.65862063148497363</v>
      </c>
    </row>
    <row r="662" spans="1:22" x14ac:dyDescent="0.3">
      <c r="A662" t="s">
        <v>1373</v>
      </c>
      <c r="B662" t="s">
        <v>1374</v>
      </c>
      <c r="C662" t="s">
        <v>480</v>
      </c>
      <c r="D662" t="s">
        <v>27</v>
      </c>
      <c r="E662" t="s">
        <v>61</v>
      </c>
      <c r="F662" t="s">
        <v>19</v>
      </c>
      <c r="G662" t="s">
        <v>29</v>
      </c>
      <c r="H662" t="s">
        <v>50</v>
      </c>
      <c r="I662">
        <v>3039.57</v>
      </c>
      <c r="J662">
        <v>3</v>
      </c>
      <c r="K662" s="1">
        <v>0.3</v>
      </c>
      <c r="L662">
        <v>249.52</v>
      </c>
      <c r="M662" t="s">
        <v>87</v>
      </c>
      <c r="N662" t="s">
        <v>23</v>
      </c>
      <c r="O662" t="str">
        <f t="shared" si="60"/>
        <v>15/10/2025</v>
      </c>
      <c r="P662">
        <f t="shared" si="61"/>
        <v>2025</v>
      </c>
      <c r="Q662">
        <f t="shared" si="62"/>
        <v>10</v>
      </c>
      <c r="R662" t="str">
        <f t="shared" si="63"/>
        <v>October</v>
      </c>
      <c r="S662" t="str">
        <f t="shared" si="64"/>
        <v>Low</v>
      </c>
      <c r="T662" s="1">
        <f t="shared" si="65"/>
        <v>8.2090558861944288E-2</v>
      </c>
      <c r="U662">
        <f>SUM($I$2:I662)</f>
        <v>2285459.7699999977</v>
      </c>
      <c r="V662" s="1">
        <f>Table1[[#This Row],[Running total ]]/SUM(I:I)</f>
        <v>0.6594977370735251</v>
      </c>
    </row>
    <row r="663" spans="1:22" x14ac:dyDescent="0.3">
      <c r="A663" t="s">
        <v>1375</v>
      </c>
      <c r="B663" t="s">
        <v>1376</v>
      </c>
      <c r="C663" t="s">
        <v>950</v>
      </c>
      <c r="D663" t="s">
        <v>17</v>
      </c>
      <c r="E663" t="s">
        <v>54</v>
      </c>
      <c r="F663" t="s">
        <v>55</v>
      </c>
      <c r="G663" t="s">
        <v>56</v>
      </c>
      <c r="H663" t="s">
        <v>62</v>
      </c>
      <c r="I663">
        <v>6604.38</v>
      </c>
      <c r="J663">
        <v>9</v>
      </c>
      <c r="K663" s="1">
        <v>0</v>
      </c>
      <c r="L663">
        <v>2780.36</v>
      </c>
      <c r="M663" t="s">
        <v>107</v>
      </c>
      <c r="N663" t="s">
        <v>76</v>
      </c>
      <c r="O663" t="str">
        <f t="shared" si="60"/>
        <v>16/05/2025</v>
      </c>
      <c r="P663">
        <f t="shared" si="61"/>
        <v>2025</v>
      </c>
      <c r="Q663">
        <f t="shared" si="62"/>
        <v>5</v>
      </c>
      <c r="R663" t="str">
        <f t="shared" si="63"/>
        <v>May</v>
      </c>
      <c r="S663" t="str">
        <f t="shared" si="64"/>
        <v>No Discount</v>
      </c>
      <c r="T663" s="1">
        <f t="shared" si="65"/>
        <v>0.42098728419624554</v>
      </c>
      <c r="U663">
        <f>SUM($I$2:I663)</f>
        <v>2292064.1499999976</v>
      </c>
      <c r="V663" s="1">
        <f>Table1[[#This Row],[Running total ]]/SUM(I:I)</f>
        <v>0.66140351276117748</v>
      </c>
    </row>
    <row r="664" spans="1:22" x14ac:dyDescent="0.3">
      <c r="A664" t="s">
        <v>1377</v>
      </c>
      <c r="B664" t="s">
        <v>931</v>
      </c>
      <c r="C664" t="s">
        <v>186</v>
      </c>
      <c r="D664" t="s">
        <v>17</v>
      </c>
      <c r="E664" t="s">
        <v>97</v>
      </c>
      <c r="F664" t="s">
        <v>67</v>
      </c>
      <c r="G664" t="s">
        <v>68</v>
      </c>
      <c r="H664" t="s">
        <v>103</v>
      </c>
      <c r="I664">
        <v>5846.46</v>
      </c>
      <c r="J664">
        <v>6</v>
      </c>
      <c r="K664" s="1">
        <v>0.3</v>
      </c>
      <c r="L664">
        <v>-877.6</v>
      </c>
      <c r="M664" t="s">
        <v>44</v>
      </c>
      <c r="N664" t="s">
        <v>23</v>
      </c>
      <c r="O664" t="str">
        <f t="shared" si="60"/>
        <v>19/07/2025</v>
      </c>
      <c r="P664">
        <f t="shared" si="61"/>
        <v>2025</v>
      </c>
      <c r="Q664">
        <f t="shared" si="62"/>
        <v>7</v>
      </c>
      <c r="R664" t="str">
        <f t="shared" si="63"/>
        <v>July</v>
      </c>
      <c r="S664" t="str">
        <f t="shared" si="64"/>
        <v>Low</v>
      </c>
      <c r="T664" s="1">
        <f t="shared" si="65"/>
        <v>-0.15010792855847813</v>
      </c>
      <c r="U664">
        <f>SUM($I$2:I664)</f>
        <v>2297910.6099999975</v>
      </c>
      <c r="V664" s="1">
        <f>Table1[[#This Row],[Running total ]]/SUM(I:I)</f>
        <v>0.66309058124100939</v>
      </c>
    </row>
    <row r="665" spans="1:22" x14ac:dyDescent="0.3">
      <c r="A665" t="s">
        <v>1378</v>
      </c>
      <c r="B665" t="s">
        <v>1184</v>
      </c>
      <c r="C665" t="s">
        <v>350</v>
      </c>
      <c r="D665" t="s">
        <v>17</v>
      </c>
      <c r="E665" t="s">
        <v>18</v>
      </c>
      <c r="F665" t="s">
        <v>67</v>
      </c>
      <c r="G665" t="s">
        <v>115</v>
      </c>
      <c r="H665" t="s">
        <v>212</v>
      </c>
      <c r="I665">
        <v>7543.08</v>
      </c>
      <c r="J665">
        <v>9</v>
      </c>
      <c r="K665" s="1">
        <v>0.25</v>
      </c>
      <c r="L665">
        <v>-659.09</v>
      </c>
      <c r="M665" t="s">
        <v>38</v>
      </c>
      <c r="N665" t="s">
        <v>39</v>
      </c>
      <c r="O665" t="str">
        <f t="shared" si="60"/>
        <v>09/12/2025</v>
      </c>
      <c r="P665">
        <f t="shared" si="61"/>
        <v>2025</v>
      </c>
      <c r="Q665">
        <f t="shared" si="62"/>
        <v>12</v>
      </c>
      <c r="R665" t="str">
        <f t="shared" si="63"/>
        <v>December</v>
      </c>
      <c r="S665" t="str">
        <f t="shared" si="64"/>
        <v>Low</v>
      </c>
      <c r="T665" s="1">
        <f t="shared" si="65"/>
        <v>-8.737677447408751E-2</v>
      </c>
      <c r="U665">
        <f>SUM($I$2:I665)</f>
        <v>2305453.6899999976</v>
      </c>
      <c r="V665" s="1">
        <f>Table1[[#This Row],[Running total ]]/SUM(I:I)</f>
        <v>0.66526723044563074</v>
      </c>
    </row>
    <row r="666" spans="1:22" x14ac:dyDescent="0.3">
      <c r="A666" t="s">
        <v>1379</v>
      </c>
      <c r="B666" t="s">
        <v>996</v>
      </c>
      <c r="C666" t="s">
        <v>859</v>
      </c>
      <c r="D666" t="s">
        <v>137</v>
      </c>
      <c r="E666" t="s">
        <v>242</v>
      </c>
      <c r="F666" t="s">
        <v>67</v>
      </c>
      <c r="G666" t="s">
        <v>85</v>
      </c>
      <c r="H666" t="s">
        <v>86</v>
      </c>
      <c r="I666">
        <v>1887.74</v>
      </c>
      <c r="J666">
        <v>2</v>
      </c>
      <c r="K666" s="1">
        <v>0.05</v>
      </c>
      <c r="L666">
        <v>95.72</v>
      </c>
      <c r="M666" t="s">
        <v>195</v>
      </c>
      <c r="N666" t="s">
        <v>32</v>
      </c>
      <c r="O666" t="str">
        <f t="shared" si="60"/>
        <v>04/07/2025</v>
      </c>
      <c r="P666">
        <f t="shared" si="61"/>
        <v>2025</v>
      </c>
      <c r="Q666">
        <f t="shared" si="62"/>
        <v>7</v>
      </c>
      <c r="R666" t="str">
        <f t="shared" si="63"/>
        <v>July</v>
      </c>
      <c r="S666" t="str">
        <f t="shared" si="64"/>
        <v>High</v>
      </c>
      <c r="T666" s="1">
        <f t="shared" si="65"/>
        <v>5.0706135378812758E-2</v>
      </c>
      <c r="U666">
        <f>SUM($I$2:I666)</f>
        <v>2307341.4299999978</v>
      </c>
      <c r="V666" s="1">
        <f>Table1[[#This Row],[Running total ]]/SUM(I:I)</f>
        <v>0.66581196121469755</v>
      </c>
    </row>
    <row r="667" spans="1:22" x14ac:dyDescent="0.3">
      <c r="A667" t="s">
        <v>1380</v>
      </c>
      <c r="B667" t="s">
        <v>1381</v>
      </c>
      <c r="C667" t="s">
        <v>646</v>
      </c>
      <c r="D667" t="s">
        <v>27</v>
      </c>
      <c r="E667" t="s">
        <v>43</v>
      </c>
      <c r="F667" t="s">
        <v>67</v>
      </c>
      <c r="G667" t="s">
        <v>68</v>
      </c>
      <c r="H667" t="s">
        <v>382</v>
      </c>
      <c r="I667">
        <v>7645.89</v>
      </c>
      <c r="J667">
        <v>7</v>
      </c>
      <c r="K667" s="1">
        <v>0.05</v>
      </c>
      <c r="L667">
        <v>945.67</v>
      </c>
      <c r="M667" t="s">
        <v>117</v>
      </c>
      <c r="N667" t="s">
        <v>32</v>
      </c>
      <c r="O667" t="str">
        <f t="shared" si="60"/>
        <v>20/05/2024</v>
      </c>
      <c r="P667">
        <f t="shared" si="61"/>
        <v>2024</v>
      </c>
      <c r="Q667">
        <f t="shared" si="62"/>
        <v>5</v>
      </c>
      <c r="R667" t="str">
        <f t="shared" si="63"/>
        <v>May</v>
      </c>
      <c r="S667" t="str">
        <f t="shared" si="64"/>
        <v>High</v>
      </c>
      <c r="T667" s="1">
        <f t="shared" si="65"/>
        <v>0.12368344300009547</v>
      </c>
      <c r="U667">
        <f>SUM($I$2:I667)</f>
        <v>2314987.319999998</v>
      </c>
      <c r="V667" s="1">
        <f>Table1[[#This Row],[Running total ]]/SUM(I:I)</f>
        <v>0.66801827751879639</v>
      </c>
    </row>
    <row r="668" spans="1:22" x14ac:dyDescent="0.3">
      <c r="A668" t="s">
        <v>1382</v>
      </c>
      <c r="B668" t="s">
        <v>1383</v>
      </c>
      <c r="C668" t="s">
        <v>745</v>
      </c>
      <c r="D668" t="s">
        <v>48</v>
      </c>
      <c r="E668" t="s">
        <v>84</v>
      </c>
      <c r="F668" t="s">
        <v>67</v>
      </c>
      <c r="G668" t="s">
        <v>68</v>
      </c>
      <c r="H668" t="s">
        <v>382</v>
      </c>
      <c r="I668">
        <v>3463.38</v>
      </c>
      <c r="J668">
        <v>9</v>
      </c>
      <c r="K668" s="1">
        <v>0.1</v>
      </c>
      <c r="L668">
        <v>171.98</v>
      </c>
      <c r="M668" t="s">
        <v>44</v>
      </c>
      <c r="N668" t="s">
        <v>76</v>
      </c>
      <c r="O668" t="str">
        <f t="shared" si="60"/>
        <v>25/04/2025</v>
      </c>
      <c r="P668">
        <f t="shared" si="61"/>
        <v>2025</v>
      </c>
      <c r="Q668">
        <f t="shared" si="62"/>
        <v>4</v>
      </c>
      <c r="R668" t="str">
        <f t="shared" si="63"/>
        <v>April</v>
      </c>
      <c r="S668" t="str">
        <f t="shared" si="64"/>
        <v>Low</v>
      </c>
      <c r="T668" s="1">
        <f t="shared" si="65"/>
        <v>4.9656693750036091E-2</v>
      </c>
      <c r="U668">
        <f>SUM($I$2:I668)</f>
        <v>2318450.6999999979</v>
      </c>
      <c r="V668" s="1">
        <f>Table1[[#This Row],[Running total ]]/SUM(I:I)</f>
        <v>0.66901767873452012</v>
      </c>
    </row>
    <row r="669" spans="1:22" x14ac:dyDescent="0.3">
      <c r="A669" t="s">
        <v>1384</v>
      </c>
      <c r="B669" t="s">
        <v>301</v>
      </c>
      <c r="C669" t="s">
        <v>501</v>
      </c>
      <c r="D669" t="s">
        <v>137</v>
      </c>
      <c r="E669" t="s">
        <v>242</v>
      </c>
      <c r="F669" t="s">
        <v>55</v>
      </c>
      <c r="G669" t="s">
        <v>74</v>
      </c>
      <c r="H669" t="s">
        <v>272</v>
      </c>
      <c r="I669">
        <v>363.12</v>
      </c>
      <c r="J669">
        <v>3</v>
      </c>
      <c r="K669" s="1">
        <v>0.1</v>
      </c>
      <c r="L669">
        <v>50.23</v>
      </c>
      <c r="M669" t="s">
        <v>31</v>
      </c>
      <c r="N669" t="s">
        <v>76</v>
      </c>
      <c r="O669" t="str">
        <f t="shared" si="60"/>
        <v>18/06/2025</v>
      </c>
      <c r="P669">
        <f t="shared" si="61"/>
        <v>2025</v>
      </c>
      <c r="Q669">
        <f t="shared" si="62"/>
        <v>6</v>
      </c>
      <c r="R669" t="str">
        <f t="shared" si="63"/>
        <v>June</v>
      </c>
      <c r="S669" t="str">
        <f t="shared" si="64"/>
        <v>Low</v>
      </c>
      <c r="T669" s="1">
        <f t="shared" si="65"/>
        <v>0.13832892707644856</v>
      </c>
      <c r="U669">
        <f>SUM($I$2:I669)</f>
        <v>2318813.819999998</v>
      </c>
      <c r="V669" s="1">
        <f>Table1[[#This Row],[Running total ]]/SUM(I:I)</f>
        <v>0.66912246151014787</v>
      </c>
    </row>
    <row r="670" spans="1:22" x14ac:dyDescent="0.3">
      <c r="A670" t="s">
        <v>1385</v>
      </c>
      <c r="B670" t="s">
        <v>1111</v>
      </c>
      <c r="C670" t="s">
        <v>83</v>
      </c>
      <c r="D670" t="s">
        <v>17</v>
      </c>
      <c r="E670" t="s">
        <v>80</v>
      </c>
      <c r="F670" t="s">
        <v>55</v>
      </c>
      <c r="G670" t="s">
        <v>74</v>
      </c>
      <c r="H670" t="s">
        <v>75</v>
      </c>
      <c r="I670">
        <v>162.28</v>
      </c>
      <c r="J670">
        <v>4</v>
      </c>
      <c r="K670" s="1">
        <v>0.05</v>
      </c>
      <c r="L670">
        <v>48.67</v>
      </c>
      <c r="M670" t="s">
        <v>107</v>
      </c>
      <c r="N670" t="s">
        <v>76</v>
      </c>
      <c r="O670" t="str">
        <f t="shared" si="60"/>
        <v>03/11/2024</v>
      </c>
      <c r="P670">
        <f t="shared" si="61"/>
        <v>2024</v>
      </c>
      <c r="Q670">
        <f t="shared" si="62"/>
        <v>11</v>
      </c>
      <c r="R670" t="str">
        <f t="shared" si="63"/>
        <v>November</v>
      </c>
      <c r="S670" t="str">
        <f t="shared" si="64"/>
        <v>High</v>
      </c>
      <c r="T670" s="1">
        <f t="shared" si="65"/>
        <v>0.29991372935666749</v>
      </c>
      <c r="U670">
        <f>SUM($I$2:I670)</f>
        <v>2318976.0999999978</v>
      </c>
      <c r="V670" s="1">
        <f>Table1[[#This Row],[Running total ]]/SUM(I:I)</f>
        <v>0.66916928941505216</v>
      </c>
    </row>
    <row r="671" spans="1:22" x14ac:dyDescent="0.3">
      <c r="A671" t="s">
        <v>1386</v>
      </c>
      <c r="B671" t="s">
        <v>828</v>
      </c>
      <c r="C671" t="s">
        <v>370</v>
      </c>
      <c r="D671" t="s">
        <v>27</v>
      </c>
      <c r="E671" t="s">
        <v>43</v>
      </c>
      <c r="F671" t="s">
        <v>19</v>
      </c>
      <c r="G671" t="s">
        <v>36</v>
      </c>
      <c r="H671" t="s">
        <v>37</v>
      </c>
      <c r="I671">
        <v>3088.89</v>
      </c>
      <c r="J671">
        <v>3</v>
      </c>
      <c r="K671" s="1">
        <v>0.2</v>
      </c>
      <c r="L671">
        <v>-205.08</v>
      </c>
      <c r="M671" t="s">
        <v>38</v>
      </c>
      <c r="N671" t="s">
        <v>39</v>
      </c>
      <c r="O671" t="str">
        <f t="shared" si="60"/>
        <v>03/08/2024</v>
      </c>
      <c r="P671">
        <f t="shared" si="61"/>
        <v>2024</v>
      </c>
      <c r="Q671">
        <f t="shared" si="62"/>
        <v>8</v>
      </c>
      <c r="R671" t="str">
        <f t="shared" si="63"/>
        <v>August</v>
      </c>
      <c r="S671" t="str">
        <f t="shared" si="64"/>
        <v>Low</v>
      </c>
      <c r="T671" s="1">
        <f t="shared" si="65"/>
        <v>-6.6392781873100049E-2</v>
      </c>
      <c r="U671">
        <f>SUM($I$2:I671)</f>
        <v>2322064.9899999979</v>
      </c>
      <c r="V671" s="1">
        <f>Table1[[#This Row],[Running total ]]/SUM(I:I)</f>
        <v>0.67006062690075607</v>
      </c>
    </row>
    <row r="672" spans="1:22" x14ac:dyDescent="0.3">
      <c r="A672" t="s">
        <v>1387</v>
      </c>
      <c r="B672" t="s">
        <v>1182</v>
      </c>
      <c r="C672" t="s">
        <v>183</v>
      </c>
      <c r="D672" t="s">
        <v>17</v>
      </c>
      <c r="E672" t="s">
        <v>54</v>
      </c>
      <c r="F672" t="s">
        <v>55</v>
      </c>
      <c r="G672" t="s">
        <v>74</v>
      </c>
      <c r="H672" t="s">
        <v>75</v>
      </c>
      <c r="I672">
        <v>2454.27</v>
      </c>
      <c r="J672">
        <v>3</v>
      </c>
      <c r="K672" s="1">
        <v>0.15</v>
      </c>
      <c r="L672">
        <v>-219.41</v>
      </c>
      <c r="M672" t="s">
        <v>107</v>
      </c>
      <c r="N672" t="s">
        <v>39</v>
      </c>
      <c r="O672" t="str">
        <f t="shared" si="60"/>
        <v>11/10/2024</v>
      </c>
      <c r="P672">
        <f t="shared" si="61"/>
        <v>2024</v>
      </c>
      <c r="Q672">
        <f t="shared" si="62"/>
        <v>10</v>
      </c>
      <c r="R672" t="str">
        <f t="shared" si="63"/>
        <v>October</v>
      </c>
      <c r="S672" t="str">
        <f t="shared" si="64"/>
        <v>Low</v>
      </c>
      <c r="T672" s="1">
        <f t="shared" si="65"/>
        <v>-8.9399291846455356E-2</v>
      </c>
      <c r="U672">
        <f>SUM($I$2:I672)</f>
        <v>2324519.2599999979</v>
      </c>
      <c r="V672" s="1">
        <f>Table1[[#This Row],[Running total ]]/SUM(I:I)</f>
        <v>0.67076883692152023</v>
      </c>
    </row>
    <row r="673" spans="1:22" x14ac:dyDescent="0.3">
      <c r="A673" t="s">
        <v>1388</v>
      </c>
      <c r="B673" t="s">
        <v>1389</v>
      </c>
      <c r="C673" t="s">
        <v>166</v>
      </c>
      <c r="D673" t="s">
        <v>48</v>
      </c>
      <c r="E673" t="s">
        <v>49</v>
      </c>
      <c r="F673" t="s">
        <v>19</v>
      </c>
      <c r="G673" t="s">
        <v>20</v>
      </c>
      <c r="H673" t="s">
        <v>21</v>
      </c>
      <c r="I673">
        <v>1143.3800000000001</v>
      </c>
      <c r="J673">
        <v>2</v>
      </c>
      <c r="K673" s="1">
        <v>0.05</v>
      </c>
      <c r="L673">
        <v>108.57</v>
      </c>
      <c r="M673" t="s">
        <v>44</v>
      </c>
      <c r="N673" t="s">
        <v>39</v>
      </c>
      <c r="O673" t="str">
        <f t="shared" si="60"/>
        <v>24/04/2024</v>
      </c>
      <c r="P673">
        <f t="shared" si="61"/>
        <v>2024</v>
      </c>
      <c r="Q673">
        <f t="shared" si="62"/>
        <v>4</v>
      </c>
      <c r="R673" t="str">
        <f t="shared" si="63"/>
        <v>April</v>
      </c>
      <c r="S673" t="str">
        <f t="shared" si="64"/>
        <v>High</v>
      </c>
      <c r="T673" s="1">
        <f t="shared" si="65"/>
        <v>9.4955307946614415E-2</v>
      </c>
      <c r="U673">
        <f>SUM($I$2:I673)</f>
        <v>2325662.6399999978</v>
      </c>
      <c r="V673" s="1">
        <f>Table1[[#This Row],[Running total ]]/SUM(I:I)</f>
        <v>0.6710987733887962</v>
      </c>
    </row>
    <row r="674" spans="1:22" x14ac:dyDescent="0.3">
      <c r="A674" t="s">
        <v>1390</v>
      </c>
      <c r="B674" t="s">
        <v>1363</v>
      </c>
      <c r="C674" t="s">
        <v>308</v>
      </c>
      <c r="D674" t="s">
        <v>27</v>
      </c>
      <c r="E674" t="s">
        <v>124</v>
      </c>
      <c r="F674" t="s">
        <v>19</v>
      </c>
      <c r="G674" t="s">
        <v>36</v>
      </c>
      <c r="H674" t="s">
        <v>222</v>
      </c>
      <c r="I674">
        <v>4499.46</v>
      </c>
      <c r="J674">
        <v>6</v>
      </c>
      <c r="K674" s="1">
        <v>0</v>
      </c>
      <c r="L674">
        <v>1658.78</v>
      </c>
      <c r="M674" t="s">
        <v>195</v>
      </c>
      <c r="N674" t="s">
        <v>76</v>
      </c>
      <c r="O674" t="str">
        <f t="shared" si="60"/>
        <v>30/01/2025</v>
      </c>
      <c r="P674">
        <f t="shared" si="61"/>
        <v>2025</v>
      </c>
      <c r="Q674">
        <f t="shared" si="62"/>
        <v>1</v>
      </c>
      <c r="R674" t="str">
        <f t="shared" si="63"/>
        <v>January</v>
      </c>
      <c r="S674" t="str">
        <f t="shared" si="64"/>
        <v>No Discount</v>
      </c>
      <c r="T674" s="1">
        <f t="shared" si="65"/>
        <v>0.36866201721984415</v>
      </c>
      <c r="U674">
        <f>SUM($I$2:I674)</f>
        <v>2330162.0999999978</v>
      </c>
      <c r="V674" s="1">
        <f>Table1[[#This Row],[Running total ]]/SUM(I:I)</f>
        <v>0.67239714832718023</v>
      </c>
    </row>
    <row r="675" spans="1:22" x14ac:dyDescent="0.3">
      <c r="A675" t="s">
        <v>1391</v>
      </c>
      <c r="B675" t="s">
        <v>1392</v>
      </c>
      <c r="C675" t="s">
        <v>994</v>
      </c>
      <c r="D675" t="s">
        <v>137</v>
      </c>
      <c r="E675" t="s">
        <v>142</v>
      </c>
      <c r="F675" t="s">
        <v>55</v>
      </c>
      <c r="G675" t="s">
        <v>98</v>
      </c>
      <c r="H675" t="s">
        <v>150</v>
      </c>
      <c r="I675">
        <v>230.28</v>
      </c>
      <c r="J675">
        <v>2</v>
      </c>
      <c r="K675" s="1">
        <v>0</v>
      </c>
      <c r="L675">
        <v>52.39</v>
      </c>
      <c r="M675" t="s">
        <v>195</v>
      </c>
      <c r="N675" t="s">
        <v>39</v>
      </c>
      <c r="O675" t="str">
        <f t="shared" si="60"/>
        <v>25/02/2024</v>
      </c>
      <c r="P675">
        <f t="shared" si="61"/>
        <v>2024</v>
      </c>
      <c r="Q675">
        <f t="shared" si="62"/>
        <v>2</v>
      </c>
      <c r="R675" t="str">
        <f t="shared" si="63"/>
        <v>February</v>
      </c>
      <c r="S675" t="str">
        <f t="shared" si="64"/>
        <v>No Discount</v>
      </c>
      <c r="T675" s="1">
        <f t="shared" si="65"/>
        <v>0.22750564530137224</v>
      </c>
      <c r="U675">
        <f>SUM($I$2:I675)</f>
        <v>2330392.3799999976</v>
      </c>
      <c r="V675" s="1">
        <f>Table1[[#This Row],[Running total ]]/SUM(I:I)</f>
        <v>0.67246359847471138</v>
      </c>
    </row>
    <row r="676" spans="1:22" x14ac:dyDescent="0.3">
      <c r="A676" t="s">
        <v>1393</v>
      </c>
      <c r="B676" t="s">
        <v>1394</v>
      </c>
      <c r="C676" t="s">
        <v>340</v>
      </c>
      <c r="D676" t="s">
        <v>137</v>
      </c>
      <c r="E676" t="s">
        <v>160</v>
      </c>
      <c r="F676" t="s">
        <v>19</v>
      </c>
      <c r="G676" t="s">
        <v>36</v>
      </c>
      <c r="H676" t="s">
        <v>222</v>
      </c>
      <c r="I676">
        <v>3270.15</v>
      </c>
      <c r="J676">
        <v>9</v>
      </c>
      <c r="K676" s="1">
        <v>0.05</v>
      </c>
      <c r="L676">
        <v>1153.78</v>
      </c>
      <c r="M676" t="s">
        <v>117</v>
      </c>
      <c r="N676" t="s">
        <v>76</v>
      </c>
      <c r="O676" t="str">
        <f t="shared" si="60"/>
        <v>24/10/2024</v>
      </c>
      <c r="P676">
        <f t="shared" si="61"/>
        <v>2024</v>
      </c>
      <c r="Q676">
        <f t="shared" si="62"/>
        <v>10</v>
      </c>
      <c r="R676" t="str">
        <f t="shared" si="63"/>
        <v>October</v>
      </c>
      <c r="S676" t="str">
        <f t="shared" si="64"/>
        <v>High</v>
      </c>
      <c r="T676" s="1">
        <f t="shared" si="65"/>
        <v>0.35282173600599359</v>
      </c>
      <c r="U676">
        <f>SUM($I$2:I676)</f>
        <v>2333662.5299999975</v>
      </c>
      <c r="V676" s="1">
        <f>Table1[[#This Row],[Running total ]]/SUM(I:I)</f>
        <v>0.67340724077951164</v>
      </c>
    </row>
    <row r="677" spans="1:22" x14ac:dyDescent="0.3">
      <c r="A677" t="s">
        <v>1395</v>
      </c>
      <c r="B677" t="s">
        <v>201</v>
      </c>
      <c r="C677" t="s">
        <v>302</v>
      </c>
      <c r="D677" t="s">
        <v>17</v>
      </c>
      <c r="E677" t="s">
        <v>80</v>
      </c>
      <c r="F677" t="s">
        <v>67</v>
      </c>
      <c r="G677" t="s">
        <v>68</v>
      </c>
      <c r="H677" t="s">
        <v>103</v>
      </c>
      <c r="I677">
        <v>2502.96</v>
      </c>
      <c r="J677">
        <v>4</v>
      </c>
      <c r="K677" s="1">
        <v>0.2</v>
      </c>
      <c r="L677">
        <v>426.78</v>
      </c>
      <c r="M677" t="s">
        <v>31</v>
      </c>
      <c r="N677" t="s">
        <v>32</v>
      </c>
      <c r="O677" t="str">
        <f t="shared" si="60"/>
        <v>03/10/2024</v>
      </c>
      <c r="P677">
        <f t="shared" si="61"/>
        <v>2024</v>
      </c>
      <c r="Q677">
        <f t="shared" si="62"/>
        <v>10</v>
      </c>
      <c r="R677" t="str">
        <f t="shared" si="63"/>
        <v>October</v>
      </c>
      <c r="S677" t="str">
        <f t="shared" si="64"/>
        <v>Low</v>
      </c>
      <c r="T677" s="1">
        <f t="shared" si="65"/>
        <v>0.17051011602262919</v>
      </c>
      <c r="U677">
        <f>SUM($I$2:I677)</f>
        <v>2336165.4899999974</v>
      </c>
      <c r="V677" s="1">
        <f>Table1[[#This Row],[Running total ]]/SUM(I:I)</f>
        <v>0.6741295009031214</v>
      </c>
    </row>
    <row r="678" spans="1:22" x14ac:dyDescent="0.3">
      <c r="A678" t="s">
        <v>1396</v>
      </c>
      <c r="B678" t="s">
        <v>1397</v>
      </c>
      <c r="C678" t="s">
        <v>228</v>
      </c>
      <c r="D678" t="s">
        <v>17</v>
      </c>
      <c r="E678" t="s">
        <v>54</v>
      </c>
      <c r="F678" t="s">
        <v>19</v>
      </c>
      <c r="G678" t="s">
        <v>20</v>
      </c>
      <c r="H678" t="s">
        <v>347</v>
      </c>
      <c r="I678">
        <v>7827.82</v>
      </c>
      <c r="J678">
        <v>7</v>
      </c>
      <c r="K678" s="1">
        <v>0.1</v>
      </c>
      <c r="L678">
        <v>2285.9899999999998</v>
      </c>
      <c r="M678" t="s">
        <v>195</v>
      </c>
      <c r="N678" t="s">
        <v>32</v>
      </c>
      <c r="O678" t="str">
        <f t="shared" si="60"/>
        <v>14/11/2025</v>
      </c>
      <c r="P678">
        <f t="shared" si="61"/>
        <v>2025</v>
      </c>
      <c r="Q678">
        <f t="shared" si="62"/>
        <v>11</v>
      </c>
      <c r="R678" t="str">
        <f t="shared" si="63"/>
        <v>November</v>
      </c>
      <c r="S678" t="str">
        <f t="shared" si="64"/>
        <v>Low</v>
      </c>
      <c r="T678" s="1">
        <f t="shared" si="65"/>
        <v>0.29203405290361811</v>
      </c>
      <c r="U678">
        <f>SUM($I$2:I678)</f>
        <v>2343993.3099999973</v>
      </c>
      <c r="V678" s="1">
        <f>Table1[[#This Row],[Running total ]]/SUM(I:I)</f>
        <v>0.67638831536311905</v>
      </c>
    </row>
    <row r="679" spans="1:22" x14ac:dyDescent="0.3">
      <c r="A679" t="s">
        <v>1398</v>
      </c>
      <c r="B679" t="s">
        <v>1100</v>
      </c>
      <c r="C679" t="s">
        <v>1018</v>
      </c>
      <c r="D679" t="s">
        <v>137</v>
      </c>
      <c r="E679" t="s">
        <v>138</v>
      </c>
      <c r="F679" t="s">
        <v>67</v>
      </c>
      <c r="G679" t="s">
        <v>115</v>
      </c>
      <c r="H679" t="s">
        <v>116</v>
      </c>
      <c r="I679">
        <v>484.96</v>
      </c>
      <c r="J679">
        <v>8</v>
      </c>
      <c r="K679" s="1">
        <v>0.05</v>
      </c>
      <c r="L679">
        <v>141.27000000000001</v>
      </c>
      <c r="M679" t="s">
        <v>107</v>
      </c>
      <c r="N679" t="s">
        <v>32</v>
      </c>
      <c r="O679" t="str">
        <f t="shared" si="60"/>
        <v>14/12/2024</v>
      </c>
      <c r="P679">
        <f t="shared" si="61"/>
        <v>2024</v>
      </c>
      <c r="Q679">
        <f t="shared" si="62"/>
        <v>12</v>
      </c>
      <c r="R679" t="str">
        <f t="shared" si="63"/>
        <v>December</v>
      </c>
      <c r="S679" t="str">
        <f t="shared" si="64"/>
        <v>High</v>
      </c>
      <c r="T679" s="1">
        <f t="shared" si="65"/>
        <v>0.29130237545364568</v>
      </c>
      <c r="U679">
        <f>SUM($I$2:I679)</f>
        <v>2344478.2699999972</v>
      </c>
      <c r="V679" s="1">
        <f>Table1[[#This Row],[Running total ]]/SUM(I:I)</f>
        <v>0.67652825658053595</v>
      </c>
    </row>
    <row r="680" spans="1:22" x14ac:dyDescent="0.3">
      <c r="A680" t="s">
        <v>1399</v>
      </c>
      <c r="B680" t="s">
        <v>603</v>
      </c>
      <c r="C680" t="s">
        <v>128</v>
      </c>
      <c r="D680" t="s">
        <v>48</v>
      </c>
      <c r="E680" t="s">
        <v>49</v>
      </c>
      <c r="F680" t="s">
        <v>19</v>
      </c>
      <c r="G680" t="s">
        <v>20</v>
      </c>
      <c r="H680" t="s">
        <v>239</v>
      </c>
      <c r="I680">
        <v>1727.74</v>
      </c>
      <c r="J680">
        <v>7</v>
      </c>
      <c r="K680" s="1">
        <v>0.3</v>
      </c>
      <c r="L680">
        <v>-145.66999999999999</v>
      </c>
      <c r="M680" t="s">
        <v>44</v>
      </c>
      <c r="N680" t="s">
        <v>23</v>
      </c>
      <c r="O680" t="str">
        <f t="shared" si="60"/>
        <v>02/01/2025</v>
      </c>
      <c r="P680">
        <f t="shared" si="61"/>
        <v>2025</v>
      </c>
      <c r="Q680">
        <f t="shared" si="62"/>
        <v>1</v>
      </c>
      <c r="R680" t="str">
        <f t="shared" si="63"/>
        <v>January</v>
      </c>
      <c r="S680" t="str">
        <f t="shared" si="64"/>
        <v>Low</v>
      </c>
      <c r="T680" s="1">
        <f t="shared" si="65"/>
        <v>-8.4312454420225252E-2</v>
      </c>
      <c r="U680">
        <f>SUM($I$2:I680)</f>
        <v>2346206.0099999974</v>
      </c>
      <c r="V680" s="1">
        <f>Table1[[#This Row],[Running total ]]/SUM(I:I)</f>
        <v>0.67702681736695114</v>
      </c>
    </row>
    <row r="681" spans="1:22" x14ac:dyDescent="0.3">
      <c r="A681" t="s">
        <v>1400</v>
      </c>
      <c r="B681" t="s">
        <v>1401</v>
      </c>
      <c r="C681" t="s">
        <v>106</v>
      </c>
      <c r="D681" t="s">
        <v>48</v>
      </c>
      <c r="E681" t="s">
        <v>110</v>
      </c>
      <c r="F681" t="s">
        <v>19</v>
      </c>
      <c r="G681" t="s">
        <v>20</v>
      </c>
      <c r="H681" t="s">
        <v>239</v>
      </c>
      <c r="I681">
        <v>945.06</v>
      </c>
      <c r="J681">
        <v>3</v>
      </c>
      <c r="K681" s="1">
        <v>0.1</v>
      </c>
      <c r="L681">
        <v>244.53</v>
      </c>
      <c r="M681" t="s">
        <v>195</v>
      </c>
      <c r="N681" t="s">
        <v>23</v>
      </c>
      <c r="O681" t="str">
        <f t="shared" si="60"/>
        <v>22/07/2025</v>
      </c>
      <c r="P681">
        <f t="shared" si="61"/>
        <v>2025</v>
      </c>
      <c r="Q681">
        <f t="shared" si="62"/>
        <v>7</v>
      </c>
      <c r="R681" t="str">
        <f t="shared" si="63"/>
        <v>July</v>
      </c>
      <c r="S681" t="str">
        <f t="shared" si="64"/>
        <v>Low</v>
      </c>
      <c r="T681" s="1">
        <f t="shared" si="65"/>
        <v>0.25874547647768398</v>
      </c>
      <c r="U681">
        <f>SUM($I$2:I681)</f>
        <v>2347151.0699999975</v>
      </c>
      <c r="V681" s="1">
        <f>Table1[[#This Row],[Running total ]]/SUM(I:I)</f>
        <v>0.67729952614073052</v>
      </c>
    </row>
    <row r="682" spans="1:22" x14ac:dyDescent="0.3">
      <c r="A682" t="s">
        <v>1402</v>
      </c>
      <c r="B682" t="s">
        <v>78</v>
      </c>
      <c r="C682" t="s">
        <v>235</v>
      </c>
      <c r="D682" t="s">
        <v>27</v>
      </c>
      <c r="E682" t="s">
        <v>43</v>
      </c>
      <c r="F682" t="s">
        <v>67</v>
      </c>
      <c r="G682" t="s">
        <v>68</v>
      </c>
      <c r="H682" t="s">
        <v>382</v>
      </c>
      <c r="I682">
        <v>73.06</v>
      </c>
      <c r="J682">
        <v>1</v>
      </c>
      <c r="K682" s="1">
        <v>0.25</v>
      </c>
      <c r="L682">
        <v>-6.85</v>
      </c>
      <c r="M682" t="s">
        <v>44</v>
      </c>
      <c r="N682" t="s">
        <v>23</v>
      </c>
      <c r="O682" t="str">
        <f t="shared" si="60"/>
        <v>11/07/2024</v>
      </c>
      <c r="P682">
        <f t="shared" si="61"/>
        <v>2024</v>
      </c>
      <c r="Q682">
        <f t="shared" si="62"/>
        <v>7</v>
      </c>
      <c r="R682" t="str">
        <f t="shared" si="63"/>
        <v>July</v>
      </c>
      <c r="S682" t="str">
        <f t="shared" si="64"/>
        <v>Low</v>
      </c>
      <c r="T682" s="1">
        <f t="shared" si="65"/>
        <v>-9.3758554612647135E-2</v>
      </c>
      <c r="U682">
        <f>SUM($I$2:I682)</f>
        <v>2347224.1299999976</v>
      </c>
      <c r="V682" s="1">
        <f>Table1[[#This Row],[Running total ]]/SUM(I:I)</f>
        <v>0.67732060850905884</v>
      </c>
    </row>
    <row r="683" spans="1:22" x14ac:dyDescent="0.3">
      <c r="A683" t="s">
        <v>1403</v>
      </c>
      <c r="B683" t="s">
        <v>1404</v>
      </c>
      <c r="C683" t="s">
        <v>183</v>
      </c>
      <c r="D683" t="s">
        <v>137</v>
      </c>
      <c r="E683" t="s">
        <v>160</v>
      </c>
      <c r="F683" t="s">
        <v>67</v>
      </c>
      <c r="G683" t="s">
        <v>68</v>
      </c>
      <c r="H683" t="s">
        <v>382</v>
      </c>
      <c r="I683">
        <v>3179.6</v>
      </c>
      <c r="J683">
        <v>10</v>
      </c>
      <c r="K683" s="1">
        <v>0.1</v>
      </c>
      <c r="L683">
        <v>975.33</v>
      </c>
      <c r="M683" t="s">
        <v>107</v>
      </c>
      <c r="N683" t="s">
        <v>32</v>
      </c>
      <c r="O683" t="str">
        <f t="shared" si="60"/>
        <v>19/04/2024</v>
      </c>
      <c r="P683">
        <f t="shared" si="61"/>
        <v>2024</v>
      </c>
      <c r="Q683">
        <f t="shared" si="62"/>
        <v>4</v>
      </c>
      <c r="R683" t="str">
        <f t="shared" si="63"/>
        <v>April</v>
      </c>
      <c r="S683" t="str">
        <f t="shared" si="64"/>
        <v>Low</v>
      </c>
      <c r="T683" s="1">
        <f t="shared" si="65"/>
        <v>0.30674613158887915</v>
      </c>
      <c r="U683">
        <f>SUM($I$2:I683)</f>
        <v>2350403.7299999977</v>
      </c>
      <c r="V683" s="1">
        <f>Table1[[#This Row],[Running total ]]/SUM(I:I)</f>
        <v>0.67823812148930218</v>
      </c>
    </row>
    <row r="684" spans="1:22" x14ac:dyDescent="0.3">
      <c r="A684" t="s">
        <v>1405</v>
      </c>
      <c r="B684" t="s">
        <v>954</v>
      </c>
      <c r="C684" t="s">
        <v>1343</v>
      </c>
      <c r="D684" t="s">
        <v>27</v>
      </c>
      <c r="E684" t="s">
        <v>28</v>
      </c>
      <c r="F684" t="s">
        <v>67</v>
      </c>
      <c r="G684" t="s">
        <v>115</v>
      </c>
      <c r="H684" t="s">
        <v>178</v>
      </c>
      <c r="I684">
        <v>4296.42</v>
      </c>
      <c r="J684">
        <v>6</v>
      </c>
      <c r="K684" s="1">
        <v>0</v>
      </c>
      <c r="L684">
        <v>1399.12</v>
      </c>
      <c r="M684" t="s">
        <v>195</v>
      </c>
      <c r="N684" t="s">
        <v>76</v>
      </c>
      <c r="O684" t="str">
        <f t="shared" si="60"/>
        <v>25/06/2025</v>
      </c>
      <c r="P684">
        <f t="shared" si="61"/>
        <v>2025</v>
      </c>
      <c r="Q684">
        <f t="shared" si="62"/>
        <v>6</v>
      </c>
      <c r="R684" t="str">
        <f t="shared" si="63"/>
        <v>June</v>
      </c>
      <c r="S684" t="str">
        <f t="shared" si="64"/>
        <v>No Discount</v>
      </c>
      <c r="T684" s="1">
        <f t="shared" si="65"/>
        <v>0.32564786496664661</v>
      </c>
      <c r="U684">
        <f>SUM($I$2:I684)</f>
        <v>2354700.1499999976</v>
      </c>
      <c r="V684" s="1">
        <f>Table1[[#This Row],[Running total ]]/SUM(I:I)</f>
        <v>0.67947790671970132</v>
      </c>
    </row>
    <row r="685" spans="1:22" x14ac:dyDescent="0.3">
      <c r="A685" t="s">
        <v>1406</v>
      </c>
      <c r="B685" t="s">
        <v>1407</v>
      </c>
      <c r="C685" t="s">
        <v>378</v>
      </c>
      <c r="D685" t="s">
        <v>48</v>
      </c>
      <c r="E685" t="s">
        <v>84</v>
      </c>
      <c r="F685" t="s">
        <v>67</v>
      </c>
      <c r="G685" t="s">
        <v>68</v>
      </c>
      <c r="H685" t="s">
        <v>103</v>
      </c>
      <c r="I685">
        <v>7545.2</v>
      </c>
      <c r="J685">
        <v>10</v>
      </c>
      <c r="K685" s="1">
        <v>0.15</v>
      </c>
      <c r="L685">
        <v>2032.84</v>
      </c>
      <c r="M685" t="s">
        <v>44</v>
      </c>
      <c r="N685" t="s">
        <v>23</v>
      </c>
      <c r="O685" t="str">
        <f t="shared" si="60"/>
        <v>28/04/2024</v>
      </c>
      <c r="P685">
        <f t="shared" si="61"/>
        <v>2024</v>
      </c>
      <c r="Q685">
        <f t="shared" si="62"/>
        <v>4</v>
      </c>
      <c r="R685" t="str">
        <f t="shared" si="63"/>
        <v>April</v>
      </c>
      <c r="S685" t="str">
        <f t="shared" si="64"/>
        <v>Low</v>
      </c>
      <c r="T685" s="1">
        <f t="shared" si="65"/>
        <v>0.26942161904257012</v>
      </c>
      <c r="U685">
        <f>SUM($I$2:I685)</f>
        <v>2362245.3499999978</v>
      </c>
      <c r="V685" s="1">
        <f>Table1[[#This Row],[Running total ]]/SUM(I:I)</f>
        <v>0.68165516767659284</v>
      </c>
    </row>
    <row r="686" spans="1:22" x14ac:dyDescent="0.3">
      <c r="A686" t="s">
        <v>1408</v>
      </c>
      <c r="B686" t="s">
        <v>1409</v>
      </c>
      <c r="C686" t="s">
        <v>1343</v>
      </c>
      <c r="D686" t="s">
        <v>27</v>
      </c>
      <c r="E686" t="s">
        <v>28</v>
      </c>
      <c r="F686" t="s">
        <v>55</v>
      </c>
      <c r="G686" t="s">
        <v>74</v>
      </c>
      <c r="H686" t="s">
        <v>133</v>
      </c>
      <c r="I686">
        <v>3580.89</v>
      </c>
      <c r="J686">
        <v>3</v>
      </c>
      <c r="K686" s="1">
        <v>0.3</v>
      </c>
      <c r="L686">
        <v>-117.62</v>
      </c>
      <c r="M686" t="s">
        <v>117</v>
      </c>
      <c r="N686" t="s">
        <v>39</v>
      </c>
      <c r="O686" t="str">
        <f t="shared" si="60"/>
        <v>27/11/2024</v>
      </c>
      <c r="P686">
        <f t="shared" si="61"/>
        <v>2024</v>
      </c>
      <c r="Q686">
        <f t="shared" si="62"/>
        <v>11</v>
      </c>
      <c r="R686" t="str">
        <f t="shared" si="63"/>
        <v>November</v>
      </c>
      <c r="S686" t="str">
        <f t="shared" si="64"/>
        <v>Low</v>
      </c>
      <c r="T686" s="1">
        <f t="shared" si="65"/>
        <v>-3.2846582832759458E-2</v>
      </c>
      <c r="U686">
        <f>SUM($I$2:I686)</f>
        <v>2365826.2399999979</v>
      </c>
      <c r="V686" s="1">
        <f>Table1[[#This Row],[Running total ]]/SUM(I:I)</f>
        <v>0.68268847785895026</v>
      </c>
    </row>
    <row r="687" spans="1:22" x14ac:dyDescent="0.3">
      <c r="A687" t="s">
        <v>1410</v>
      </c>
      <c r="B687" t="s">
        <v>578</v>
      </c>
      <c r="C687" t="s">
        <v>249</v>
      </c>
      <c r="D687" t="s">
        <v>137</v>
      </c>
      <c r="E687" t="s">
        <v>142</v>
      </c>
      <c r="F687" t="s">
        <v>55</v>
      </c>
      <c r="G687" t="s">
        <v>98</v>
      </c>
      <c r="H687" t="s">
        <v>154</v>
      </c>
      <c r="I687">
        <v>3022.95</v>
      </c>
      <c r="J687">
        <v>7</v>
      </c>
      <c r="K687" s="1">
        <v>0.05</v>
      </c>
      <c r="L687">
        <v>398.99</v>
      </c>
      <c r="M687" t="s">
        <v>87</v>
      </c>
      <c r="N687" t="s">
        <v>76</v>
      </c>
      <c r="O687" t="str">
        <f t="shared" si="60"/>
        <v>25/02/2025</v>
      </c>
      <c r="P687">
        <f t="shared" si="61"/>
        <v>2025</v>
      </c>
      <c r="Q687">
        <f t="shared" si="62"/>
        <v>2</v>
      </c>
      <c r="R687" t="str">
        <f t="shared" si="63"/>
        <v>February</v>
      </c>
      <c r="S687" t="str">
        <f t="shared" si="64"/>
        <v>High</v>
      </c>
      <c r="T687" s="1">
        <f t="shared" si="65"/>
        <v>0.13198696637390631</v>
      </c>
      <c r="U687">
        <f>SUM($I$2:I687)</f>
        <v>2368849.1899999981</v>
      </c>
      <c r="V687" s="1">
        <f>Table1[[#This Row],[Running total ]]/SUM(I:I)</f>
        <v>0.68356078754055383</v>
      </c>
    </row>
    <row r="688" spans="1:22" x14ac:dyDescent="0.3">
      <c r="A688" t="s">
        <v>1411</v>
      </c>
      <c r="B688" t="s">
        <v>598</v>
      </c>
      <c r="C688" t="s">
        <v>186</v>
      </c>
      <c r="D688" t="s">
        <v>27</v>
      </c>
      <c r="E688" t="s">
        <v>124</v>
      </c>
      <c r="F688" t="s">
        <v>55</v>
      </c>
      <c r="G688" t="s">
        <v>98</v>
      </c>
      <c r="H688" t="s">
        <v>99</v>
      </c>
      <c r="I688">
        <v>1983.78</v>
      </c>
      <c r="J688">
        <v>6</v>
      </c>
      <c r="K688" s="1">
        <v>0.2</v>
      </c>
      <c r="L688">
        <v>348.25</v>
      </c>
      <c r="M688" t="s">
        <v>63</v>
      </c>
      <c r="N688" t="s">
        <v>76</v>
      </c>
      <c r="O688" t="str">
        <f t="shared" si="60"/>
        <v>05/09/2025</v>
      </c>
      <c r="P688">
        <f t="shared" si="61"/>
        <v>2025</v>
      </c>
      <c r="Q688">
        <f t="shared" si="62"/>
        <v>9</v>
      </c>
      <c r="R688" t="str">
        <f t="shared" si="63"/>
        <v>September</v>
      </c>
      <c r="S688" t="str">
        <f t="shared" si="64"/>
        <v>Low</v>
      </c>
      <c r="T688" s="1">
        <f t="shared" si="65"/>
        <v>0.17554869995664843</v>
      </c>
      <c r="U688">
        <f>SUM($I$2:I688)</f>
        <v>2370832.9699999979</v>
      </c>
      <c r="V688" s="1">
        <f>Table1[[#This Row],[Running total ]]/SUM(I:I)</f>
        <v>0.68413323184170716</v>
      </c>
    </row>
    <row r="689" spans="1:22" x14ac:dyDescent="0.3">
      <c r="A689" t="s">
        <v>1412</v>
      </c>
      <c r="B689" t="s">
        <v>1413</v>
      </c>
      <c r="C689" t="s">
        <v>324</v>
      </c>
      <c r="D689" t="s">
        <v>137</v>
      </c>
      <c r="E689" t="s">
        <v>160</v>
      </c>
      <c r="F689" t="s">
        <v>67</v>
      </c>
      <c r="G689" t="s">
        <v>85</v>
      </c>
      <c r="H689" t="s">
        <v>86</v>
      </c>
      <c r="I689">
        <v>1589.28</v>
      </c>
      <c r="J689">
        <v>7</v>
      </c>
      <c r="K689" s="1">
        <v>0</v>
      </c>
      <c r="L689">
        <v>698.36</v>
      </c>
      <c r="M689" t="s">
        <v>195</v>
      </c>
      <c r="N689" t="s">
        <v>32</v>
      </c>
      <c r="O689" t="str">
        <f t="shared" si="60"/>
        <v>16/10/2025</v>
      </c>
      <c r="P689">
        <f t="shared" si="61"/>
        <v>2025</v>
      </c>
      <c r="Q689">
        <f t="shared" si="62"/>
        <v>10</v>
      </c>
      <c r="R689" t="str">
        <f t="shared" si="63"/>
        <v>October</v>
      </c>
      <c r="S689" t="str">
        <f t="shared" si="64"/>
        <v>No Discount</v>
      </c>
      <c r="T689" s="1">
        <f t="shared" si="65"/>
        <v>0.43941910802375922</v>
      </c>
      <c r="U689">
        <f>SUM($I$2:I689)</f>
        <v>2372422.2499999977</v>
      </c>
      <c r="V689" s="1">
        <f>Table1[[#This Row],[Running total ]]/SUM(I:I)</f>
        <v>0.68459183827938519</v>
      </c>
    </row>
    <row r="690" spans="1:22" x14ac:dyDescent="0.3">
      <c r="A690" t="s">
        <v>1414</v>
      </c>
      <c r="B690" t="s">
        <v>417</v>
      </c>
      <c r="C690" t="s">
        <v>1343</v>
      </c>
      <c r="D690" t="s">
        <v>27</v>
      </c>
      <c r="E690" t="s">
        <v>43</v>
      </c>
      <c r="F690" t="s">
        <v>19</v>
      </c>
      <c r="G690" t="s">
        <v>20</v>
      </c>
      <c r="H690" t="s">
        <v>21</v>
      </c>
      <c r="I690">
        <v>4210.38</v>
      </c>
      <c r="J690">
        <v>9</v>
      </c>
      <c r="K690" s="1">
        <v>0</v>
      </c>
      <c r="L690">
        <v>604.94000000000005</v>
      </c>
      <c r="M690" t="s">
        <v>38</v>
      </c>
      <c r="N690" t="s">
        <v>76</v>
      </c>
      <c r="O690" t="str">
        <f t="shared" si="60"/>
        <v>01/03/2024</v>
      </c>
      <c r="P690">
        <f t="shared" si="61"/>
        <v>2024</v>
      </c>
      <c r="Q690">
        <f t="shared" si="62"/>
        <v>3</v>
      </c>
      <c r="R690" t="str">
        <f t="shared" si="63"/>
        <v>March</v>
      </c>
      <c r="S690" t="str">
        <f t="shared" si="64"/>
        <v>No Discount</v>
      </c>
      <c r="T690" s="1">
        <f t="shared" si="65"/>
        <v>0.14367824281893796</v>
      </c>
      <c r="U690">
        <f>SUM($I$2:I690)</f>
        <v>2376632.6299999976</v>
      </c>
      <c r="V690" s="1">
        <f>Table1[[#This Row],[Running total ]]/SUM(I:I)</f>
        <v>0.68580679560161339</v>
      </c>
    </row>
    <row r="691" spans="1:22" x14ac:dyDescent="0.3">
      <c r="A691" t="s">
        <v>1415</v>
      </c>
      <c r="B691" t="s">
        <v>1416</v>
      </c>
      <c r="C691" t="s">
        <v>637</v>
      </c>
      <c r="D691" t="s">
        <v>17</v>
      </c>
      <c r="E691" t="s">
        <v>80</v>
      </c>
      <c r="F691" t="s">
        <v>55</v>
      </c>
      <c r="G691" t="s">
        <v>74</v>
      </c>
      <c r="H691" t="s">
        <v>272</v>
      </c>
      <c r="I691">
        <v>1697.4</v>
      </c>
      <c r="J691">
        <v>5</v>
      </c>
      <c r="K691" s="1">
        <v>0</v>
      </c>
      <c r="L691">
        <v>170.22</v>
      </c>
      <c r="M691" t="s">
        <v>22</v>
      </c>
      <c r="N691" t="s">
        <v>32</v>
      </c>
      <c r="O691" t="str">
        <f t="shared" si="60"/>
        <v>17/10/2024</v>
      </c>
      <c r="P691">
        <f t="shared" si="61"/>
        <v>2024</v>
      </c>
      <c r="Q691">
        <f t="shared" si="62"/>
        <v>10</v>
      </c>
      <c r="R691" t="str">
        <f t="shared" si="63"/>
        <v>October</v>
      </c>
      <c r="S691" t="str">
        <f t="shared" si="64"/>
        <v>No Discount</v>
      </c>
      <c r="T691" s="1">
        <f t="shared" si="65"/>
        <v>0.10028278543655002</v>
      </c>
      <c r="U691">
        <f>SUM($I$2:I691)</f>
        <v>2378330.0299999975</v>
      </c>
      <c r="V691" s="1">
        <f>Table1[[#This Row],[Running total ]]/SUM(I:I)</f>
        <v>0.68629660140506821</v>
      </c>
    </row>
    <row r="692" spans="1:22" x14ac:dyDescent="0.3">
      <c r="A692" t="s">
        <v>1417</v>
      </c>
      <c r="B692" t="s">
        <v>95</v>
      </c>
      <c r="C692" t="s">
        <v>271</v>
      </c>
      <c r="D692" t="s">
        <v>137</v>
      </c>
      <c r="E692" t="s">
        <v>160</v>
      </c>
      <c r="F692" t="s">
        <v>19</v>
      </c>
      <c r="G692" t="s">
        <v>20</v>
      </c>
      <c r="H692" t="s">
        <v>21</v>
      </c>
      <c r="I692">
        <v>8394.0499999999993</v>
      </c>
      <c r="J692">
        <v>7</v>
      </c>
      <c r="K692" s="1">
        <v>0.3</v>
      </c>
      <c r="L692">
        <v>-65.37</v>
      </c>
      <c r="M692" t="s">
        <v>38</v>
      </c>
      <c r="N692" t="s">
        <v>32</v>
      </c>
      <c r="O692" t="str">
        <f t="shared" si="60"/>
        <v>23/03/2025</v>
      </c>
      <c r="P692">
        <f t="shared" si="61"/>
        <v>2025</v>
      </c>
      <c r="Q692">
        <f t="shared" si="62"/>
        <v>3</v>
      </c>
      <c r="R692" t="str">
        <f t="shared" si="63"/>
        <v>March</v>
      </c>
      <c r="S692" t="str">
        <f t="shared" si="64"/>
        <v>Low</v>
      </c>
      <c r="T692" s="1">
        <f t="shared" si="65"/>
        <v>-7.7876591156831338E-3</v>
      </c>
      <c r="U692">
        <f>SUM($I$2:I692)</f>
        <v>2386724.0799999973</v>
      </c>
      <c r="V692" s="1">
        <f>Table1[[#This Row],[Running total ]]/SUM(I:I)</f>
        <v>0.68871880854804579</v>
      </c>
    </row>
    <row r="693" spans="1:22" x14ac:dyDescent="0.3">
      <c r="A693" t="s">
        <v>1418</v>
      </c>
      <c r="B693" t="s">
        <v>1066</v>
      </c>
      <c r="C693" t="s">
        <v>535</v>
      </c>
      <c r="D693" t="s">
        <v>137</v>
      </c>
      <c r="E693" t="s">
        <v>138</v>
      </c>
      <c r="F693" t="s">
        <v>67</v>
      </c>
      <c r="G693" t="s">
        <v>68</v>
      </c>
      <c r="H693" t="s">
        <v>69</v>
      </c>
      <c r="I693">
        <v>4253.92</v>
      </c>
      <c r="J693">
        <v>4</v>
      </c>
      <c r="K693" s="1">
        <v>0.1</v>
      </c>
      <c r="L693">
        <v>152.75</v>
      </c>
      <c r="M693" t="s">
        <v>87</v>
      </c>
      <c r="N693" t="s">
        <v>76</v>
      </c>
      <c r="O693" t="str">
        <f t="shared" si="60"/>
        <v>17/03/2025</v>
      </c>
      <c r="P693">
        <f t="shared" si="61"/>
        <v>2025</v>
      </c>
      <c r="Q693">
        <f t="shared" si="62"/>
        <v>3</v>
      </c>
      <c r="R693" t="str">
        <f t="shared" si="63"/>
        <v>March</v>
      </c>
      <c r="S693" t="str">
        <f t="shared" si="64"/>
        <v>Low</v>
      </c>
      <c r="T693" s="1">
        <f t="shared" si="65"/>
        <v>3.590805656899989E-2</v>
      </c>
      <c r="U693">
        <f>SUM($I$2:I693)</f>
        <v>2390977.9999999972</v>
      </c>
      <c r="V693" s="1">
        <f>Table1[[#This Row],[Running total ]]/SUM(I:I)</f>
        <v>0.68994632987680315</v>
      </c>
    </row>
    <row r="694" spans="1:22" x14ac:dyDescent="0.3">
      <c r="A694" t="s">
        <v>1419</v>
      </c>
      <c r="B694" t="s">
        <v>658</v>
      </c>
      <c r="C694" t="s">
        <v>1106</v>
      </c>
      <c r="D694" t="s">
        <v>27</v>
      </c>
      <c r="E694" t="s">
        <v>28</v>
      </c>
      <c r="F694" t="s">
        <v>67</v>
      </c>
      <c r="G694" t="s">
        <v>115</v>
      </c>
      <c r="H694" t="s">
        <v>212</v>
      </c>
      <c r="I694">
        <v>1199.71</v>
      </c>
      <c r="J694">
        <v>1</v>
      </c>
      <c r="K694" s="1">
        <v>0</v>
      </c>
      <c r="L694">
        <v>304.26</v>
      </c>
      <c r="M694" t="s">
        <v>143</v>
      </c>
      <c r="N694" t="s">
        <v>23</v>
      </c>
      <c r="O694" t="str">
        <f t="shared" si="60"/>
        <v>17/08/2024</v>
      </c>
      <c r="P694">
        <f t="shared" si="61"/>
        <v>2024</v>
      </c>
      <c r="Q694">
        <f t="shared" si="62"/>
        <v>8</v>
      </c>
      <c r="R694" t="str">
        <f t="shared" si="63"/>
        <v>August</v>
      </c>
      <c r="S694" t="str">
        <f t="shared" si="64"/>
        <v>No Discount</v>
      </c>
      <c r="T694" s="1">
        <f t="shared" si="65"/>
        <v>0.2536112893949371</v>
      </c>
      <c r="U694">
        <f>SUM($I$2:I694)</f>
        <v>2392177.7099999972</v>
      </c>
      <c r="V694" s="1">
        <f>Table1[[#This Row],[Running total ]]/SUM(I:I)</f>
        <v>0.69029252106359629</v>
      </c>
    </row>
    <row r="695" spans="1:22" x14ac:dyDescent="0.3">
      <c r="A695" t="s">
        <v>1420</v>
      </c>
      <c r="B695" t="s">
        <v>315</v>
      </c>
      <c r="C695" t="s">
        <v>450</v>
      </c>
      <c r="D695" t="s">
        <v>27</v>
      </c>
      <c r="E695" t="s">
        <v>28</v>
      </c>
      <c r="F695" t="s">
        <v>19</v>
      </c>
      <c r="G695" t="s">
        <v>36</v>
      </c>
      <c r="H695" t="s">
        <v>222</v>
      </c>
      <c r="I695">
        <v>1341.54</v>
      </c>
      <c r="J695">
        <v>2</v>
      </c>
      <c r="K695" s="1">
        <v>0.2</v>
      </c>
      <c r="L695">
        <v>-163.34</v>
      </c>
      <c r="M695" t="s">
        <v>22</v>
      </c>
      <c r="N695" t="s">
        <v>76</v>
      </c>
      <c r="O695" t="str">
        <f t="shared" si="60"/>
        <v>16/09/2024</v>
      </c>
      <c r="P695">
        <f t="shared" si="61"/>
        <v>2024</v>
      </c>
      <c r="Q695">
        <f t="shared" si="62"/>
        <v>9</v>
      </c>
      <c r="R695" t="str">
        <f t="shared" si="63"/>
        <v>September</v>
      </c>
      <c r="S695" t="str">
        <f t="shared" si="64"/>
        <v>Low</v>
      </c>
      <c r="T695" s="1">
        <f t="shared" si="65"/>
        <v>-0.12175559431697899</v>
      </c>
      <c r="U695">
        <f>SUM($I$2:I695)</f>
        <v>2393519.2499999972</v>
      </c>
      <c r="V695" s="1">
        <f>Table1[[#This Row],[Running total ]]/SUM(I:I)</f>
        <v>0.69067963905438623</v>
      </c>
    </row>
    <row r="696" spans="1:22" x14ac:dyDescent="0.3">
      <c r="A696" t="s">
        <v>1421</v>
      </c>
      <c r="B696" t="s">
        <v>420</v>
      </c>
      <c r="C696" t="s">
        <v>530</v>
      </c>
      <c r="D696" t="s">
        <v>48</v>
      </c>
      <c r="E696" t="s">
        <v>84</v>
      </c>
      <c r="F696" t="s">
        <v>67</v>
      </c>
      <c r="G696" t="s">
        <v>68</v>
      </c>
      <c r="H696" t="s">
        <v>103</v>
      </c>
      <c r="I696">
        <v>3846.44</v>
      </c>
      <c r="J696">
        <v>4</v>
      </c>
      <c r="K696" s="1">
        <v>0</v>
      </c>
      <c r="L696">
        <v>201.11</v>
      </c>
      <c r="M696" t="s">
        <v>44</v>
      </c>
      <c r="N696" t="s">
        <v>32</v>
      </c>
      <c r="O696" t="str">
        <f t="shared" si="60"/>
        <v>26/07/2024</v>
      </c>
      <c r="P696">
        <f t="shared" si="61"/>
        <v>2024</v>
      </c>
      <c r="Q696">
        <f t="shared" si="62"/>
        <v>7</v>
      </c>
      <c r="R696" t="str">
        <f t="shared" si="63"/>
        <v>July</v>
      </c>
      <c r="S696" t="str">
        <f t="shared" si="64"/>
        <v>No Discount</v>
      </c>
      <c r="T696" s="1">
        <f t="shared" si="65"/>
        <v>5.2284710017574697E-2</v>
      </c>
      <c r="U696">
        <f>SUM($I$2:I696)</f>
        <v>2397365.6899999972</v>
      </c>
      <c r="V696" s="1">
        <f>Table1[[#This Row],[Running total ]]/SUM(I:I)</f>
        <v>0.69178957697982568</v>
      </c>
    </row>
    <row r="697" spans="1:22" x14ac:dyDescent="0.3">
      <c r="A697" t="s">
        <v>1422</v>
      </c>
      <c r="B697" t="s">
        <v>1423</v>
      </c>
      <c r="C697" t="s">
        <v>256</v>
      </c>
      <c r="D697" t="s">
        <v>48</v>
      </c>
      <c r="E697" t="s">
        <v>49</v>
      </c>
      <c r="F697" t="s">
        <v>55</v>
      </c>
      <c r="G697" t="s">
        <v>98</v>
      </c>
      <c r="H697" t="s">
        <v>150</v>
      </c>
      <c r="I697">
        <v>7954.8</v>
      </c>
      <c r="J697">
        <v>10</v>
      </c>
      <c r="K697" s="1">
        <v>0.3</v>
      </c>
      <c r="L697">
        <v>-1702.69</v>
      </c>
      <c r="M697" t="s">
        <v>63</v>
      </c>
      <c r="N697" t="s">
        <v>32</v>
      </c>
      <c r="O697" t="str">
        <f t="shared" si="60"/>
        <v>29/09/2025</v>
      </c>
      <c r="P697">
        <f t="shared" si="61"/>
        <v>2025</v>
      </c>
      <c r="Q697">
        <f t="shared" si="62"/>
        <v>9</v>
      </c>
      <c r="R697" t="str">
        <f t="shared" si="63"/>
        <v>September</v>
      </c>
      <c r="S697" t="str">
        <f t="shared" si="64"/>
        <v>Low</v>
      </c>
      <c r="T697" s="1">
        <f t="shared" si="65"/>
        <v>-0.21404560768341127</v>
      </c>
      <c r="U697">
        <f>SUM($I$2:I697)</f>
        <v>2405320.489999997</v>
      </c>
      <c r="V697" s="1">
        <f>Table1[[#This Row],[Running total ]]/SUM(I:I)</f>
        <v>0.69408503309230518</v>
      </c>
    </row>
    <row r="698" spans="1:22" x14ac:dyDescent="0.3">
      <c r="A698" t="s">
        <v>1424</v>
      </c>
      <c r="B698" t="s">
        <v>1425</v>
      </c>
      <c r="C698" t="s">
        <v>271</v>
      </c>
      <c r="D698" t="s">
        <v>27</v>
      </c>
      <c r="E698" t="s">
        <v>28</v>
      </c>
      <c r="F698" t="s">
        <v>19</v>
      </c>
      <c r="G698" t="s">
        <v>29</v>
      </c>
      <c r="H698" t="s">
        <v>50</v>
      </c>
      <c r="I698">
        <v>11554.6</v>
      </c>
      <c r="J698">
        <v>10</v>
      </c>
      <c r="K698" s="1">
        <v>0.25</v>
      </c>
      <c r="L698">
        <v>1124.8499999999999</v>
      </c>
      <c r="M698" t="s">
        <v>22</v>
      </c>
      <c r="N698" t="s">
        <v>39</v>
      </c>
      <c r="O698" t="str">
        <f t="shared" si="60"/>
        <v>13/07/2024</v>
      </c>
      <c r="P698">
        <f t="shared" si="61"/>
        <v>2024</v>
      </c>
      <c r="Q698">
        <f t="shared" si="62"/>
        <v>7</v>
      </c>
      <c r="R698" t="str">
        <f t="shared" si="63"/>
        <v>July</v>
      </c>
      <c r="S698" t="str">
        <f t="shared" si="64"/>
        <v>Low</v>
      </c>
      <c r="T698" s="1">
        <f t="shared" si="65"/>
        <v>9.7350838627040304E-2</v>
      </c>
      <c r="U698">
        <f>SUM($I$2:I698)</f>
        <v>2416875.0899999971</v>
      </c>
      <c r="V698" s="1">
        <f>Table1[[#This Row],[Running total ]]/SUM(I:I)</f>
        <v>0.69741925610196664</v>
      </c>
    </row>
    <row r="699" spans="1:22" x14ac:dyDescent="0.3">
      <c r="A699" t="s">
        <v>1426</v>
      </c>
      <c r="B699" t="s">
        <v>1427</v>
      </c>
      <c r="C699" t="s">
        <v>1056</v>
      </c>
      <c r="D699" t="s">
        <v>27</v>
      </c>
      <c r="E699" t="s">
        <v>43</v>
      </c>
      <c r="F699" t="s">
        <v>19</v>
      </c>
      <c r="G699" t="s">
        <v>29</v>
      </c>
      <c r="H699" t="s">
        <v>50</v>
      </c>
      <c r="I699">
        <v>418.38</v>
      </c>
      <c r="J699">
        <v>3</v>
      </c>
      <c r="K699" s="1">
        <v>0.1</v>
      </c>
      <c r="L699">
        <v>-20.74</v>
      </c>
      <c r="M699" t="s">
        <v>195</v>
      </c>
      <c r="N699" t="s">
        <v>23</v>
      </c>
      <c r="O699" t="str">
        <f t="shared" si="60"/>
        <v>19/06/2024</v>
      </c>
      <c r="P699">
        <f t="shared" si="61"/>
        <v>2024</v>
      </c>
      <c r="Q699">
        <f t="shared" si="62"/>
        <v>6</v>
      </c>
      <c r="R699" t="str">
        <f t="shared" si="63"/>
        <v>June</v>
      </c>
      <c r="S699" t="str">
        <f t="shared" si="64"/>
        <v>Low</v>
      </c>
      <c r="T699" s="1">
        <f t="shared" si="65"/>
        <v>-4.9572159281036372E-2</v>
      </c>
      <c r="U699">
        <f>SUM($I$2:I699)</f>
        <v>2417293.4699999969</v>
      </c>
      <c r="V699" s="1">
        <f>Table1[[#This Row],[Running total ]]/SUM(I:I)</f>
        <v>0.69753998483535273</v>
      </c>
    </row>
    <row r="700" spans="1:22" x14ac:dyDescent="0.3">
      <c r="A700" t="s">
        <v>1428</v>
      </c>
      <c r="B700" t="s">
        <v>1429</v>
      </c>
      <c r="C700" t="s">
        <v>96</v>
      </c>
      <c r="D700" t="s">
        <v>137</v>
      </c>
      <c r="E700" t="s">
        <v>242</v>
      </c>
      <c r="F700" t="s">
        <v>19</v>
      </c>
      <c r="G700" t="s">
        <v>29</v>
      </c>
      <c r="H700" t="s">
        <v>30</v>
      </c>
      <c r="I700">
        <v>2846.73</v>
      </c>
      <c r="J700">
        <v>3</v>
      </c>
      <c r="K700" s="1">
        <v>0.25</v>
      </c>
      <c r="L700">
        <v>-165.2</v>
      </c>
      <c r="M700" t="s">
        <v>87</v>
      </c>
      <c r="N700" t="s">
        <v>23</v>
      </c>
      <c r="O700" t="str">
        <f t="shared" si="60"/>
        <v>29/08/2025</v>
      </c>
      <c r="P700">
        <f t="shared" si="61"/>
        <v>2025</v>
      </c>
      <c r="Q700">
        <f t="shared" si="62"/>
        <v>8</v>
      </c>
      <c r="R700" t="str">
        <f t="shared" si="63"/>
        <v>August</v>
      </c>
      <c r="S700" t="str">
        <f t="shared" si="64"/>
        <v>Low</v>
      </c>
      <c r="T700" s="1">
        <f t="shared" si="65"/>
        <v>-5.8031495786393508E-2</v>
      </c>
      <c r="U700">
        <f>SUM($I$2:I700)</f>
        <v>2420140.1999999969</v>
      </c>
      <c r="V700" s="1">
        <f>Table1[[#This Row],[Running total ]]/SUM(I:I)</f>
        <v>0.69836144405231337</v>
      </c>
    </row>
    <row r="701" spans="1:22" x14ac:dyDescent="0.3">
      <c r="A701" t="s">
        <v>1430</v>
      </c>
      <c r="B701" t="s">
        <v>1431</v>
      </c>
      <c r="C701" t="s">
        <v>1205</v>
      </c>
      <c r="D701" t="s">
        <v>17</v>
      </c>
      <c r="E701" t="s">
        <v>80</v>
      </c>
      <c r="F701" t="s">
        <v>19</v>
      </c>
      <c r="G701" t="s">
        <v>29</v>
      </c>
      <c r="H701" t="s">
        <v>199</v>
      </c>
      <c r="I701">
        <v>371.29</v>
      </c>
      <c r="J701">
        <v>1</v>
      </c>
      <c r="K701" s="1">
        <v>0.05</v>
      </c>
      <c r="L701">
        <v>147.77000000000001</v>
      </c>
      <c r="M701" t="s">
        <v>143</v>
      </c>
      <c r="N701" t="s">
        <v>23</v>
      </c>
      <c r="O701" t="str">
        <f t="shared" si="60"/>
        <v>01/08/2025</v>
      </c>
      <c r="P701">
        <f t="shared" si="61"/>
        <v>2025</v>
      </c>
      <c r="Q701">
        <f t="shared" si="62"/>
        <v>8</v>
      </c>
      <c r="R701" t="str">
        <f t="shared" si="63"/>
        <v>August</v>
      </c>
      <c r="S701" t="str">
        <f t="shared" si="64"/>
        <v>High</v>
      </c>
      <c r="T701" s="1">
        <f t="shared" si="65"/>
        <v>0.39799078887123274</v>
      </c>
      <c r="U701">
        <f>SUM($I$2:I701)</f>
        <v>2420511.489999997</v>
      </c>
      <c r="V701" s="1">
        <f>Table1[[#This Row],[Running total ]]/SUM(I:I)</f>
        <v>0.69846858438268022</v>
      </c>
    </row>
    <row r="702" spans="1:22" x14ac:dyDescent="0.3">
      <c r="A702" t="s">
        <v>1432</v>
      </c>
      <c r="B702" t="s">
        <v>1312</v>
      </c>
      <c r="C702" t="s">
        <v>1433</v>
      </c>
      <c r="D702" t="s">
        <v>17</v>
      </c>
      <c r="E702" t="s">
        <v>54</v>
      </c>
      <c r="F702" t="s">
        <v>55</v>
      </c>
      <c r="G702" t="s">
        <v>56</v>
      </c>
      <c r="H702" t="s">
        <v>129</v>
      </c>
      <c r="I702">
        <v>5668.98</v>
      </c>
      <c r="J702">
        <v>6</v>
      </c>
      <c r="K702" s="1">
        <v>0.1</v>
      </c>
      <c r="L702">
        <v>1208.2</v>
      </c>
      <c r="M702" t="s">
        <v>38</v>
      </c>
      <c r="N702" t="s">
        <v>23</v>
      </c>
      <c r="O702" t="str">
        <f t="shared" si="60"/>
        <v>20/07/2025</v>
      </c>
      <c r="P702">
        <f t="shared" si="61"/>
        <v>2025</v>
      </c>
      <c r="Q702">
        <f t="shared" si="62"/>
        <v>7</v>
      </c>
      <c r="R702" t="str">
        <f t="shared" si="63"/>
        <v>July</v>
      </c>
      <c r="S702" t="str">
        <f t="shared" si="64"/>
        <v>Low</v>
      </c>
      <c r="T702" s="1">
        <f t="shared" si="65"/>
        <v>0.21312475965694008</v>
      </c>
      <c r="U702">
        <f>SUM($I$2:I702)</f>
        <v>2426180.4699999969</v>
      </c>
      <c r="V702" s="1">
        <f>Table1[[#This Row],[Running total ]]/SUM(I:I)</f>
        <v>0.70010443880925588</v>
      </c>
    </row>
    <row r="703" spans="1:22" x14ac:dyDescent="0.3">
      <c r="A703" t="s">
        <v>1434</v>
      </c>
      <c r="B703" t="s">
        <v>1435</v>
      </c>
      <c r="C703" t="s">
        <v>205</v>
      </c>
      <c r="D703" t="s">
        <v>137</v>
      </c>
      <c r="E703" t="s">
        <v>142</v>
      </c>
      <c r="F703" t="s">
        <v>55</v>
      </c>
      <c r="G703" t="s">
        <v>56</v>
      </c>
      <c r="H703" t="s">
        <v>62</v>
      </c>
      <c r="I703">
        <v>4712.24</v>
      </c>
      <c r="J703">
        <v>4</v>
      </c>
      <c r="K703" s="1">
        <v>0.25</v>
      </c>
      <c r="L703">
        <v>719.58</v>
      </c>
      <c r="M703" t="s">
        <v>107</v>
      </c>
      <c r="N703" t="s">
        <v>39</v>
      </c>
      <c r="O703" t="str">
        <f t="shared" si="60"/>
        <v>10/11/2024</v>
      </c>
      <c r="P703">
        <f t="shared" si="61"/>
        <v>2024</v>
      </c>
      <c r="Q703">
        <f t="shared" si="62"/>
        <v>11</v>
      </c>
      <c r="R703" t="str">
        <f t="shared" si="63"/>
        <v>November</v>
      </c>
      <c r="S703" t="str">
        <f t="shared" si="64"/>
        <v>Low</v>
      </c>
      <c r="T703" s="1">
        <f t="shared" si="65"/>
        <v>0.1527044462930581</v>
      </c>
      <c r="U703">
        <f>SUM($I$2:I703)</f>
        <v>2430892.7099999972</v>
      </c>
      <c r="V703" s="1">
        <f>Table1[[#This Row],[Running total ]]/SUM(I:I)</f>
        <v>0.70146421405331871</v>
      </c>
    </row>
    <row r="704" spans="1:22" x14ac:dyDescent="0.3">
      <c r="A704" t="s">
        <v>1436</v>
      </c>
      <c r="B704" t="s">
        <v>998</v>
      </c>
      <c r="C704" t="s">
        <v>166</v>
      </c>
      <c r="D704" t="s">
        <v>17</v>
      </c>
      <c r="E704" t="s">
        <v>80</v>
      </c>
      <c r="F704" t="s">
        <v>55</v>
      </c>
      <c r="G704" t="s">
        <v>56</v>
      </c>
      <c r="H704" t="s">
        <v>129</v>
      </c>
      <c r="I704">
        <v>1923.1</v>
      </c>
      <c r="J704">
        <v>10</v>
      </c>
      <c r="K704" s="1">
        <v>0.15</v>
      </c>
      <c r="L704">
        <v>-172.91</v>
      </c>
      <c r="M704" t="s">
        <v>22</v>
      </c>
      <c r="N704" t="s">
        <v>32</v>
      </c>
      <c r="O704" t="str">
        <f t="shared" si="60"/>
        <v>03/08/2025</v>
      </c>
      <c r="P704">
        <f t="shared" si="61"/>
        <v>2025</v>
      </c>
      <c r="Q704">
        <f t="shared" si="62"/>
        <v>8</v>
      </c>
      <c r="R704" t="str">
        <f t="shared" si="63"/>
        <v>August</v>
      </c>
      <c r="S704" t="str">
        <f t="shared" si="64"/>
        <v>Low</v>
      </c>
      <c r="T704" s="1">
        <f t="shared" si="65"/>
        <v>-8.991212105454735E-2</v>
      </c>
      <c r="U704">
        <f>SUM($I$2:I704)</f>
        <v>2432815.8099999973</v>
      </c>
      <c r="V704" s="1">
        <f>Table1[[#This Row],[Running total ]]/SUM(I:I)</f>
        <v>0.70201914838855151</v>
      </c>
    </row>
    <row r="705" spans="1:22" x14ac:dyDescent="0.3">
      <c r="A705" t="s">
        <v>1437</v>
      </c>
      <c r="B705" t="s">
        <v>510</v>
      </c>
      <c r="C705" t="s">
        <v>367</v>
      </c>
      <c r="D705" t="s">
        <v>17</v>
      </c>
      <c r="E705" t="s">
        <v>54</v>
      </c>
      <c r="F705" t="s">
        <v>19</v>
      </c>
      <c r="G705" t="s">
        <v>36</v>
      </c>
      <c r="H705" t="s">
        <v>222</v>
      </c>
      <c r="I705">
        <v>265.52</v>
      </c>
      <c r="J705">
        <v>8</v>
      </c>
      <c r="K705" s="1">
        <v>0.25</v>
      </c>
      <c r="L705">
        <v>48.09</v>
      </c>
      <c r="M705" t="s">
        <v>31</v>
      </c>
      <c r="N705" t="s">
        <v>32</v>
      </c>
      <c r="O705" t="str">
        <f t="shared" si="60"/>
        <v>22/06/2025</v>
      </c>
      <c r="P705">
        <f t="shared" si="61"/>
        <v>2025</v>
      </c>
      <c r="Q705">
        <f t="shared" si="62"/>
        <v>6</v>
      </c>
      <c r="R705" t="str">
        <f t="shared" si="63"/>
        <v>June</v>
      </c>
      <c r="S705" t="str">
        <f t="shared" si="64"/>
        <v>Low</v>
      </c>
      <c r="T705" s="1">
        <f t="shared" si="65"/>
        <v>0.1811163000903887</v>
      </c>
      <c r="U705">
        <f>SUM($I$2:I705)</f>
        <v>2433081.3299999973</v>
      </c>
      <c r="V705" s="1">
        <f>Table1[[#This Row],[Running total ]]/SUM(I:I)</f>
        <v>0.70209576747476177</v>
      </c>
    </row>
    <row r="706" spans="1:22" x14ac:dyDescent="0.3">
      <c r="A706" t="s">
        <v>1438</v>
      </c>
      <c r="B706" t="s">
        <v>1066</v>
      </c>
      <c r="C706" t="s">
        <v>1439</v>
      </c>
      <c r="D706" t="s">
        <v>17</v>
      </c>
      <c r="E706" t="s">
        <v>18</v>
      </c>
      <c r="F706" t="s">
        <v>67</v>
      </c>
      <c r="G706" t="s">
        <v>85</v>
      </c>
      <c r="H706" t="s">
        <v>253</v>
      </c>
      <c r="I706">
        <v>806.16</v>
      </c>
      <c r="J706">
        <v>8</v>
      </c>
      <c r="K706" s="1">
        <v>0.3</v>
      </c>
      <c r="L706">
        <v>58.72</v>
      </c>
      <c r="M706" t="s">
        <v>63</v>
      </c>
      <c r="N706" t="s">
        <v>23</v>
      </c>
      <c r="O706" t="str">
        <f t="shared" si="60"/>
        <v>17/03/2025</v>
      </c>
      <c r="P706">
        <f t="shared" si="61"/>
        <v>2025</v>
      </c>
      <c r="Q706">
        <f t="shared" si="62"/>
        <v>3</v>
      </c>
      <c r="R706" t="str">
        <f t="shared" si="63"/>
        <v>March</v>
      </c>
      <c r="S706" t="str">
        <f t="shared" si="64"/>
        <v>Low</v>
      </c>
      <c r="T706" s="1">
        <f t="shared" si="65"/>
        <v>7.2839138632529526E-2</v>
      </c>
      <c r="U706">
        <f>SUM($I$2:I706)</f>
        <v>2433887.4899999974</v>
      </c>
      <c r="V706" s="1">
        <f>Table1[[#This Row],[Running total ]]/SUM(I:I)</f>
        <v>0.70232839493235177</v>
      </c>
    </row>
    <row r="707" spans="1:22" x14ac:dyDescent="0.3">
      <c r="A707" t="s">
        <v>1440</v>
      </c>
      <c r="B707" t="s">
        <v>1441</v>
      </c>
      <c r="C707" t="s">
        <v>346</v>
      </c>
      <c r="D707" t="s">
        <v>17</v>
      </c>
      <c r="E707" t="s">
        <v>18</v>
      </c>
      <c r="F707" t="s">
        <v>67</v>
      </c>
      <c r="G707" t="s">
        <v>68</v>
      </c>
      <c r="H707" t="s">
        <v>103</v>
      </c>
      <c r="I707">
        <v>2829.36</v>
      </c>
      <c r="J707">
        <v>3</v>
      </c>
      <c r="K707" s="1">
        <v>0.1</v>
      </c>
      <c r="L707">
        <v>10.56</v>
      </c>
      <c r="M707" t="s">
        <v>31</v>
      </c>
      <c r="N707" t="s">
        <v>39</v>
      </c>
      <c r="O707" t="str">
        <f t="shared" ref="O707:O770" si="66">TEXT(B707,"dd/mm/yyyy")</f>
        <v>13/06/2024</v>
      </c>
      <c r="P707">
        <f t="shared" ref="P707:P770" si="67">YEAR(O707)</f>
        <v>2024</v>
      </c>
      <c r="Q707">
        <f t="shared" ref="Q707:Q770" si="68">MONTH(O707)</f>
        <v>6</v>
      </c>
      <c r="R707" t="str">
        <f t="shared" ref="R707:R770" si="69">TEXT(O707,"mmmm")</f>
        <v>June</v>
      </c>
      <c r="S707" t="str">
        <f t="shared" ref="S707:S770" si="70">IF(K707=0,"No Discount",IF(K707&gt;=0.1,"Low",IF(K707&gt;=0.2,"Medium","High")))</f>
        <v>Low</v>
      </c>
      <c r="T707" s="1">
        <f t="shared" ref="T707:T770" si="71">SUM(L707)/SUM(I707)</f>
        <v>3.7322928153363305E-3</v>
      </c>
      <c r="U707">
        <f>SUM($I$2:I707)</f>
        <v>2436716.8499999973</v>
      </c>
      <c r="V707" s="1">
        <f>Table1[[#This Row],[Running total ]]/SUM(I:I)</f>
        <v>0.7031448418205708</v>
      </c>
    </row>
    <row r="708" spans="1:22" x14ac:dyDescent="0.3">
      <c r="A708" t="s">
        <v>1442</v>
      </c>
      <c r="B708" t="s">
        <v>1443</v>
      </c>
      <c r="C708" t="s">
        <v>851</v>
      </c>
      <c r="D708" t="s">
        <v>27</v>
      </c>
      <c r="E708" t="s">
        <v>28</v>
      </c>
      <c r="F708" t="s">
        <v>67</v>
      </c>
      <c r="G708" t="s">
        <v>68</v>
      </c>
      <c r="H708" t="s">
        <v>103</v>
      </c>
      <c r="I708">
        <v>5390.2</v>
      </c>
      <c r="J708">
        <v>10</v>
      </c>
      <c r="K708" s="1">
        <v>0</v>
      </c>
      <c r="L708">
        <v>2320.46</v>
      </c>
      <c r="M708" t="s">
        <v>31</v>
      </c>
      <c r="N708" t="s">
        <v>39</v>
      </c>
      <c r="O708" t="str">
        <f t="shared" si="66"/>
        <v>11/07/2025</v>
      </c>
      <c r="P708">
        <f t="shared" si="67"/>
        <v>2025</v>
      </c>
      <c r="Q708">
        <f t="shared" si="68"/>
        <v>7</v>
      </c>
      <c r="R708" t="str">
        <f t="shared" si="69"/>
        <v>July</v>
      </c>
      <c r="S708" t="str">
        <f t="shared" si="70"/>
        <v>No Discount</v>
      </c>
      <c r="T708" s="1">
        <f t="shared" si="71"/>
        <v>0.43049608548847912</v>
      </c>
      <c r="U708">
        <f>SUM($I$2:I708)</f>
        <v>2442107.0499999975</v>
      </c>
      <c r="V708" s="1">
        <f>Table1[[#This Row],[Running total ]]/SUM(I:I)</f>
        <v>0.70470025082362397</v>
      </c>
    </row>
    <row r="709" spans="1:22" x14ac:dyDescent="0.3">
      <c r="A709" t="s">
        <v>1444</v>
      </c>
      <c r="B709" t="s">
        <v>384</v>
      </c>
      <c r="C709" t="s">
        <v>1354</v>
      </c>
      <c r="D709" t="s">
        <v>137</v>
      </c>
      <c r="E709" t="s">
        <v>160</v>
      </c>
      <c r="F709" t="s">
        <v>55</v>
      </c>
      <c r="G709" t="s">
        <v>74</v>
      </c>
      <c r="H709" t="s">
        <v>272</v>
      </c>
      <c r="I709">
        <v>6185.6</v>
      </c>
      <c r="J709">
        <v>10</v>
      </c>
      <c r="K709" s="1">
        <v>0.15</v>
      </c>
      <c r="L709">
        <v>737.97</v>
      </c>
      <c r="M709" t="s">
        <v>195</v>
      </c>
      <c r="N709" t="s">
        <v>32</v>
      </c>
      <c r="O709" t="str">
        <f t="shared" si="66"/>
        <v>02/06/2025</v>
      </c>
      <c r="P709">
        <f t="shared" si="67"/>
        <v>2025</v>
      </c>
      <c r="Q709">
        <f t="shared" si="68"/>
        <v>6</v>
      </c>
      <c r="R709" t="str">
        <f t="shared" si="69"/>
        <v>June</v>
      </c>
      <c r="S709" t="str">
        <f t="shared" si="70"/>
        <v>Low</v>
      </c>
      <c r="T709" s="1">
        <f t="shared" si="71"/>
        <v>0.11930451370926022</v>
      </c>
      <c r="U709">
        <f>SUM($I$2:I709)</f>
        <v>2448292.6499999976</v>
      </c>
      <c r="V709" s="1">
        <f>Table1[[#This Row],[Running total ]]/SUM(I:I)</f>
        <v>0.70648518235293367</v>
      </c>
    </row>
    <row r="710" spans="1:22" x14ac:dyDescent="0.3">
      <c r="A710" t="s">
        <v>1445</v>
      </c>
      <c r="B710" t="s">
        <v>1446</v>
      </c>
      <c r="C710" t="s">
        <v>198</v>
      </c>
      <c r="D710" t="s">
        <v>17</v>
      </c>
      <c r="E710" t="s">
        <v>97</v>
      </c>
      <c r="F710" t="s">
        <v>19</v>
      </c>
      <c r="G710" t="s">
        <v>36</v>
      </c>
      <c r="H710" t="s">
        <v>37</v>
      </c>
      <c r="I710">
        <v>6694.4</v>
      </c>
      <c r="J710">
        <v>10</v>
      </c>
      <c r="K710" s="1">
        <v>0.15</v>
      </c>
      <c r="L710">
        <v>181.68</v>
      </c>
      <c r="M710" t="s">
        <v>117</v>
      </c>
      <c r="N710" t="s">
        <v>39</v>
      </c>
      <c r="O710" t="str">
        <f t="shared" si="66"/>
        <v>31/10/2024</v>
      </c>
      <c r="P710">
        <f t="shared" si="67"/>
        <v>2024</v>
      </c>
      <c r="Q710">
        <f t="shared" si="68"/>
        <v>10</v>
      </c>
      <c r="R710" t="str">
        <f t="shared" si="69"/>
        <v>October</v>
      </c>
      <c r="S710" t="str">
        <f t="shared" si="70"/>
        <v>Low</v>
      </c>
      <c r="T710" s="1">
        <f t="shared" si="71"/>
        <v>2.7139101338432125E-2</v>
      </c>
      <c r="U710">
        <f>SUM($I$2:I710)</f>
        <v>2454987.0499999975</v>
      </c>
      <c r="V710" s="1">
        <f>Table1[[#This Row],[Running total ]]/SUM(I:I)</f>
        <v>0.70841693442707543</v>
      </c>
    </row>
    <row r="711" spans="1:22" x14ac:dyDescent="0.3">
      <c r="A711" t="s">
        <v>1447</v>
      </c>
      <c r="B711" t="s">
        <v>1448</v>
      </c>
      <c r="C711" t="s">
        <v>370</v>
      </c>
      <c r="D711" t="s">
        <v>137</v>
      </c>
      <c r="E711" t="s">
        <v>242</v>
      </c>
      <c r="F711" t="s">
        <v>55</v>
      </c>
      <c r="G711" t="s">
        <v>98</v>
      </c>
      <c r="H711" t="s">
        <v>154</v>
      </c>
      <c r="I711">
        <v>6610.95</v>
      </c>
      <c r="J711">
        <v>9</v>
      </c>
      <c r="K711" s="1">
        <v>0.3</v>
      </c>
      <c r="L711">
        <v>204.13</v>
      </c>
      <c r="M711" t="s">
        <v>117</v>
      </c>
      <c r="N711" t="s">
        <v>23</v>
      </c>
      <c r="O711" t="str">
        <f t="shared" si="66"/>
        <v>24/08/2025</v>
      </c>
      <c r="P711">
        <f t="shared" si="67"/>
        <v>2025</v>
      </c>
      <c r="Q711">
        <f t="shared" si="68"/>
        <v>8</v>
      </c>
      <c r="R711" t="str">
        <f t="shared" si="69"/>
        <v>August</v>
      </c>
      <c r="S711" t="str">
        <f t="shared" si="70"/>
        <v>Low</v>
      </c>
      <c r="T711" s="1">
        <f t="shared" si="71"/>
        <v>3.0877559201022545E-2</v>
      </c>
      <c r="U711">
        <f>SUM($I$2:I711)</f>
        <v>2461597.9999999977</v>
      </c>
      <c r="V711" s="1">
        <f>Table1[[#This Row],[Running total ]]/SUM(I:I)</f>
        <v>0.71032460596964053</v>
      </c>
    </row>
    <row r="712" spans="1:22" x14ac:dyDescent="0.3">
      <c r="A712" t="s">
        <v>1449</v>
      </c>
      <c r="B712" t="s">
        <v>1450</v>
      </c>
      <c r="C712" t="s">
        <v>1195</v>
      </c>
      <c r="D712" t="s">
        <v>48</v>
      </c>
      <c r="E712" t="s">
        <v>84</v>
      </c>
      <c r="F712" t="s">
        <v>67</v>
      </c>
      <c r="G712" t="s">
        <v>68</v>
      </c>
      <c r="H712" t="s">
        <v>382</v>
      </c>
      <c r="I712">
        <v>2907.75</v>
      </c>
      <c r="J712">
        <v>3</v>
      </c>
      <c r="K712" s="1">
        <v>0.2</v>
      </c>
      <c r="L712">
        <v>-4.4400000000000004</v>
      </c>
      <c r="M712" t="s">
        <v>38</v>
      </c>
      <c r="N712" t="s">
        <v>23</v>
      </c>
      <c r="O712" t="str">
        <f t="shared" si="66"/>
        <v>25/12/2025</v>
      </c>
      <c r="P712">
        <f t="shared" si="67"/>
        <v>2025</v>
      </c>
      <c r="Q712">
        <f t="shared" si="68"/>
        <v>12</v>
      </c>
      <c r="R712" t="str">
        <f t="shared" si="69"/>
        <v>December</v>
      </c>
      <c r="S712" t="str">
        <f t="shared" si="70"/>
        <v>Low</v>
      </c>
      <c r="T712" s="1">
        <f t="shared" si="71"/>
        <v>-1.5269538302811454E-3</v>
      </c>
      <c r="U712">
        <f>SUM($I$2:I712)</f>
        <v>2464505.7499999977</v>
      </c>
      <c r="V712" s="1">
        <f>Table1[[#This Row],[Running total ]]/SUM(I:I)</f>
        <v>0.71116367326373497</v>
      </c>
    </row>
    <row r="713" spans="1:22" x14ac:dyDescent="0.3">
      <c r="A713" t="s">
        <v>1451</v>
      </c>
      <c r="B713" t="s">
        <v>1452</v>
      </c>
      <c r="C713" t="s">
        <v>646</v>
      </c>
      <c r="D713" t="s">
        <v>27</v>
      </c>
      <c r="E713" t="s">
        <v>43</v>
      </c>
      <c r="F713" t="s">
        <v>55</v>
      </c>
      <c r="G713" t="s">
        <v>98</v>
      </c>
      <c r="H713" t="s">
        <v>99</v>
      </c>
      <c r="I713">
        <v>1820.72</v>
      </c>
      <c r="J713">
        <v>2</v>
      </c>
      <c r="K713" s="1">
        <v>0</v>
      </c>
      <c r="L713">
        <v>523.9</v>
      </c>
      <c r="M713" t="s">
        <v>195</v>
      </c>
      <c r="N713" t="s">
        <v>76</v>
      </c>
      <c r="O713" t="str">
        <f t="shared" si="66"/>
        <v>28/01/2024</v>
      </c>
      <c r="P713">
        <f t="shared" si="67"/>
        <v>2024</v>
      </c>
      <c r="Q713">
        <f t="shared" si="68"/>
        <v>1</v>
      </c>
      <c r="R713" t="str">
        <f t="shared" si="69"/>
        <v>January</v>
      </c>
      <c r="S713" t="str">
        <f t="shared" si="70"/>
        <v>No Discount</v>
      </c>
      <c r="T713" s="1">
        <f t="shared" si="71"/>
        <v>0.28774331033876704</v>
      </c>
      <c r="U713">
        <f>SUM($I$2:I713)</f>
        <v>2466326.4699999979</v>
      </c>
      <c r="V713" s="1">
        <f>Table1[[#This Row],[Running total ]]/SUM(I:I)</f>
        <v>0.71168906458131853</v>
      </c>
    </row>
    <row r="714" spans="1:22" x14ac:dyDescent="0.3">
      <c r="A714" t="s">
        <v>1453</v>
      </c>
      <c r="B714" t="s">
        <v>1454</v>
      </c>
      <c r="C714" t="s">
        <v>96</v>
      </c>
      <c r="D714" t="s">
        <v>27</v>
      </c>
      <c r="E714" t="s">
        <v>61</v>
      </c>
      <c r="F714" t="s">
        <v>19</v>
      </c>
      <c r="G714" t="s">
        <v>36</v>
      </c>
      <c r="H714" t="s">
        <v>111</v>
      </c>
      <c r="I714">
        <v>9089.84</v>
      </c>
      <c r="J714">
        <v>8</v>
      </c>
      <c r="K714" s="1">
        <v>0.2</v>
      </c>
      <c r="L714">
        <v>1363.65</v>
      </c>
      <c r="M714" t="s">
        <v>38</v>
      </c>
      <c r="N714" t="s">
        <v>32</v>
      </c>
      <c r="O714" t="str">
        <f t="shared" si="66"/>
        <v>05/11/2025</v>
      </c>
      <c r="P714">
        <f t="shared" si="67"/>
        <v>2025</v>
      </c>
      <c r="Q714">
        <f t="shared" si="68"/>
        <v>11</v>
      </c>
      <c r="R714" t="str">
        <f t="shared" si="69"/>
        <v>November</v>
      </c>
      <c r="S714" t="str">
        <f t="shared" si="70"/>
        <v>Low</v>
      </c>
      <c r="T714" s="1">
        <f t="shared" si="71"/>
        <v>0.15001914225112875</v>
      </c>
      <c r="U714">
        <f>SUM($I$2:I714)</f>
        <v>2475416.3099999977</v>
      </c>
      <c r="V714" s="1">
        <f>Table1[[#This Row],[Running total ]]/SUM(I:I)</f>
        <v>0.71431205055072822</v>
      </c>
    </row>
    <row r="715" spans="1:22" x14ac:dyDescent="0.3">
      <c r="A715" t="s">
        <v>1455</v>
      </c>
      <c r="B715" t="s">
        <v>277</v>
      </c>
      <c r="C715" t="s">
        <v>256</v>
      </c>
      <c r="D715" t="s">
        <v>27</v>
      </c>
      <c r="E715" t="s">
        <v>61</v>
      </c>
      <c r="F715" t="s">
        <v>19</v>
      </c>
      <c r="G715" t="s">
        <v>20</v>
      </c>
      <c r="H715" t="s">
        <v>21</v>
      </c>
      <c r="I715">
        <v>385.5</v>
      </c>
      <c r="J715">
        <v>1</v>
      </c>
      <c r="K715" s="1">
        <v>0.3</v>
      </c>
      <c r="L715">
        <v>-70.930000000000007</v>
      </c>
      <c r="M715" t="s">
        <v>38</v>
      </c>
      <c r="N715" t="s">
        <v>32</v>
      </c>
      <c r="O715" t="str">
        <f t="shared" si="66"/>
        <v>30/12/2025</v>
      </c>
      <c r="P715">
        <f t="shared" si="67"/>
        <v>2025</v>
      </c>
      <c r="Q715">
        <f t="shared" si="68"/>
        <v>12</v>
      </c>
      <c r="R715" t="str">
        <f t="shared" si="69"/>
        <v>December</v>
      </c>
      <c r="S715" t="str">
        <f t="shared" si="70"/>
        <v>Low</v>
      </c>
      <c r="T715" s="1">
        <f t="shared" si="71"/>
        <v>-0.18399481193255515</v>
      </c>
      <c r="U715">
        <f>SUM($I$2:I715)</f>
        <v>2475801.8099999977</v>
      </c>
      <c r="V715" s="1">
        <f>Table1[[#This Row],[Running total ]]/SUM(I:I)</f>
        <v>0.71442329135267935</v>
      </c>
    </row>
    <row r="716" spans="1:22" x14ac:dyDescent="0.3">
      <c r="A716" t="s">
        <v>1456</v>
      </c>
      <c r="B716" t="s">
        <v>1457</v>
      </c>
      <c r="C716" t="s">
        <v>378</v>
      </c>
      <c r="D716" t="s">
        <v>27</v>
      </c>
      <c r="E716" t="s">
        <v>61</v>
      </c>
      <c r="F716" t="s">
        <v>55</v>
      </c>
      <c r="G716" t="s">
        <v>98</v>
      </c>
      <c r="H716" t="s">
        <v>154</v>
      </c>
      <c r="I716">
        <v>8647.92</v>
      </c>
      <c r="J716">
        <v>8</v>
      </c>
      <c r="K716" s="1">
        <v>0.15</v>
      </c>
      <c r="L716">
        <v>1212.05</v>
      </c>
      <c r="M716" t="s">
        <v>44</v>
      </c>
      <c r="N716" t="s">
        <v>76</v>
      </c>
      <c r="O716" t="str">
        <f t="shared" si="66"/>
        <v>23/01/2025</v>
      </c>
      <c r="P716">
        <f t="shared" si="67"/>
        <v>2025</v>
      </c>
      <c r="Q716">
        <f t="shared" si="68"/>
        <v>1</v>
      </c>
      <c r="R716" t="str">
        <f t="shared" si="69"/>
        <v>January</v>
      </c>
      <c r="S716" t="str">
        <f t="shared" si="70"/>
        <v>Low</v>
      </c>
      <c r="T716" s="1">
        <f t="shared" si="71"/>
        <v>0.14015508931627488</v>
      </c>
      <c r="U716">
        <f>SUM($I$2:I716)</f>
        <v>2484449.7299999977</v>
      </c>
      <c r="V716" s="1">
        <f>Table1[[#This Row],[Running total ]]/SUM(I:I)</f>
        <v>0.71691875583000542</v>
      </c>
    </row>
    <row r="717" spans="1:22" x14ac:dyDescent="0.3">
      <c r="A717" t="s">
        <v>1458</v>
      </c>
      <c r="B717" t="s">
        <v>1459</v>
      </c>
      <c r="C717" t="s">
        <v>684</v>
      </c>
      <c r="D717" t="s">
        <v>137</v>
      </c>
      <c r="E717" t="s">
        <v>142</v>
      </c>
      <c r="F717" t="s">
        <v>19</v>
      </c>
      <c r="G717" t="s">
        <v>29</v>
      </c>
      <c r="H717" t="s">
        <v>50</v>
      </c>
      <c r="I717">
        <v>3151.3</v>
      </c>
      <c r="J717">
        <v>10</v>
      </c>
      <c r="K717" s="1">
        <v>0.05</v>
      </c>
      <c r="L717">
        <v>1055.6400000000001</v>
      </c>
      <c r="M717" t="s">
        <v>22</v>
      </c>
      <c r="N717" t="s">
        <v>32</v>
      </c>
      <c r="O717" t="str">
        <f t="shared" si="66"/>
        <v>23/09/2024</v>
      </c>
      <c r="P717">
        <f t="shared" si="67"/>
        <v>2024</v>
      </c>
      <c r="Q717">
        <f t="shared" si="68"/>
        <v>9</v>
      </c>
      <c r="R717" t="str">
        <f t="shared" si="69"/>
        <v>September</v>
      </c>
      <c r="S717" t="str">
        <f t="shared" si="70"/>
        <v>High</v>
      </c>
      <c r="T717" s="1">
        <f t="shared" si="71"/>
        <v>0.3349855615142957</v>
      </c>
      <c r="U717">
        <f>SUM($I$2:I717)</f>
        <v>2487601.0299999975</v>
      </c>
      <c r="V717" s="1">
        <f>Table1[[#This Row],[Running total ]]/SUM(I:I)</f>
        <v>0.7178281024945673</v>
      </c>
    </row>
    <row r="718" spans="1:22" x14ac:dyDescent="0.3">
      <c r="A718" t="s">
        <v>1460</v>
      </c>
      <c r="B718" t="s">
        <v>1461</v>
      </c>
      <c r="C718" t="s">
        <v>141</v>
      </c>
      <c r="D718" t="s">
        <v>17</v>
      </c>
      <c r="E718" t="s">
        <v>80</v>
      </c>
      <c r="F718" t="s">
        <v>55</v>
      </c>
      <c r="G718" t="s">
        <v>56</v>
      </c>
      <c r="H718" t="s">
        <v>57</v>
      </c>
      <c r="I718">
        <v>4454.8</v>
      </c>
      <c r="J718">
        <v>5</v>
      </c>
      <c r="K718" s="1">
        <v>0.05</v>
      </c>
      <c r="L718">
        <v>1034.43</v>
      </c>
      <c r="M718" t="s">
        <v>143</v>
      </c>
      <c r="N718" t="s">
        <v>23</v>
      </c>
      <c r="O718" t="str">
        <f t="shared" si="66"/>
        <v>27/07/2024</v>
      </c>
      <c r="P718">
        <f t="shared" si="67"/>
        <v>2024</v>
      </c>
      <c r="Q718">
        <f t="shared" si="68"/>
        <v>7</v>
      </c>
      <c r="R718" t="str">
        <f t="shared" si="69"/>
        <v>July</v>
      </c>
      <c r="S718" t="str">
        <f t="shared" si="70"/>
        <v>High</v>
      </c>
      <c r="T718" s="1">
        <f t="shared" si="71"/>
        <v>0.2322057106940828</v>
      </c>
      <c r="U718">
        <f>SUM($I$2:I718)</f>
        <v>2492055.8299999973</v>
      </c>
      <c r="V718" s="1">
        <f>Table1[[#This Row],[Running total ]]/SUM(I:I)</f>
        <v>0.71911359023654353</v>
      </c>
    </row>
    <row r="719" spans="1:22" x14ac:dyDescent="0.3">
      <c r="A719" t="s">
        <v>1462</v>
      </c>
      <c r="B719" t="s">
        <v>976</v>
      </c>
      <c r="C719" t="s">
        <v>504</v>
      </c>
      <c r="D719" t="s">
        <v>17</v>
      </c>
      <c r="E719" t="s">
        <v>18</v>
      </c>
      <c r="F719" t="s">
        <v>67</v>
      </c>
      <c r="G719" t="s">
        <v>68</v>
      </c>
      <c r="H719" t="s">
        <v>382</v>
      </c>
      <c r="I719">
        <v>3082.4</v>
      </c>
      <c r="J719">
        <v>4</v>
      </c>
      <c r="K719" s="1">
        <v>0.1</v>
      </c>
      <c r="L719">
        <v>56.46</v>
      </c>
      <c r="M719" t="s">
        <v>195</v>
      </c>
      <c r="N719" t="s">
        <v>76</v>
      </c>
      <c r="O719" t="str">
        <f t="shared" si="66"/>
        <v>12/09/2024</v>
      </c>
      <c r="P719">
        <f t="shared" si="67"/>
        <v>2024</v>
      </c>
      <c r="Q719">
        <f t="shared" si="68"/>
        <v>9</v>
      </c>
      <c r="R719" t="str">
        <f t="shared" si="69"/>
        <v>September</v>
      </c>
      <c r="S719" t="str">
        <f t="shared" si="70"/>
        <v>Low</v>
      </c>
      <c r="T719" s="1">
        <f t="shared" si="71"/>
        <v>1.8316895925253051E-2</v>
      </c>
      <c r="U719">
        <f>SUM($I$2:I719)</f>
        <v>2495138.2299999972</v>
      </c>
      <c r="V719" s="1">
        <f>Table1[[#This Row],[Running total ]]/SUM(I:I)</f>
        <v>0.72000305495232608</v>
      </c>
    </row>
    <row r="720" spans="1:22" x14ac:dyDescent="0.3">
      <c r="A720" t="s">
        <v>1463</v>
      </c>
      <c r="B720" t="s">
        <v>1464</v>
      </c>
      <c r="C720" t="s">
        <v>375</v>
      </c>
      <c r="D720" t="s">
        <v>27</v>
      </c>
      <c r="E720" t="s">
        <v>124</v>
      </c>
      <c r="F720" t="s">
        <v>19</v>
      </c>
      <c r="G720" t="s">
        <v>29</v>
      </c>
      <c r="H720" t="s">
        <v>199</v>
      </c>
      <c r="I720">
        <v>11898.7</v>
      </c>
      <c r="J720">
        <v>10</v>
      </c>
      <c r="K720" s="1">
        <v>0.3</v>
      </c>
      <c r="L720">
        <v>-2521.1</v>
      </c>
      <c r="M720" t="s">
        <v>31</v>
      </c>
      <c r="N720" t="s">
        <v>32</v>
      </c>
      <c r="O720" t="str">
        <f t="shared" si="66"/>
        <v>26/10/2025</v>
      </c>
      <c r="P720">
        <f t="shared" si="67"/>
        <v>2025</v>
      </c>
      <c r="Q720">
        <f t="shared" si="68"/>
        <v>10</v>
      </c>
      <c r="R720" t="str">
        <f t="shared" si="69"/>
        <v>October</v>
      </c>
      <c r="S720" t="str">
        <f t="shared" si="70"/>
        <v>Low</v>
      </c>
      <c r="T720" s="1">
        <f t="shared" si="71"/>
        <v>-0.21188028944338455</v>
      </c>
      <c r="U720">
        <f>SUM($I$2:I720)</f>
        <v>2507036.9299999974</v>
      </c>
      <c r="V720" s="1">
        <f>Table1[[#This Row],[Running total ]]/SUM(I:I)</f>
        <v>0.72343657228092773</v>
      </c>
    </row>
    <row r="721" spans="1:22" x14ac:dyDescent="0.3">
      <c r="A721" t="s">
        <v>1465</v>
      </c>
      <c r="B721" t="s">
        <v>1466</v>
      </c>
      <c r="C721" t="s">
        <v>120</v>
      </c>
      <c r="D721" t="s">
        <v>27</v>
      </c>
      <c r="E721" t="s">
        <v>28</v>
      </c>
      <c r="F721" t="s">
        <v>67</v>
      </c>
      <c r="G721" t="s">
        <v>85</v>
      </c>
      <c r="H721" t="s">
        <v>125</v>
      </c>
      <c r="I721">
        <v>2202.12</v>
      </c>
      <c r="J721">
        <v>6</v>
      </c>
      <c r="K721" s="1">
        <v>0.15</v>
      </c>
      <c r="L721">
        <v>-213.47</v>
      </c>
      <c r="M721" t="s">
        <v>44</v>
      </c>
      <c r="N721" t="s">
        <v>76</v>
      </c>
      <c r="O721" t="str">
        <f t="shared" si="66"/>
        <v>20/08/2025</v>
      </c>
      <c r="P721">
        <f t="shared" si="67"/>
        <v>2025</v>
      </c>
      <c r="Q721">
        <f t="shared" si="68"/>
        <v>8</v>
      </c>
      <c r="R721" t="str">
        <f t="shared" si="69"/>
        <v>August</v>
      </c>
      <c r="S721" t="str">
        <f t="shared" si="70"/>
        <v>Low</v>
      </c>
      <c r="T721" s="1">
        <f t="shared" si="71"/>
        <v>-9.693840480991045E-2</v>
      </c>
      <c r="U721">
        <f>SUM($I$2:I721)</f>
        <v>2509239.0499999975</v>
      </c>
      <c r="V721" s="1">
        <f>Table1[[#This Row],[Running total ]]/SUM(I:I)</f>
        <v>0.72407202129465698</v>
      </c>
    </row>
    <row r="722" spans="1:22" x14ac:dyDescent="0.3">
      <c r="A722" t="s">
        <v>1467</v>
      </c>
      <c r="B722" t="s">
        <v>612</v>
      </c>
      <c r="C722" t="s">
        <v>640</v>
      </c>
      <c r="D722" t="s">
        <v>17</v>
      </c>
      <c r="E722" t="s">
        <v>80</v>
      </c>
      <c r="F722" t="s">
        <v>19</v>
      </c>
      <c r="G722" t="s">
        <v>36</v>
      </c>
      <c r="H722" t="s">
        <v>111</v>
      </c>
      <c r="I722">
        <v>2173.38</v>
      </c>
      <c r="J722">
        <v>2</v>
      </c>
      <c r="K722" s="1">
        <v>0.1</v>
      </c>
      <c r="L722">
        <v>85.27</v>
      </c>
      <c r="M722" t="s">
        <v>107</v>
      </c>
      <c r="N722" t="s">
        <v>39</v>
      </c>
      <c r="O722" t="str">
        <f t="shared" si="66"/>
        <v>11/11/2025</v>
      </c>
      <c r="P722">
        <f t="shared" si="67"/>
        <v>2025</v>
      </c>
      <c r="Q722">
        <f t="shared" si="68"/>
        <v>11</v>
      </c>
      <c r="R722" t="str">
        <f t="shared" si="69"/>
        <v>November</v>
      </c>
      <c r="S722" t="str">
        <f t="shared" si="70"/>
        <v>Low</v>
      </c>
      <c r="T722" s="1">
        <f t="shared" si="71"/>
        <v>3.923382013269653E-2</v>
      </c>
      <c r="U722">
        <f>SUM($I$2:I722)</f>
        <v>2511412.4299999974</v>
      </c>
      <c r="V722" s="1">
        <f>Table1[[#This Row],[Running total ]]/SUM(I:I)</f>
        <v>0.72469917702525244</v>
      </c>
    </row>
    <row r="723" spans="1:22" x14ac:dyDescent="0.3">
      <c r="A723" t="s">
        <v>1468</v>
      </c>
      <c r="B723" t="s">
        <v>512</v>
      </c>
      <c r="C723" t="s">
        <v>421</v>
      </c>
      <c r="D723" t="s">
        <v>137</v>
      </c>
      <c r="E723" t="s">
        <v>142</v>
      </c>
      <c r="F723" t="s">
        <v>55</v>
      </c>
      <c r="G723" t="s">
        <v>56</v>
      </c>
      <c r="H723" t="s">
        <v>57</v>
      </c>
      <c r="I723">
        <v>5668.16</v>
      </c>
      <c r="J723">
        <v>8</v>
      </c>
      <c r="K723" s="1">
        <v>0.05</v>
      </c>
      <c r="L723">
        <v>1708.82</v>
      </c>
      <c r="M723" t="s">
        <v>31</v>
      </c>
      <c r="N723" t="s">
        <v>23</v>
      </c>
      <c r="O723" t="str">
        <f t="shared" si="66"/>
        <v>02/01/2024</v>
      </c>
      <c r="P723">
        <f t="shared" si="67"/>
        <v>2024</v>
      </c>
      <c r="Q723">
        <f t="shared" si="68"/>
        <v>1</v>
      </c>
      <c r="R723" t="str">
        <f t="shared" si="69"/>
        <v>January</v>
      </c>
      <c r="S723" t="str">
        <f t="shared" si="70"/>
        <v>High</v>
      </c>
      <c r="T723" s="1">
        <f t="shared" si="71"/>
        <v>0.30147702252582848</v>
      </c>
      <c r="U723">
        <f>SUM($I$2:I723)</f>
        <v>2517080.5899999975</v>
      </c>
      <c r="V723" s="1">
        <f>Table1[[#This Row],[Running total ]]/SUM(I:I)</f>
        <v>0.72633479483066699</v>
      </c>
    </row>
    <row r="724" spans="1:22" x14ac:dyDescent="0.3">
      <c r="A724" t="s">
        <v>1469</v>
      </c>
      <c r="B724" t="s">
        <v>947</v>
      </c>
      <c r="C724" t="s">
        <v>666</v>
      </c>
      <c r="D724" t="s">
        <v>137</v>
      </c>
      <c r="E724" t="s">
        <v>160</v>
      </c>
      <c r="F724" t="s">
        <v>67</v>
      </c>
      <c r="G724" t="s">
        <v>85</v>
      </c>
      <c r="H724" t="s">
        <v>125</v>
      </c>
      <c r="I724">
        <v>10865.2</v>
      </c>
      <c r="J724">
        <v>10</v>
      </c>
      <c r="K724" s="1">
        <v>0.2</v>
      </c>
      <c r="L724">
        <v>2093.02</v>
      </c>
      <c r="M724" t="s">
        <v>31</v>
      </c>
      <c r="N724" t="s">
        <v>23</v>
      </c>
      <c r="O724" t="str">
        <f t="shared" si="66"/>
        <v>21/01/2025</v>
      </c>
      <c r="P724">
        <f t="shared" si="67"/>
        <v>2025</v>
      </c>
      <c r="Q724">
        <f t="shared" si="68"/>
        <v>1</v>
      </c>
      <c r="R724" t="str">
        <f t="shared" si="69"/>
        <v>January</v>
      </c>
      <c r="S724" t="str">
        <f t="shared" si="70"/>
        <v>Low</v>
      </c>
      <c r="T724" s="1">
        <f t="shared" si="71"/>
        <v>0.19263520229724257</v>
      </c>
      <c r="U724">
        <f>SUM($I$2:I724)</f>
        <v>2527945.7899999977</v>
      </c>
      <c r="V724" s="1">
        <f>Table1[[#This Row],[Running total ]]/SUM(I:I)</f>
        <v>0.72947008292757864</v>
      </c>
    </row>
    <row r="725" spans="1:22" x14ac:dyDescent="0.3">
      <c r="A725" t="s">
        <v>1470</v>
      </c>
      <c r="B725" t="s">
        <v>1471</v>
      </c>
      <c r="C725" t="s">
        <v>123</v>
      </c>
      <c r="D725" t="s">
        <v>17</v>
      </c>
      <c r="E725" t="s">
        <v>54</v>
      </c>
      <c r="F725" t="s">
        <v>67</v>
      </c>
      <c r="G725" t="s">
        <v>115</v>
      </c>
      <c r="H725" t="s">
        <v>212</v>
      </c>
      <c r="I725">
        <v>9282.5</v>
      </c>
      <c r="J725">
        <v>10</v>
      </c>
      <c r="K725" s="1">
        <v>0.25</v>
      </c>
      <c r="L725">
        <v>-1137.2</v>
      </c>
      <c r="M725" t="s">
        <v>38</v>
      </c>
      <c r="N725" t="s">
        <v>39</v>
      </c>
      <c r="O725" t="str">
        <f t="shared" si="66"/>
        <v>05/11/2024</v>
      </c>
      <c r="P725">
        <f t="shared" si="67"/>
        <v>2024</v>
      </c>
      <c r="Q725">
        <f t="shared" si="68"/>
        <v>11</v>
      </c>
      <c r="R725" t="str">
        <f t="shared" si="69"/>
        <v>November</v>
      </c>
      <c r="S725" t="str">
        <f t="shared" si="70"/>
        <v>Low</v>
      </c>
      <c r="T725" s="1">
        <f t="shared" si="71"/>
        <v>-0.12251009964987881</v>
      </c>
      <c r="U725">
        <f>SUM($I$2:I725)</f>
        <v>2537228.2899999977</v>
      </c>
      <c r="V725" s="1">
        <f>Table1[[#This Row],[Running total ]]/SUM(I:I)</f>
        <v>0.73214866332734874</v>
      </c>
    </row>
    <row r="726" spans="1:22" x14ac:dyDescent="0.3">
      <c r="A726" t="s">
        <v>1472</v>
      </c>
      <c r="B726" t="s">
        <v>1473</v>
      </c>
      <c r="C726" t="s">
        <v>1474</v>
      </c>
      <c r="D726" t="s">
        <v>48</v>
      </c>
      <c r="E726" t="s">
        <v>73</v>
      </c>
      <c r="F726" t="s">
        <v>67</v>
      </c>
      <c r="G726" t="s">
        <v>68</v>
      </c>
      <c r="H726" t="s">
        <v>382</v>
      </c>
      <c r="I726">
        <v>5734.3</v>
      </c>
      <c r="J726">
        <v>5</v>
      </c>
      <c r="K726" s="1">
        <v>0.05</v>
      </c>
      <c r="L726">
        <v>38.770000000000003</v>
      </c>
      <c r="M726" t="s">
        <v>87</v>
      </c>
      <c r="N726" t="s">
        <v>39</v>
      </c>
      <c r="O726" t="str">
        <f t="shared" si="66"/>
        <v>08/12/2024</v>
      </c>
      <c r="P726">
        <f t="shared" si="67"/>
        <v>2024</v>
      </c>
      <c r="Q726">
        <f t="shared" si="68"/>
        <v>12</v>
      </c>
      <c r="R726" t="str">
        <f t="shared" si="69"/>
        <v>December</v>
      </c>
      <c r="S726" t="str">
        <f t="shared" si="70"/>
        <v>High</v>
      </c>
      <c r="T726" s="1">
        <f t="shared" si="71"/>
        <v>6.7610693545855647E-3</v>
      </c>
      <c r="U726">
        <f>SUM($I$2:I726)</f>
        <v>2542962.5899999975</v>
      </c>
      <c r="V726" s="1">
        <f>Table1[[#This Row],[Running total ]]/SUM(I:I)</f>
        <v>0.73380336664934176</v>
      </c>
    </row>
    <row r="727" spans="1:22" x14ac:dyDescent="0.3">
      <c r="A727" t="s">
        <v>1475</v>
      </c>
      <c r="B727" t="s">
        <v>1476</v>
      </c>
      <c r="C727" t="s">
        <v>106</v>
      </c>
      <c r="D727" t="s">
        <v>27</v>
      </c>
      <c r="E727" t="s">
        <v>43</v>
      </c>
      <c r="F727" t="s">
        <v>55</v>
      </c>
      <c r="G727" t="s">
        <v>98</v>
      </c>
      <c r="H727" t="s">
        <v>150</v>
      </c>
      <c r="I727">
        <v>5303.55</v>
      </c>
      <c r="J727">
        <v>5</v>
      </c>
      <c r="K727" s="1">
        <v>0</v>
      </c>
      <c r="L727">
        <v>1952.28</v>
      </c>
      <c r="M727" t="s">
        <v>117</v>
      </c>
      <c r="N727" t="s">
        <v>32</v>
      </c>
      <c r="O727" t="str">
        <f t="shared" si="66"/>
        <v>29/06/2024</v>
      </c>
      <c r="P727">
        <f t="shared" si="67"/>
        <v>2024</v>
      </c>
      <c r="Q727">
        <f t="shared" si="68"/>
        <v>6</v>
      </c>
      <c r="R727" t="str">
        <f t="shared" si="69"/>
        <v>June</v>
      </c>
      <c r="S727" t="str">
        <f t="shared" si="70"/>
        <v>No Discount</v>
      </c>
      <c r="T727" s="1">
        <f t="shared" si="71"/>
        <v>0.36810815397233926</v>
      </c>
      <c r="U727">
        <f>SUM($I$2:I727)</f>
        <v>2548266.1399999973</v>
      </c>
      <c r="V727" s="1">
        <f>Table1[[#This Row],[Running total ]]/SUM(I:I)</f>
        <v>0.7353337717211651</v>
      </c>
    </row>
    <row r="728" spans="1:22" x14ac:dyDescent="0.3">
      <c r="A728" t="s">
        <v>1477</v>
      </c>
      <c r="B728" t="s">
        <v>1478</v>
      </c>
      <c r="C728" t="s">
        <v>1010</v>
      </c>
      <c r="D728" t="s">
        <v>137</v>
      </c>
      <c r="E728" t="s">
        <v>138</v>
      </c>
      <c r="F728" t="s">
        <v>67</v>
      </c>
      <c r="G728" t="s">
        <v>115</v>
      </c>
      <c r="H728" t="s">
        <v>116</v>
      </c>
      <c r="I728">
        <v>1036.44</v>
      </c>
      <c r="J728">
        <v>4</v>
      </c>
      <c r="K728" s="1">
        <v>0.25</v>
      </c>
      <c r="L728">
        <v>147.04</v>
      </c>
      <c r="M728" t="s">
        <v>31</v>
      </c>
      <c r="N728" t="s">
        <v>76</v>
      </c>
      <c r="O728" t="str">
        <f t="shared" si="66"/>
        <v>01/07/2025</v>
      </c>
      <c r="P728">
        <f t="shared" si="67"/>
        <v>2025</v>
      </c>
      <c r="Q728">
        <f t="shared" si="68"/>
        <v>7</v>
      </c>
      <c r="R728" t="str">
        <f t="shared" si="69"/>
        <v>July</v>
      </c>
      <c r="S728" t="str">
        <f t="shared" si="70"/>
        <v>Low</v>
      </c>
      <c r="T728" s="1">
        <f t="shared" si="71"/>
        <v>0.14187024815715332</v>
      </c>
      <c r="U728">
        <f>SUM($I$2:I728)</f>
        <v>2549302.5799999973</v>
      </c>
      <c r="V728" s="1">
        <f>Table1[[#This Row],[Running total ]]/SUM(I:I)</f>
        <v>0.73563284932628636</v>
      </c>
    </row>
    <row r="729" spans="1:22" x14ac:dyDescent="0.3">
      <c r="A729" t="s">
        <v>1479</v>
      </c>
      <c r="B729" t="s">
        <v>1480</v>
      </c>
      <c r="C729" t="s">
        <v>548</v>
      </c>
      <c r="D729" t="s">
        <v>17</v>
      </c>
      <c r="E729" t="s">
        <v>54</v>
      </c>
      <c r="F729" t="s">
        <v>67</v>
      </c>
      <c r="G729" t="s">
        <v>68</v>
      </c>
      <c r="H729" t="s">
        <v>69</v>
      </c>
      <c r="I729">
        <v>136.56</v>
      </c>
      <c r="J729">
        <v>2</v>
      </c>
      <c r="K729" s="1">
        <v>0.2</v>
      </c>
      <c r="L729">
        <v>29.66</v>
      </c>
      <c r="M729" t="s">
        <v>143</v>
      </c>
      <c r="N729" t="s">
        <v>32</v>
      </c>
      <c r="O729" t="str">
        <f t="shared" si="66"/>
        <v>23/11/2024</v>
      </c>
      <c r="P729">
        <f t="shared" si="67"/>
        <v>2024</v>
      </c>
      <c r="Q729">
        <f t="shared" si="68"/>
        <v>11</v>
      </c>
      <c r="R729" t="str">
        <f t="shared" si="69"/>
        <v>November</v>
      </c>
      <c r="S729" t="str">
        <f t="shared" si="70"/>
        <v>Low</v>
      </c>
      <c r="T729" s="1">
        <f t="shared" si="71"/>
        <v>0.21719390743995312</v>
      </c>
      <c r="U729">
        <f>SUM($I$2:I729)</f>
        <v>2549439.1399999973</v>
      </c>
      <c r="V729" s="1">
        <f>Table1[[#This Row],[Running total ]]/SUM(I:I)</f>
        <v>0.73567225540647951</v>
      </c>
    </row>
    <row r="730" spans="1:22" x14ac:dyDescent="0.3">
      <c r="A730" t="s">
        <v>1481</v>
      </c>
      <c r="B730" t="s">
        <v>171</v>
      </c>
      <c r="C730" t="s">
        <v>192</v>
      </c>
      <c r="D730" t="s">
        <v>17</v>
      </c>
      <c r="E730" t="s">
        <v>18</v>
      </c>
      <c r="F730" t="s">
        <v>67</v>
      </c>
      <c r="G730" t="s">
        <v>115</v>
      </c>
      <c r="H730" t="s">
        <v>212</v>
      </c>
      <c r="I730">
        <v>1178.2</v>
      </c>
      <c r="J730">
        <v>5</v>
      </c>
      <c r="K730" s="1">
        <v>0.2</v>
      </c>
      <c r="L730">
        <v>-176.33</v>
      </c>
      <c r="M730" t="s">
        <v>87</v>
      </c>
      <c r="N730" t="s">
        <v>76</v>
      </c>
      <c r="O730" t="str">
        <f t="shared" si="66"/>
        <v>10/07/2024</v>
      </c>
      <c r="P730">
        <f t="shared" si="67"/>
        <v>2024</v>
      </c>
      <c r="Q730">
        <f t="shared" si="68"/>
        <v>7</v>
      </c>
      <c r="R730" t="str">
        <f t="shared" si="69"/>
        <v>July</v>
      </c>
      <c r="S730" t="str">
        <f t="shared" si="70"/>
        <v>Low</v>
      </c>
      <c r="T730" s="1">
        <f t="shared" si="71"/>
        <v>-0.14966049906637244</v>
      </c>
      <c r="U730">
        <f>SUM($I$2:I730)</f>
        <v>2550617.3399999975</v>
      </c>
      <c r="V730" s="1">
        <f>Table1[[#This Row],[Running total ]]/SUM(I:I)</f>
        <v>0.73601223961623008</v>
      </c>
    </row>
    <row r="731" spans="1:22" x14ac:dyDescent="0.3">
      <c r="A731" t="s">
        <v>1482</v>
      </c>
      <c r="B731" t="s">
        <v>1483</v>
      </c>
      <c r="C731" t="s">
        <v>252</v>
      </c>
      <c r="D731" t="s">
        <v>27</v>
      </c>
      <c r="E731" t="s">
        <v>28</v>
      </c>
      <c r="F731" t="s">
        <v>55</v>
      </c>
      <c r="G731" t="s">
        <v>74</v>
      </c>
      <c r="H731" t="s">
        <v>75</v>
      </c>
      <c r="I731">
        <v>995.56</v>
      </c>
      <c r="J731">
        <v>1</v>
      </c>
      <c r="K731" s="1">
        <v>0.05</v>
      </c>
      <c r="L731">
        <v>386.55</v>
      </c>
      <c r="M731" t="s">
        <v>107</v>
      </c>
      <c r="N731" t="s">
        <v>32</v>
      </c>
      <c r="O731" t="str">
        <f t="shared" si="66"/>
        <v>06/07/2025</v>
      </c>
      <c r="P731">
        <f t="shared" si="67"/>
        <v>2025</v>
      </c>
      <c r="Q731">
        <f t="shared" si="68"/>
        <v>7</v>
      </c>
      <c r="R731" t="str">
        <f t="shared" si="69"/>
        <v>July</v>
      </c>
      <c r="S731" t="str">
        <f t="shared" si="70"/>
        <v>High</v>
      </c>
      <c r="T731" s="1">
        <f t="shared" si="71"/>
        <v>0.38827393627707024</v>
      </c>
      <c r="U731">
        <f>SUM($I$2:I731)</f>
        <v>2551612.8999999976</v>
      </c>
      <c r="V731" s="1">
        <f>Table1[[#This Row],[Running total ]]/SUM(I:I)</f>
        <v>0.73629952079078376</v>
      </c>
    </row>
    <row r="732" spans="1:22" x14ac:dyDescent="0.3">
      <c r="A732" t="s">
        <v>1484</v>
      </c>
      <c r="B732" t="s">
        <v>1004</v>
      </c>
      <c r="C732" t="s">
        <v>911</v>
      </c>
      <c r="D732" t="s">
        <v>137</v>
      </c>
      <c r="E732" t="s">
        <v>138</v>
      </c>
      <c r="F732" t="s">
        <v>67</v>
      </c>
      <c r="G732" t="s">
        <v>85</v>
      </c>
      <c r="H732" t="s">
        <v>86</v>
      </c>
      <c r="I732">
        <v>2115.27</v>
      </c>
      <c r="J732">
        <v>9</v>
      </c>
      <c r="K732" s="1">
        <v>0</v>
      </c>
      <c r="L732">
        <v>313.91000000000003</v>
      </c>
      <c r="M732" t="s">
        <v>107</v>
      </c>
      <c r="N732" t="s">
        <v>32</v>
      </c>
      <c r="O732" t="str">
        <f t="shared" si="66"/>
        <v>22/03/2025</v>
      </c>
      <c r="P732">
        <f t="shared" si="67"/>
        <v>2025</v>
      </c>
      <c r="Q732">
        <f t="shared" si="68"/>
        <v>3</v>
      </c>
      <c r="R732" t="str">
        <f t="shared" si="69"/>
        <v>March</v>
      </c>
      <c r="S732" t="str">
        <f t="shared" si="70"/>
        <v>No Discount</v>
      </c>
      <c r="T732" s="1">
        <f t="shared" si="71"/>
        <v>0.14840185886435303</v>
      </c>
      <c r="U732">
        <f>SUM($I$2:I732)</f>
        <v>2553728.1699999976</v>
      </c>
      <c r="V732" s="1">
        <f>Table1[[#This Row],[Running total ]]/SUM(I:I)</f>
        <v>0.73690990816080493</v>
      </c>
    </row>
    <row r="733" spans="1:22" x14ac:dyDescent="0.3">
      <c r="A733" t="s">
        <v>1485</v>
      </c>
      <c r="B733" t="s">
        <v>352</v>
      </c>
      <c r="C733" t="s">
        <v>535</v>
      </c>
      <c r="D733" t="s">
        <v>48</v>
      </c>
      <c r="E733" t="s">
        <v>110</v>
      </c>
      <c r="F733" t="s">
        <v>67</v>
      </c>
      <c r="G733" t="s">
        <v>68</v>
      </c>
      <c r="H733" t="s">
        <v>382</v>
      </c>
      <c r="I733">
        <v>4180.05</v>
      </c>
      <c r="J733">
        <v>5</v>
      </c>
      <c r="K733" s="1">
        <v>0.05</v>
      </c>
      <c r="L733">
        <v>1454.07</v>
      </c>
      <c r="M733" t="s">
        <v>44</v>
      </c>
      <c r="N733" t="s">
        <v>32</v>
      </c>
      <c r="O733" t="str">
        <f t="shared" si="66"/>
        <v>15/12/2025</v>
      </c>
      <c r="P733">
        <f t="shared" si="67"/>
        <v>2025</v>
      </c>
      <c r="Q733">
        <f t="shared" si="68"/>
        <v>12</v>
      </c>
      <c r="R733" t="str">
        <f t="shared" si="69"/>
        <v>December</v>
      </c>
      <c r="S733" t="str">
        <f t="shared" si="70"/>
        <v>High</v>
      </c>
      <c r="T733" s="1">
        <f t="shared" si="71"/>
        <v>0.34785947536512718</v>
      </c>
      <c r="U733">
        <f>SUM($I$2:I733)</f>
        <v>2557908.2199999974</v>
      </c>
      <c r="V733" s="1">
        <f>Table1[[#This Row],[Running total ]]/SUM(I:I)</f>
        <v>0.73811611338569683</v>
      </c>
    </row>
    <row r="734" spans="1:22" x14ac:dyDescent="0.3">
      <c r="A734" t="s">
        <v>1486</v>
      </c>
      <c r="B734" t="s">
        <v>1487</v>
      </c>
      <c r="C734" t="s">
        <v>252</v>
      </c>
      <c r="D734" t="s">
        <v>137</v>
      </c>
      <c r="E734" t="s">
        <v>138</v>
      </c>
      <c r="F734" t="s">
        <v>55</v>
      </c>
      <c r="G734" t="s">
        <v>74</v>
      </c>
      <c r="H734" t="s">
        <v>272</v>
      </c>
      <c r="I734">
        <v>6423.9</v>
      </c>
      <c r="J734">
        <v>7</v>
      </c>
      <c r="K734" s="1">
        <v>0.15</v>
      </c>
      <c r="L734">
        <v>730.49</v>
      </c>
      <c r="M734" t="s">
        <v>143</v>
      </c>
      <c r="N734" t="s">
        <v>39</v>
      </c>
      <c r="O734" t="str">
        <f t="shared" si="66"/>
        <v>31/05/2024</v>
      </c>
      <c r="P734">
        <f t="shared" si="67"/>
        <v>2024</v>
      </c>
      <c r="Q734">
        <f t="shared" si="68"/>
        <v>5</v>
      </c>
      <c r="R734" t="str">
        <f t="shared" si="69"/>
        <v>May</v>
      </c>
      <c r="S734" t="str">
        <f t="shared" si="70"/>
        <v>Low</v>
      </c>
      <c r="T734" s="1">
        <f t="shared" si="71"/>
        <v>0.11371441024922556</v>
      </c>
      <c r="U734">
        <f>SUM($I$2:I734)</f>
        <v>2564332.1199999973</v>
      </c>
      <c r="V734" s="1">
        <f>Table1[[#This Row],[Running total ]]/SUM(I:I)</f>
        <v>0.73996980933291823</v>
      </c>
    </row>
    <row r="735" spans="1:22" x14ac:dyDescent="0.3">
      <c r="A735" t="s">
        <v>1488</v>
      </c>
      <c r="B735" t="s">
        <v>856</v>
      </c>
      <c r="C735" t="s">
        <v>455</v>
      </c>
      <c r="D735" t="s">
        <v>17</v>
      </c>
      <c r="E735" t="s">
        <v>97</v>
      </c>
      <c r="F735" t="s">
        <v>19</v>
      </c>
      <c r="G735" t="s">
        <v>29</v>
      </c>
      <c r="H735" t="s">
        <v>199</v>
      </c>
      <c r="I735">
        <v>7439.13</v>
      </c>
      <c r="J735">
        <v>9</v>
      </c>
      <c r="K735" s="1">
        <v>0.1</v>
      </c>
      <c r="L735">
        <v>2347.2199999999998</v>
      </c>
      <c r="M735" t="s">
        <v>195</v>
      </c>
      <c r="N735" t="s">
        <v>39</v>
      </c>
      <c r="O735" t="str">
        <f t="shared" si="66"/>
        <v>30/09/2024</v>
      </c>
      <c r="P735">
        <f t="shared" si="67"/>
        <v>2024</v>
      </c>
      <c r="Q735">
        <f t="shared" si="68"/>
        <v>9</v>
      </c>
      <c r="R735" t="str">
        <f t="shared" si="69"/>
        <v>September</v>
      </c>
      <c r="S735" t="str">
        <f t="shared" si="70"/>
        <v>Low</v>
      </c>
      <c r="T735" s="1">
        <f t="shared" si="71"/>
        <v>0.31552345502767121</v>
      </c>
      <c r="U735">
        <f>SUM($I$2:I735)</f>
        <v>2571771.2499999972</v>
      </c>
      <c r="V735" s="1">
        <f>Table1[[#This Row],[Running total ]]/SUM(I:I)</f>
        <v>0.74211646247693552</v>
      </c>
    </row>
    <row r="736" spans="1:22" x14ac:dyDescent="0.3">
      <c r="A736" t="s">
        <v>1489</v>
      </c>
      <c r="B736" t="s">
        <v>1092</v>
      </c>
      <c r="C736" t="s">
        <v>225</v>
      </c>
      <c r="D736" t="s">
        <v>48</v>
      </c>
      <c r="E736" t="s">
        <v>73</v>
      </c>
      <c r="F736" t="s">
        <v>55</v>
      </c>
      <c r="G736" t="s">
        <v>56</v>
      </c>
      <c r="H736" t="s">
        <v>57</v>
      </c>
      <c r="I736">
        <v>1316.82</v>
      </c>
      <c r="J736">
        <v>6</v>
      </c>
      <c r="K736" s="1">
        <v>0.15</v>
      </c>
      <c r="L736">
        <v>48.95</v>
      </c>
      <c r="M736" t="s">
        <v>44</v>
      </c>
      <c r="N736" t="s">
        <v>39</v>
      </c>
      <c r="O736" t="str">
        <f t="shared" si="66"/>
        <v>06/11/2024</v>
      </c>
      <c r="P736">
        <f t="shared" si="67"/>
        <v>2024</v>
      </c>
      <c r="Q736">
        <f t="shared" si="68"/>
        <v>11</v>
      </c>
      <c r="R736" t="str">
        <f t="shared" si="69"/>
        <v>November</v>
      </c>
      <c r="S736" t="str">
        <f t="shared" si="70"/>
        <v>Low</v>
      </c>
      <c r="T736" s="1">
        <f t="shared" si="71"/>
        <v>3.7172886195531663E-2</v>
      </c>
      <c r="U736">
        <f>SUM($I$2:I736)</f>
        <v>2573088.069999997</v>
      </c>
      <c r="V736" s="1">
        <f>Table1[[#This Row],[Running total ]]/SUM(I:I)</f>
        <v>0.74249644720540575</v>
      </c>
    </row>
    <row r="737" spans="1:22" x14ac:dyDescent="0.3">
      <c r="A737" t="s">
        <v>1490</v>
      </c>
      <c r="B737" t="s">
        <v>1491</v>
      </c>
      <c r="C737" t="s">
        <v>53</v>
      </c>
      <c r="D737" t="s">
        <v>137</v>
      </c>
      <c r="E737" t="s">
        <v>142</v>
      </c>
      <c r="F737" t="s">
        <v>67</v>
      </c>
      <c r="G737" t="s">
        <v>68</v>
      </c>
      <c r="H737" t="s">
        <v>382</v>
      </c>
      <c r="I737">
        <v>8251.0400000000009</v>
      </c>
      <c r="J737">
        <v>8</v>
      </c>
      <c r="K737" s="1">
        <v>0.05</v>
      </c>
      <c r="L737">
        <v>2822.31</v>
      </c>
      <c r="M737" t="s">
        <v>44</v>
      </c>
      <c r="N737" t="s">
        <v>23</v>
      </c>
      <c r="O737" t="str">
        <f t="shared" si="66"/>
        <v>11/03/2024</v>
      </c>
      <c r="P737">
        <f t="shared" si="67"/>
        <v>2024</v>
      </c>
      <c r="Q737">
        <f t="shared" si="68"/>
        <v>3</v>
      </c>
      <c r="R737" t="str">
        <f t="shared" si="69"/>
        <v>March</v>
      </c>
      <c r="S737" t="str">
        <f t="shared" si="70"/>
        <v>High</v>
      </c>
      <c r="T737" s="1">
        <f t="shared" si="71"/>
        <v>0.34205506214974107</v>
      </c>
      <c r="U737">
        <f>SUM($I$2:I737)</f>
        <v>2581339.1099999971</v>
      </c>
      <c r="V737" s="1">
        <f>Table1[[#This Row],[Running total ]]/SUM(I:I)</f>
        <v>0.74487738704076467</v>
      </c>
    </row>
    <row r="738" spans="1:22" x14ac:dyDescent="0.3">
      <c r="A738" t="s">
        <v>1492</v>
      </c>
      <c r="B738" t="s">
        <v>695</v>
      </c>
      <c r="C738" t="s">
        <v>305</v>
      </c>
      <c r="D738" t="s">
        <v>137</v>
      </c>
      <c r="E738" t="s">
        <v>138</v>
      </c>
      <c r="F738" t="s">
        <v>67</v>
      </c>
      <c r="G738" t="s">
        <v>68</v>
      </c>
      <c r="H738" t="s">
        <v>382</v>
      </c>
      <c r="I738">
        <v>6730.1</v>
      </c>
      <c r="J738">
        <v>10</v>
      </c>
      <c r="K738" s="1">
        <v>0.3</v>
      </c>
      <c r="L738">
        <v>-1282.92</v>
      </c>
      <c r="M738" t="s">
        <v>31</v>
      </c>
      <c r="N738" t="s">
        <v>76</v>
      </c>
      <c r="O738" t="str">
        <f t="shared" si="66"/>
        <v>13/07/2025</v>
      </c>
      <c r="P738">
        <f t="shared" si="67"/>
        <v>2025</v>
      </c>
      <c r="Q738">
        <f t="shared" si="68"/>
        <v>7</v>
      </c>
      <c r="R738" t="str">
        <f t="shared" si="69"/>
        <v>July</v>
      </c>
      <c r="S738" t="str">
        <f t="shared" si="70"/>
        <v>Low</v>
      </c>
      <c r="T738" s="1">
        <f t="shared" si="71"/>
        <v>-0.19062421063580037</v>
      </c>
      <c r="U738">
        <f>SUM($I$2:I738)</f>
        <v>2588069.2099999972</v>
      </c>
      <c r="V738" s="1">
        <f>Table1[[#This Row],[Running total ]]/SUM(I:I)</f>
        <v>0.74681944079228557</v>
      </c>
    </row>
    <row r="739" spans="1:22" x14ac:dyDescent="0.3">
      <c r="A739" t="s">
        <v>1493</v>
      </c>
      <c r="B739" t="s">
        <v>525</v>
      </c>
      <c r="C739" t="s">
        <v>498</v>
      </c>
      <c r="D739" t="s">
        <v>17</v>
      </c>
      <c r="E739" t="s">
        <v>54</v>
      </c>
      <c r="F739" t="s">
        <v>67</v>
      </c>
      <c r="G739" t="s">
        <v>68</v>
      </c>
      <c r="H739" t="s">
        <v>69</v>
      </c>
      <c r="I739">
        <v>1941.51</v>
      </c>
      <c r="J739">
        <v>3</v>
      </c>
      <c r="K739" s="1">
        <v>0.25</v>
      </c>
      <c r="L739">
        <v>228.99</v>
      </c>
      <c r="M739" t="s">
        <v>31</v>
      </c>
      <c r="N739" t="s">
        <v>39</v>
      </c>
      <c r="O739" t="str">
        <f t="shared" si="66"/>
        <v>27/10/2024</v>
      </c>
      <c r="P739">
        <f t="shared" si="67"/>
        <v>2024</v>
      </c>
      <c r="Q739">
        <f t="shared" si="68"/>
        <v>10</v>
      </c>
      <c r="R739" t="str">
        <f t="shared" si="69"/>
        <v>October</v>
      </c>
      <c r="S739" t="str">
        <f t="shared" si="70"/>
        <v>Low</v>
      </c>
      <c r="T739" s="1">
        <f t="shared" si="71"/>
        <v>0.11794428048271706</v>
      </c>
      <c r="U739">
        <f>SUM($I$2:I739)</f>
        <v>2590010.7199999969</v>
      </c>
      <c r="V739" s="1">
        <f>Table1[[#This Row],[Running total ]]/SUM(I:I)</f>
        <v>0.74737968756114703</v>
      </c>
    </row>
    <row r="740" spans="1:22" x14ac:dyDescent="0.3">
      <c r="A740" t="s">
        <v>1494</v>
      </c>
      <c r="B740" t="s">
        <v>980</v>
      </c>
      <c r="C740" t="s">
        <v>684</v>
      </c>
      <c r="D740" t="s">
        <v>17</v>
      </c>
      <c r="E740" t="s">
        <v>18</v>
      </c>
      <c r="F740" t="s">
        <v>55</v>
      </c>
      <c r="G740" t="s">
        <v>56</v>
      </c>
      <c r="H740" t="s">
        <v>57</v>
      </c>
      <c r="I740">
        <v>6205.26</v>
      </c>
      <c r="J740">
        <v>6</v>
      </c>
      <c r="K740" s="1">
        <v>0.05</v>
      </c>
      <c r="L740">
        <v>1606.34</v>
      </c>
      <c r="M740" t="s">
        <v>31</v>
      </c>
      <c r="N740" t="s">
        <v>76</v>
      </c>
      <c r="O740" t="str">
        <f t="shared" si="66"/>
        <v>10/09/2024</v>
      </c>
      <c r="P740">
        <f t="shared" si="67"/>
        <v>2024</v>
      </c>
      <c r="Q740">
        <f t="shared" si="68"/>
        <v>9</v>
      </c>
      <c r="R740" t="str">
        <f t="shared" si="69"/>
        <v>September</v>
      </c>
      <c r="S740" t="str">
        <f t="shared" si="70"/>
        <v>High</v>
      </c>
      <c r="T740" s="1">
        <f t="shared" si="71"/>
        <v>0.2588674769469772</v>
      </c>
      <c r="U740">
        <f>SUM($I$2:I740)</f>
        <v>2596215.9799999967</v>
      </c>
      <c r="V740" s="1">
        <f>Table1[[#This Row],[Running total ]]/SUM(I:I)</f>
        <v>0.7491702922270751</v>
      </c>
    </row>
    <row r="741" spans="1:22" x14ac:dyDescent="0.3">
      <c r="A741" t="s">
        <v>1495</v>
      </c>
      <c r="B741" t="s">
        <v>856</v>
      </c>
      <c r="C741" t="s">
        <v>994</v>
      </c>
      <c r="D741" t="s">
        <v>17</v>
      </c>
      <c r="E741" t="s">
        <v>80</v>
      </c>
      <c r="F741" t="s">
        <v>67</v>
      </c>
      <c r="G741" t="s">
        <v>115</v>
      </c>
      <c r="H741" t="s">
        <v>178</v>
      </c>
      <c r="I741">
        <v>569.24</v>
      </c>
      <c r="J741">
        <v>4</v>
      </c>
      <c r="K741" s="1">
        <v>0.15</v>
      </c>
      <c r="L741">
        <v>85</v>
      </c>
      <c r="M741" t="s">
        <v>107</v>
      </c>
      <c r="N741" t="s">
        <v>39</v>
      </c>
      <c r="O741" t="str">
        <f t="shared" si="66"/>
        <v>30/09/2024</v>
      </c>
      <c r="P741">
        <f t="shared" si="67"/>
        <v>2024</v>
      </c>
      <c r="Q741">
        <f t="shared" si="68"/>
        <v>9</v>
      </c>
      <c r="R741" t="str">
        <f t="shared" si="69"/>
        <v>September</v>
      </c>
      <c r="S741" t="str">
        <f t="shared" si="70"/>
        <v>Low</v>
      </c>
      <c r="T741" s="1">
        <f t="shared" si="71"/>
        <v>0.14932190288806127</v>
      </c>
      <c r="U741">
        <f>SUM($I$2:I741)</f>
        <v>2596785.2199999969</v>
      </c>
      <c r="V741" s="1">
        <f>Table1[[#This Row],[Running total ]]/SUM(I:I)</f>
        <v>0.74933455348285372</v>
      </c>
    </row>
    <row r="742" spans="1:22" x14ac:dyDescent="0.3">
      <c r="A742" t="s">
        <v>1496</v>
      </c>
      <c r="B742" t="s">
        <v>207</v>
      </c>
      <c r="C742" t="s">
        <v>625</v>
      </c>
      <c r="D742" t="s">
        <v>137</v>
      </c>
      <c r="E742" t="s">
        <v>138</v>
      </c>
      <c r="F742" t="s">
        <v>19</v>
      </c>
      <c r="G742" t="s">
        <v>36</v>
      </c>
      <c r="H742" t="s">
        <v>111</v>
      </c>
      <c r="I742">
        <v>3712.87</v>
      </c>
      <c r="J742">
        <v>7</v>
      </c>
      <c r="K742" s="1">
        <v>0.25</v>
      </c>
      <c r="L742">
        <v>125.15</v>
      </c>
      <c r="M742" t="s">
        <v>87</v>
      </c>
      <c r="N742" t="s">
        <v>76</v>
      </c>
      <c r="O742" t="str">
        <f t="shared" si="66"/>
        <v>25/06/2024</v>
      </c>
      <c r="P742">
        <f t="shared" si="67"/>
        <v>2024</v>
      </c>
      <c r="Q742">
        <f t="shared" si="68"/>
        <v>6</v>
      </c>
      <c r="R742" t="str">
        <f t="shared" si="69"/>
        <v>June</v>
      </c>
      <c r="S742" t="str">
        <f t="shared" si="70"/>
        <v>Low</v>
      </c>
      <c r="T742" s="1">
        <f t="shared" si="71"/>
        <v>3.3707078351787163E-2</v>
      </c>
      <c r="U742">
        <f>SUM($I$2:I742)</f>
        <v>2600498.0899999971</v>
      </c>
      <c r="V742" s="1">
        <f>Table1[[#This Row],[Running total ]]/SUM(I:I)</f>
        <v>0.75040594812965089</v>
      </c>
    </row>
    <row r="743" spans="1:22" x14ac:dyDescent="0.3">
      <c r="A743" t="s">
        <v>1497</v>
      </c>
      <c r="B743" t="s">
        <v>1498</v>
      </c>
      <c r="C743" t="s">
        <v>1062</v>
      </c>
      <c r="D743" t="s">
        <v>137</v>
      </c>
      <c r="E743" t="s">
        <v>242</v>
      </c>
      <c r="F743" t="s">
        <v>55</v>
      </c>
      <c r="G743" t="s">
        <v>74</v>
      </c>
      <c r="H743" t="s">
        <v>75</v>
      </c>
      <c r="I743">
        <v>578.16999999999996</v>
      </c>
      <c r="J743">
        <v>1</v>
      </c>
      <c r="K743" s="1">
        <v>0.25</v>
      </c>
      <c r="L743">
        <v>32.979999999999997</v>
      </c>
      <c r="M743" t="s">
        <v>117</v>
      </c>
      <c r="N743" t="s">
        <v>32</v>
      </c>
      <c r="O743" t="str">
        <f t="shared" si="66"/>
        <v>26/05/2024</v>
      </c>
      <c r="P743">
        <f t="shared" si="67"/>
        <v>2024</v>
      </c>
      <c r="Q743">
        <f t="shared" si="68"/>
        <v>5</v>
      </c>
      <c r="R743" t="str">
        <f t="shared" si="69"/>
        <v>May</v>
      </c>
      <c r="S743" t="str">
        <f t="shared" si="70"/>
        <v>Low</v>
      </c>
      <c r="T743" s="1">
        <f t="shared" si="71"/>
        <v>5.7042046456924435E-2</v>
      </c>
      <c r="U743">
        <f>SUM($I$2:I743)</f>
        <v>2601076.259999997</v>
      </c>
      <c r="V743" s="1">
        <f>Table1[[#This Row],[Running total ]]/SUM(I:I)</f>
        <v>0.75057278624758628</v>
      </c>
    </row>
    <row r="744" spans="1:22" x14ac:dyDescent="0.3">
      <c r="A744" t="s">
        <v>1499</v>
      </c>
      <c r="B744" t="s">
        <v>1500</v>
      </c>
      <c r="C744" t="s">
        <v>745</v>
      </c>
      <c r="D744" t="s">
        <v>48</v>
      </c>
      <c r="E744" t="s">
        <v>73</v>
      </c>
      <c r="F744" t="s">
        <v>19</v>
      </c>
      <c r="G744" t="s">
        <v>20</v>
      </c>
      <c r="H744" t="s">
        <v>239</v>
      </c>
      <c r="I744">
        <v>1010.72</v>
      </c>
      <c r="J744">
        <v>4</v>
      </c>
      <c r="K744" s="1">
        <v>0.1</v>
      </c>
      <c r="L744">
        <v>45.19</v>
      </c>
      <c r="M744" t="s">
        <v>107</v>
      </c>
      <c r="N744" t="s">
        <v>76</v>
      </c>
      <c r="O744" t="str">
        <f t="shared" si="66"/>
        <v>18/01/2024</v>
      </c>
      <c r="P744">
        <f t="shared" si="67"/>
        <v>2024</v>
      </c>
      <c r="Q744">
        <f t="shared" si="68"/>
        <v>1</v>
      </c>
      <c r="R744" t="str">
        <f t="shared" si="69"/>
        <v>January</v>
      </c>
      <c r="S744" t="str">
        <f t="shared" si="70"/>
        <v>Low</v>
      </c>
      <c r="T744" s="1">
        <f t="shared" si="71"/>
        <v>4.4710701282254232E-2</v>
      </c>
      <c r="U744">
        <f>SUM($I$2:I744)</f>
        <v>2602086.9799999972</v>
      </c>
      <c r="V744" s="1">
        <f>Table1[[#This Row],[Running total ]]/SUM(I:I)</f>
        <v>0.75086444202799629</v>
      </c>
    </row>
    <row r="745" spans="1:22" x14ac:dyDescent="0.3">
      <c r="A745" t="s">
        <v>1501</v>
      </c>
      <c r="B745" t="s">
        <v>1502</v>
      </c>
      <c r="C745" t="s">
        <v>473</v>
      </c>
      <c r="D745" t="s">
        <v>48</v>
      </c>
      <c r="E745" t="s">
        <v>73</v>
      </c>
      <c r="F745" t="s">
        <v>19</v>
      </c>
      <c r="G745" t="s">
        <v>20</v>
      </c>
      <c r="H745" t="s">
        <v>21</v>
      </c>
      <c r="I745">
        <v>117.15</v>
      </c>
      <c r="J745">
        <v>1</v>
      </c>
      <c r="K745" s="1">
        <v>0</v>
      </c>
      <c r="L745">
        <v>40.08</v>
      </c>
      <c r="M745" t="s">
        <v>117</v>
      </c>
      <c r="N745" t="s">
        <v>76</v>
      </c>
      <c r="O745" t="str">
        <f t="shared" si="66"/>
        <v>01/11/2025</v>
      </c>
      <c r="P745">
        <f t="shared" si="67"/>
        <v>2025</v>
      </c>
      <c r="Q745">
        <f t="shared" si="68"/>
        <v>11</v>
      </c>
      <c r="R745" t="str">
        <f t="shared" si="69"/>
        <v>November</v>
      </c>
      <c r="S745" t="str">
        <f t="shared" si="70"/>
        <v>No Discount</v>
      </c>
      <c r="T745" s="1">
        <f t="shared" si="71"/>
        <v>0.34212548015364913</v>
      </c>
      <c r="U745">
        <f>SUM($I$2:I745)</f>
        <v>2602204.1299999971</v>
      </c>
      <c r="V745" s="1">
        <f>Table1[[#This Row],[Running total ]]/SUM(I:I)</f>
        <v>0.75089824711216901</v>
      </c>
    </row>
    <row r="746" spans="1:22" x14ac:dyDescent="0.3">
      <c r="A746" t="s">
        <v>1503</v>
      </c>
      <c r="B746" t="s">
        <v>1013</v>
      </c>
      <c r="C746" t="s">
        <v>211</v>
      </c>
      <c r="D746" t="s">
        <v>137</v>
      </c>
      <c r="E746" t="s">
        <v>160</v>
      </c>
      <c r="F746" t="s">
        <v>67</v>
      </c>
      <c r="G746" t="s">
        <v>115</v>
      </c>
      <c r="H746" t="s">
        <v>116</v>
      </c>
      <c r="I746">
        <v>3983.16</v>
      </c>
      <c r="J746">
        <v>4</v>
      </c>
      <c r="K746" s="1">
        <v>0.1</v>
      </c>
      <c r="L746">
        <v>-75.459999999999994</v>
      </c>
      <c r="M746" t="s">
        <v>143</v>
      </c>
      <c r="N746" t="s">
        <v>76</v>
      </c>
      <c r="O746" t="str">
        <f t="shared" si="66"/>
        <v>18/09/2025</v>
      </c>
      <c r="P746">
        <f t="shared" si="67"/>
        <v>2025</v>
      </c>
      <c r="Q746">
        <f t="shared" si="68"/>
        <v>9</v>
      </c>
      <c r="R746" t="str">
        <f t="shared" si="69"/>
        <v>September</v>
      </c>
      <c r="S746" t="str">
        <f t="shared" si="70"/>
        <v>Low</v>
      </c>
      <c r="T746" s="1">
        <f t="shared" si="71"/>
        <v>-1.8944757428775143E-2</v>
      </c>
      <c r="U746">
        <f>SUM($I$2:I746)</f>
        <v>2606187.2899999972</v>
      </c>
      <c r="V746" s="1">
        <f>Table1[[#This Row],[Running total ]]/SUM(I:I)</f>
        <v>0.75204763728778423</v>
      </c>
    </row>
    <row r="747" spans="1:22" x14ac:dyDescent="0.3">
      <c r="A747" t="s">
        <v>1504</v>
      </c>
      <c r="B747" t="s">
        <v>493</v>
      </c>
      <c r="C747" t="s">
        <v>294</v>
      </c>
      <c r="D747" t="s">
        <v>17</v>
      </c>
      <c r="E747" t="s">
        <v>97</v>
      </c>
      <c r="F747" t="s">
        <v>19</v>
      </c>
      <c r="G747" t="s">
        <v>20</v>
      </c>
      <c r="H747" t="s">
        <v>21</v>
      </c>
      <c r="I747">
        <v>2338.08</v>
      </c>
      <c r="J747">
        <v>3</v>
      </c>
      <c r="K747" s="1">
        <v>0.2</v>
      </c>
      <c r="L747">
        <v>198.8</v>
      </c>
      <c r="M747" t="s">
        <v>31</v>
      </c>
      <c r="N747" t="s">
        <v>32</v>
      </c>
      <c r="O747" t="str">
        <f t="shared" si="66"/>
        <v>19/05/2025</v>
      </c>
      <c r="P747">
        <f t="shared" si="67"/>
        <v>2025</v>
      </c>
      <c r="Q747">
        <f t="shared" si="68"/>
        <v>5</v>
      </c>
      <c r="R747" t="str">
        <f t="shared" si="69"/>
        <v>May</v>
      </c>
      <c r="S747" t="str">
        <f t="shared" si="70"/>
        <v>Low</v>
      </c>
      <c r="T747" s="1">
        <f t="shared" si="71"/>
        <v>8.5027030726065836E-2</v>
      </c>
      <c r="U747">
        <f>SUM($I$2:I747)</f>
        <v>2608525.3699999973</v>
      </c>
      <c r="V747" s="1">
        <f>Table1[[#This Row],[Running total ]]/SUM(I:I)</f>
        <v>0.75272231924427169</v>
      </c>
    </row>
    <row r="748" spans="1:22" x14ac:dyDescent="0.3">
      <c r="A748" t="s">
        <v>1505</v>
      </c>
      <c r="B748" t="s">
        <v>736</v>
      </c>
      <c r="C748" t="s">
        <v>1062</v>
      </c>
      <c r="D748" t="s">
        <v>17</v>
      </c>
      <c r="E748" t="s">
        <v>18</v>
      </c>
      <c r="F748" t="s">
        <v>55</v>
      </c>
      <c r="G748" t="s">
        <v>98</v>
      </c>
      <c r="H748" t="s">
        <v>99</v>
      </c>
      <c r="I748">
        <v>1177.23</v>
      </c>
      <c r="J748">
        <v>1</v>
      </c>
      <c r="K748" s="1">
        <v>0.1</v>
      </c>
      <c r="L748">
        <v>-23.15</v>
      </c>
      <c r="M748" t="s">
        <v>22</v>
      </c>
      <c r="N748" t="s">
        <v>39</v>
      </c>
      <c r="O748" t="str">
        <f t="shared" si="66"/>
        <v>24/07/2024</v>
      </c>
      <c r="P748">
        <f t="shared" si="67"/>
        <v>2024</v>
      </c>
      <c r="Q748">
        <f t="shared" si="68"/>
        <v>7</v>
      </c>
      <c r="R748" t="str">
        <f t="shared" si="69"/>
        <v>July</v>
      </c>
      <c r="S748" t="str">
        <f t="shared" si="70"/>
        <v>Low</v>
      </c>
      <c r="T748" s="1">
        <f t="shared" si="71"/>
        <v>-1.9664806367489785E-2</v>
      </c>
      <c r="U748">
        <f>SUM($I$2:I748)</f>
        <v>2609702.5999999973</v>
      </c>
      <c r="V748" s="1">
        <f>Table1[[#This Row],[Running total ]]/SUM(I:I)</f>
        <v>0.75306202354850238</v>
      </c>
    </row>
    <row r="749" spans="1:22" x14ac:dyDescent="0.3">
      <c r="A749" t="s">
        <v>1506</v>
      </c>
      <c r="B749" t="s">
        <v>46</v>
      </c>
      <c r="C749" t="s">
        <v>661</v>
      </c>
      <c r="D749" t="s">
        <v>27</v>
      </c>
      <c r="E749" t="s">
        <v>43</v>
      </c>
      <c r="F749" t="s">
        <v>55</v>
      </c>
      <c r="G749" t="s">
        <v>98</v>
      </c>
      <c r="H749" t="s">
        <v>150</v>
      </c>
      <c r="I749">
        <v>4640.28</v>
      </c>
      <c r="J749">
        <v>4</v>
      </c>
      <c r="K749" s="1">
        <v>0.2</v>
      </c>
      <c r="L749">
        <v>203.85</v>
      </c>
      <c r="M749" t="s">
        <v>63</v>
      </c>
      <c r="N749" t="s">
        <v>76</v>
      </c>
      <c r="O749" t="str">
        <f t="shared" si="66"/>
        <v>10/02/2025</v>
      </c>
      <c r="P749">
        <f t="shared" si="67"/>
        <v>2025</v>
      </c>
      <c r="Q749">
        <f t="shared" si="68"/>
        <v>2</v>
      </c>
      <c r="R749" t="str">
        <f t="shared" si="69"/>
        <v>February</v>
      </c>
      <c r="S749" t="str">
        <f t="shared" si="70"/>
        <v>Low</v>
      </c>
      <c r="T749" s="1">
        <f t="shared" si="71"/>
        <v>4.393053867439034E-2</v>
      </c>
      <c r="U749">
        <f>SUM($I$2:I749)</f>
        <v>2614342.8799999971</v>
      </c>
      <c r="V749" s="1">
        <f>Table1[[#This Row],[Running total ]]/SUM(I:I)</f>
        <v>0.7544010338428675</v>
      </c>
    </row>
    <row r="750" spans="1:22" x14ac:dyDescent="0.3">
      <c r="A750" t="s">
        <v>1507</v>
      </c>
      <c r="B750" t="s">
        <v>900</v>
      </c>
      <c r="C750" t="s">
        <v>1508</v>
      </c>
      <c r="D750" t="s">
        <v>27</v>
      </c>
      <c r="E750" t="s">
        <v>61</v>
      </c>
      <c r="F750" t="s">
        <v>55</v>
      </c>
      <c r="G750" t="s">
        <v>56</v>
      </c>
      <c r="H750" t="s">
        <v>62</v>
      </c>
      <c r="I750">
        <v>6200.64</v>
      </c>
      <c r="J750">
        <v>6</v>
      </c>
      <c r="K750" s="1">
        <v>0.15</v>
      </c>
      <c r="L750">
        <v>667.92</v>
      </c>
      <c r="M750" t="s">
        <v>44</v>
      </c>
      <c r="N750" t="s">
        <v>23</v>
      </c>
      <c r="O750" t="str">
        <f t="shared" si="66"/>
        <v>13/05/2024</v>
      </c>
      <c r="P750">
        <f t="shared" si="67"/>
        <v>2024</v>
      </c>
      <c r="Q750">
        <f t="shared" si="68"/>
        <v>5</v>
      </c>
      <c r="R750" t="str">
        <f t="shared" si="69"/>
        <v>May</v>
      </c>
      <c r="S750" t="str">
        <f t="shared" si="70"/>
        <v>Low</v>
      </c>
      <c r="T750" s="1">
        <f t="shared" si="71"/>
        <v>0.10771791298962687</v>
      </c>
      <c r="U750">
        <f>SUM($I$2:I750)</f>
        <v>2620543.5199999972</v>
      </c>
      <c r="V750" s="1">
        <f>Table1[[#This Row],[Running total ]]/SUM(I:I)</f>
        <v>0.75619030535054654</v>
      </c>
    </row>
    <row r="751" spans="1:22" x14ac:dyDescent="0.3">
      <c r="A751" t="s">
        <v>1509</v>
      </c>
      <c r="B751" t="s">
        <v>313</v>
      </c>
      <c r="C751" t="s">
        <v>618</v>
      </c>
      <c r="D751" t="s">
        <v>27</v>
      </c>
      <c r="E751" t="s">
        <v>61</v>
      </c>
      <c r="F751" t="s">
        <v>67</v>
      </c>
      <c r="G751" t="s">
        <v>115</v>
      </c>
      <c r="H751" t="s">
        <v>178</v>
      </c>
      <c r="I751">
        <v>4179.6499999999996</v>
      </c>
      <c r="J751">
        <v>5</v>
      </c>
      <c r="K751" s="1">
        <v>0.1</v>
      </c>
      <c r="L751">
        <v>839.19</v>
      </c>
      <c r="M751" t="s">
        <v>44</v>
      </c>
      <c r="N751" t="s">
        <v>23</v>
      </c>
      <c r="O751" t="str">
        <f t="shared" si="66"/>
        <v>21/04/2025</v>
      </c>
      <c r="P751">
        <f t="shared" si="67"/>
        <v>2025</v>
      </c>
      <c r="Q751">
        <f t="shared" si="68"/>
        <v>4</v>
      </c>
      <c r="R751" t="str">
        <f t="shared" si="69"/>
        <v>April</v>
      </c>
      <c r="S751" t="str">
        <f t="shared" si="70"/>
        <v>Low</v>
      </c>
      <c r="T751" s="1">
        <f t="shared" si="71"/>
        <v>0.2007799696146807</v>
      </c>
      <c r="U751">
        <f>SUM($I$2:I751)</f>
        <v>2624723.1699999971</v>
      </c>
      <c r="V751" s="1">
        <f>Table1[[#This Row],[Running total ]]/SUM(I:I)</f>
        <v>0.75739639515048174</v>
      </c>
    </row>
    <row r="752" spans="1:22" x14ac:dyDescent="0.3">
      <c r="A752" t="s">
        <v>1510</v>
      </c>
      <c r="B752" t="s">
        <v>612</v>
      </c>
      <c r="C752" t="s">
        <v>205</v>
      </c>
      <c r="D752" t="s">
        <v>137</v>
      </c>
      <c r="E752" t="s">
        <v>142</v>
      </c>
      <c r="F752" t="s">
        <v>67</v>
      </c>
      <c r="G752" t="s">
        <v>85</v>
      </c>
      <c r="H752" t="s">
        <v>253</v>
      </c>
      <c r="I752">
        <v>82.72</v>
      </c>
      <c r="J752">
        <v>4</v>
      </c>
      <c r="K752" s="1">
        <v>0.1</v>
      </c>
      <c r="L752">
        <v>26.42</v>
      </c>
      <c r="M752" t="s">
        <v>38</v>
      </c>
      <c r="N752" t="s">
        <v>39</v>
      </c>
      <c r="O752" t="str">
        <f t="shared" si="66"/>
        <v>11/11/2025</v>
      </c>
      <c r="P752">
        <f t="shared" si="67"/>
        <v>2025</v>
      </c>
      <c r="Q752">
        <f t="shared" si="68"/>
        <v>11</v>
      </c>
      <c r="R752" t="str">
        <f t="shared" si="69"/>
        <v>November</v>
      </c>
      <c r="S752" t="str">
        <f t="shared" si="70"/>
        <v>Low</v>
      </c>
      <c r="T752" s="1">
        <f t="shared" si="71"/>
        <v>0.31939071566731142</v>
      </c>
      <c r="U752">
        <f>SUM($I$2:I752)</f>
        <v>2624805.8899999973</v>
      </c>
      <c r="V752" s="1">
        <f>Table1[[#This Row],[Running total ]]/SUM(I:I)</f>
        <v>0.75742026503151261</v>
      </c>
    </row>
    <row r="753" spans="1:22" x14ac:dyDescent="0.3">
      <c r="A753" t="s">
        <v>1511</v>
      </c>
      <c r="B753" t="s">
        <v>405</v>
      </c>
      <c r="C753" t="s">
        <v>378</v>
      </c>
      <c r="D753" t="s">
        <v>48</v>
      </c>
      <c r="E753" t="s">
        <v>73</v>
      </c>
      <c r="F753" t="s">
        <v>19</v>
      </c>
      <c r="G753" t="s">
        <v>36</v>
      </c>
      <c r="H753" t="s">
        <v>37</v>
      </c>
      <c r="I753">
        <v>2154.6</v>
      </c>
      <c r="J753">
        <v>4</v>
      </c>
      <c r="K753" s="1">
        <v>0.1</v>
      </c>
      <c r="L753">
        <v>354.4</v>
      </c>
      <c r="M753" t="s">
        <v>143</v>
      </c>
      <c r="N753" t="s">
        <v>23</v>
      </c>
      <c r="O753" t="str">
        <f t="shared" si="66"/>
        <v>24/12/2025</v>
      </c>
      <c r="P753">
        <f t="shared" si="67"/>
        <v>2025</v>
      </c>
      <c r="Q753">
        <f t="shared" si="68"/>
        <v>12</v>
      </c>
      <c r="R753" t="str">
        <f t="shared" si="69"/>
        <v>December</v>
      </c>
      <c r="S753" t="str">
        <f t="shared" si="70"/>
        <v>Low</v>
      </c>
      <c r="T753" s="1">
        <f t="shared" si="71"/>
        <v>0.16448528729230483</v>
      </c>
      <c r="U753">
        <f>SUM($I$2:I753)</f>
        <v>2626960.4899999974</v>
      </c>
      <c r="V753" s="1">
        <f>Table1[[#This Row],[Running total ]]/SUM(I:I)</f>
        <v>0.75804200156039436</v>
      </c>
    </row>
    <row r="754" spans="1:22" x14ac:dyDescent="0.3">
      <c r="A754" t="s">
        <v>1512</v>
      </c>
      <c r="B754" t="s">
        <v>71</v>
      </c>
      <c r="C754" t="s">
        <v>1513</v>
      </c>
      <c r="D754" t="s">
        <v>48</v>
      </c>
      <c r="E754" t="s">
        <v>110</v>
      </c>
      <c r="F754" t="s">
        <v>19</v>
      </c>
      <c r="G754" t="s">
        <v>20</v>
      </c>
      <c r="H754" t="s">
        <v>347</v>
      </c>
      <c r="I754">
        <v>4813.68</v>
      </c>
      <c r="J754">
        <v>6</v>
      </c>
      <c r="K754" s="1">
        <v>0.05</v>
      </c>
      <c r="L754">
        <v>1324.31</v>
      </c>
      <c r="M754" t="s">
        <v>107</v>
      </c>
      <c r="N754" t="s">
        <v>23</v>
      </c>
      <c r="O754" t="str">
        <f t="shared" si="66"/>
        <v>02/10/2024</v>
      </c>
      <c r="P754">
        <f t="shared" si="67"/>
        <v>2024</v>
      </c>
      <c r="Q754">
        <f t="shared" si="68"/>
        <v>10</v>
      </c>
      <c r="R754" t="str">
        <f t="shared" si="69"/>
        <v>October</v>
      </c>
      <c r="S754" t="str">
        <f t="shared" si="70"/>
        <v>High</v>
      </c>
      <c r="T754" s="1">
        <f t="shared" si="71"/>
        <v>0.27511384221635005</v>
      </c>
      <c r="U754">
        <f>SUM($I$2:I754)</f>
        <v>2631774.1699999976</v>
      </c>
      <c r="V754" s="1">
        <f>Table1[[#This Row],[Running total ]]/SUM(I:I)</f>
        <v>0.75943104857345833</v>
      </c>
    </row>
    <row r="755" spans="1:22" x14ac:dyDescent="0.3">
      <c r="A755" t="s">
        <v>1514</v>
      </c>
      <c r="B755" t="s">
        <v>665</v>
      </c>
      <c r="C755" t="s">
        <v>297</v>
      </c>
      <c r="D755" t="s">
        <v>27</v>
      </c>
      <c r="E755" t="s">
        <v>43</v>
      </c>
      <c r="F755" t="s">
        <v>67</v>
      </c>
      <c r="G755" t="s">
        <v>85</v>
      </c>
      <c r="H755" t="s">
        <v>86</v>
      </c>
      <c r="I755">
        <v>3681.04</v>
      </c>
      <c r="J755">
        <v>4</v>
      </c>
      <c r="K755" s="1">
        <v>0</v>
      </c>
      <c r="L755">
        <v>1395.99</v>
      </c>
      <c r="M755" t="s">
        <v>38</v>
      </c>
      <c r="N755" t="s">
        <v>32</v>
      </c>
      <c r="O755" t="str">
        <f t="shared" si="66"/>
        <v>18/07/2024</v>
      </c>
      <c r="P755">
        <f t="shared" si="67"/>
        <v>2024</v>
      </c>
      <c r="Q755">
        <f t="shared" si="68"/>
        <v>7</v>
      </c>
      <c r="R755" t="str">
        <f t="shared" si="69"/>
        <v>July</v>
      </c>
      <c r="S755" t="str">
        <f t="shared" si="70"/>
        <v>No Discount</v>
      </c>
      <c r="T755" s="1">
        <f t="shared" si="71"/>
        <v>0.37923793275813356</v>
      </c>
      <c r="U755">
        <f>SUM($I$2:I755)</f>
        <v>2635455.2099999976</v>
      </c>
      <c r="V755" s="1">
        <f>Table1[[#This Row],[Running total ]]/SUM(I:I)</f>
        <v>0.76049325827933167</v>
      </c>
    </row>
    <row r="756" spans="1:22" x14ac:dyDescent="0.3">
      <c r="A756" t="s">
        <v>1515</v>
      </c>
      <c r="B756" t="s">
        <v>397</v>
      </c>
      <c r="C756" t="s">
        <v>1508</v>
      </c>
      <c r="D756" t="s">
        <v>48</v>
      </c>
      <c r="E756" t="s">
        <v>73</v>
      </c>
      <c r="F756" t="s">
        <v>67</v>
      </c>
      <c r="G756" t="s">
        <v>68</v>
      </c>
      <c r="H756" t="s">
        <v>69</v>
      </c>
      <c r="I756">
        <v>1204.68</v>
      </c>
      <c r="J756">
        <v>4</v>
      </c>
      <c r="K756" s="1">
        <v>0.25</v>
      </c>
      <c r="L756">
        <v>85.7</v>
      </c>
      <c r="M756" t="s">
        <v>195</v>
      </c>
      <c r="N756" t="s">
        <v>23</v>
      </c>
      <c r="O756" t="str">
        <f t="shared" si="66"/>
        <v>28/07/2025</v>
      </c>
      <c r="P756">
        <f t="shared" si="67"/>
        <v>2025</v>
      </c>
      <c r="Q756">
        <f t="shared" si="68"/>
        <v>7</v>
      </c>
      <c r="R756" t="str">
        <f t="shared" si="69"/>
        <v>July</v>
      </c>
      <c r="S756" t="str">
        <f t="shared" si="70"/>
        <v>Low</v>
      </c>
      <c r="T756" s="1">
        <f t="shared" si="71"/>
        <v>7.1139223694259054E-2</v>
      </c>
      <c r="U756">
        <f>SUM($I$2:I756)</f>
        <v>2636659.8899999978</v>
      </c>
      <c r="V756" s="1">
        <f>Table1[[#This Row],[Running total ]]/SUM(I:I)</f>
        <v>0.76084088362121105</v>
      </c>
    </row>
    <row r="757" spans="1:22" x14ac:dyDescent="0.3">
      <c r="A757" t="s">
        <v>1516</v>
      </c>
      <c r="B757" t="s">
        <v>1517</v>
      </c>
      <c r="C757" t="s">
        <v>1508</v>
      </c>
      <c r="D757" t="s">
        <v>17</v>
      </c>
      <c r="E757" t="s">
        <v>80</v>
      </c>
      <c r="F757" t="s">
        <v>19</v>
      </c>
      <c r="G757" t="s">
        <v>29</v>
      </c>
      <c r="H757" t="s">
        <v>199</v>
      </c>
      <c r="I757">
        <v>715.54</v>
      </c>
      <c r="J757">
        <v>7</v>
      </c>
      <c r="K757" s="1">
        <v>0.25</v>
      </c>
      <c r="L757">
        <v>-42.17</v>
      </c>
      <c r="M757" t="s">
        <v>195</v>
      </c>
      <c r="N757" t="s">
        <v>39</v>
      </c>
      <c r="O757" t="str">
        <f t="shared" si="66"/>
        <v>05/10/2024</v>
      </c>
      <c r="P757">
        <f t="shared" si="67"/>
        <v>2024</v>
      </c>
      <c r="Q757">
        <f t="shared" si="68"/>
        <v>10</v>
      </c>
      <c r="R757" t="str">
        <f t="shared" si="69"/>
        <v>October</v>
      </c>
      <c r="S757" t="str">
        <f t="shared" si="70"/>
        <v>Low</v>
      </c>
      <c r="T757" s="1">
        <f t="shared" si="71"/>
        <v>-5.893451099868631E-2</v>
      </c>
      <c r="U757">
        <f>SUM($I$2:I757)</f>
        <v>2637375.4299999978</v>
      </c>
      <c r="V757" s="1">
        <f>Table1[[#This Row],[Running total ]]/SUM(I:I)</f>
        <v>0.76104736155487673</v>
      </c>
    </row>
    <row r="758" spans="1:22" x14ac:dyDescent="0.3">
      <c r="A758" t="s">
        <v>1518</v>
      </c>
      <c r="B758" t="s">
        <v>214</v>
      </c>
      <c r="C758" t="s">
        <v>1106</v>
      </c>
      <c r="D758" t="s">
        <v>48</v>
      </c>
      <c r="E758" t="s">
        <v>110</v>
      </c>
      <c r="F758" t="s">
        <v>55</v>
      </c>
      <c r="G758" t="s">
        <v>56</v>
      </c>
      <c r="H758" t="s">
        <v>57</v>
      </c>
      <c r="I758">
        <v>740.48</v>
      </c>
      <c r="J758">
        <v>2</v>
      </c>
      <c r="K758" s="1">
        <v>0.05</v>
      </c>
      <c r="L758">
        <v>154.49</v>
      </c>
      <c r="M758" t="s">
        <v>63</v>
      </c>
      <c r="N758" t="s">
        <v>39</v>
      </c>
      <c r="O758" t="str">
        <f t="shared" si="66"/>
        <v>26/11/2025</v>
      </c>
      <c r="P758">
        <f t="shared" si="67"/>
        <v>2025</v>
      </c>
      <c r="Q758">
        <f t="shared" si="68"/>
        <v>11</v>
      </c>
      <c r="R758" t="str">
        <f t="shared" si="69"/>
        <v>November</v>
      </c>
      <c r="S758" t="str">
        <f t="shared" si="70"/>
        <v>High</v>
      </c>
      <c r="T758" s="1">
        <f t="shared" si="71"/>
        <v>0.20863493949870354</v>
      </c>
      <c r="U758">
        <f>SUM($I$2:I758)</f>
        <v>2638115.9099999978</v>
      </c>
      <c r="V758" s="1">
        <f>Table1[[#This Row],[Running total ]]/SUM(I:I)</f>
        <v>0.76126103623458818</v>
      </c>
    </row>
    <row r="759" spans="1:22" x14ac:dyDescent="0.3">
      <c r="A759" t="s">
        <v>1519</v>
      </c>
      <c r="B759" t="s">
        <v>444</v>
      </c>
      <c r="C759" t="s">
        <v>966</v>
      </c>
      <c r="D759" t="s">
        <v>27</v>
      </c>
      <c r="E759" t="s">
        <v>43</v>
      </c>
      <c r="F759" t="s">
        <v>19</v>
      </c>
      <c r="G759" t="s">
        <v>36</v>
      </c>
      <c r="H759" t="s">
        <v>222</v>
      </c>
      <c r="I759">
        <v>7640.08</v>
      </c>
      <c r="J759">
        <v>7</v>
      </c>
      <c r="K759" s="1">
        <v>0.05</v>
      </c>
      <c r="L759">
        <v>494.35</v>
      </c>
      <c r="M759" t="s">
        <v>44</v>
      </c>
      <c r="N759" t="s">
        <v>39</v>
      </c>
      <c r="O759" t="str">
        <f t="shared" si="66"/>
        <v>06/12/2025</v>
      </c>
      <c r="P759">
        <f t="shared" si="67"/>
        <v>2025</v>
      </c>
      <c r="Q759">
        <f t="shared" si="68"/>
        <v>12</v>
      </c>
      <c r="R759" t="str">
        <f t="shared" si="69"/>
        <v>December</v>
      </c>
      <c r="S759" t="str">
        <f t="shared" si="70"/>
        <v>High</v>
      </c>
      <c r="T759" s="1">
        <f t="shared" si="71"/>
        <v>6.4704819844818379E-2</v>
      </c>
      <c r="U759">
        <f>SUM($I$2:I759)</f>
        <v>2645755.9899999979</v>
      </c>
      <c r="V759" s="1">
        <f>Table1[[#This Row],[Running total ]]/SUM(I:I)</f>
        <v>0.76346567599119208</v>
      </c>
    </row>
    <row r="760" spans="1:22" x14ac:dyDescent="0.3">
      <c r="A760" t="s">
        <v>1520</v>
      </c>
      <c r="B760" t="s">
        <v>968</v>
      </c>
      <c r="C760" t="s">
        <v>1072</v>
      </c>
      <c r="D760" t="s">
        <v>137</v>
      </c>
      <c r="E760" t="s">
        <v>142</v>
      </c>
      <c r="F760" t="s">
        <v>67</v>
      </c>
      <c r="G760" t="s">
        <v>115</v>
      </c>
      <c r="H760" t="s">
        <v>116</v>
      </c>
      <c r="I760">
        <v>5272.68</v>
      </c>
      <c r="J760">
        <v>7</v>
      </c>
      <c r="K760" s="1">
        <v>0.25</v>
      </c>
      <c r="L760">
        <v>915.73</v>
      </c>
      <c r="M760" t="s">
        <v>195</v>
      </c>
      <c r="N760" t="s">
        <v>39</v>
      </c>
      <c r="O760" t="str">
        <f t="shared" si="66"/>
        <v>04/12/2025</v>
      </c>
      <c r="P760">
        <f t="shared" si="67"/>
        <v>2025</v>
      </c>
      <c r="Q760">
        <f t="shared" si="68"/>
        <v>12</v>
      </c>
      <c r="R760" t="str">
        <f t="shared" si="69"/>
        <v>December</v>
      </c>
      <c r="S760" t="str">
        <f t="shared" si="70"/>
        <v>Low</v>
      </c>
      <c r="T760" s="1">
        <f t="shared" si="71"/>
        <v>0.17367448811610034</v>
      </c>
      <c r="U760">
        <f>SUM($I$2:I760)</f>
        <v>2651028.6699999981</v>
      </c>
      <c r="V760" s="1">
        <f>Table1[[#This Row],[Running total ]]/SUM(I:I)</f>
        <v>0.76498717314198772</v>
      </c>
    </row>
    <row r="761" spans="1:22" x14ac:dyDescent="0.3">
      <c r="A761" t="s">
        <v>1521</v>
      </c>
      <c r="B761" t="s">
        <v>470</v>
      </c>
      <c r="C761" t="s">
        <v>408</v>
      </c>
      <c r="D761" t="s">
        <v>17</v>
      </c>
      <c r="E761" t="s">
        <v>54</v>
      </c>
      <c r="F761" t="s">
        <v>55</v>
      </c>
      <c r="G761" t="s">
        <v>98</v>
      </c>
      <c r="H761" t="s">
        <v>99</v>
      </c>
      <c r="I761">
        <v>462.48</v>
      </c>
      <c r="J761">
        <v>2</v>
      </c>
      <c r="K761" s="1">
        <v>0</v>
      </c>
      <c r="L761">
        <v>93.63</v>
      </c>
      <c r="M761" t="s">
        <v>107</v>
      </c>
      <c r="N761" t="s">
        <v>23</v>
      </c>
      <c r="O761" t="str">
        <f t="shared" si="66"/>
        <v>23/07/2024</v>
      </c>
      <c r="P761">
        <f t="shared" si="67"/>
        <v>2024</v>
      </c>
      <c r="Q761">
        <f t="shared" si="68"/>
        <v>7</v>
      </c>
      <c r="R761" t="str">
        <f t="shared" si="69"/>
        <v>July</v>
      </c>
      <c r="S761" t="str">
        <f t="shared" si="70"/>
        <v>No Discount</v>
      </c>
      <c r="T761" s="1">
        <f t="shared" si="71"/>
        <v>0.20245199792423454</v>
      </c>
      <c r="U761">
        <f>SUM($I$2:I761)</f>
        <v>2651491.149999998</v>
      </c>
      <c r="V761" s="1">
        <f>Table1[[#This Row],[Running total ]]/SUM(I:I)</f>
        <v>0.76512062747684206</v>
      </c>
    </row>
    <row r="762" spans="1:22" x14ac:dyDescent="0.3">
      <c r="A762" t="s">
        <v>1522</v>
      </c>
      <c r="B762" t="s">
        <v>1523</v>
      </c>
      <c r="C762" t="s">
        <v>864</v>
      </c>
      <c r="D762" t="s">
        <v>137</v>
      </c>
      <c r="E762" t="s">
        <v>242</v>
      </c>
      <c r="F762" t="s">
        <v>67</v>
      </c>
      <c r="G762" t="s">
        <v>68</v>
      </c>
      <c r="H762" t="s">
        <v>382</v>
      </c>
      <c r="I762">
        <v>11579</v>
      </c>
      <c r="J762">
        <v>10</v>
      </c>
      <c r="K762" s="1">
        <v>0.05</v>
      </c>
      <c r="L762">
        <v>2792.93</v>
      </c>
      <c r="M762" t="s">
        <v>44</v>
      </c>
      <c r="N762" t="s">
        <v>76</v>
      </c>
      <c r="O762" t="str">
        <f t="shared" si="66"/>
        <v>09/07/2025</v>
      </c>
      <c r="P762">
        <f t="shared" si="67"/>
        <v>2025</v>
      </c>
      <c r="Q762">
        <f t="shared" si="68"/>
        <v>7</v>
      </c>
      <c r="R762" t="str">
        <f t="shared" si="69"/>
        <v>July</v>
      </c>
      <c r="S762" t="str">
        <f t="shared" si="70"/>
        <v>High</v>
      </c>
      <c r="T762" s="1">
        <f t="shared" si="71"/>
        <v>0.24120649451593401</v>
      </c>
      <c r="U762">
        <f>SUM($I$2:I762)</f>
        <v>2663070.149999998</v>
      </c>
      <c r="V762" s="1">
        <f>Table1[[#This Row],[Running total ]]/SUM(I:I)</f>
        <v>0.7684618914088579</v>
      </c>
    </row>
    <row r="763" spans="1:22" x14ac:dyDescent="0.3">
      <c r="A763" t="s">
        <v>1524</v>
      </c>
      <c r="B763" t="s">
        <v>1525</v>
      </c>
      <c r="C763" t="s">
        <v>434</v>
      </c>
      <c r="D763" t="s">
        <v>17</v>
      </c>
      <c r="E763" t="s">
        <v>54</v>
      </c>
      <c r="F763" t="s">
        <v>19</v>
      </c>
      <c r="G763" t="s">
        <v>29</v>
      </c>
      <c r="H763" t="s">
        <v>50</v>
      </c>
      <c r="I763">
        <v>2221.6799999999998</v>
      </c>
      <c r="J763">
        <v>4</v>
      </c>
      <c r="K763" s="1">
        <v>0.3</v>
      </c>
      <c r="L763">
        <v>-422.62</v>
      </c>
      <c r="M763" t="s">
        <v>143</v>
      </c>
      <c r="N763" t="s">
        <v>76</v>
      </c>
      <c r="O763" t="str">
        <f t="shared" si="66"/>
        <v>04/04/2024</v>
      </c>
      <c r="P763">
        <f t="shared" si="67"/>
        <v>2024</v>
      </c>
      <c r="Q763">
        <f t="shared" si="68"/>
        <v>4</v>
      </c>
      <c r="R763" t="str">
        <f t="shared" si="69"/>
        <v>April</v>
      </c>
      <c r="S763" t="str">
        <f t="shared" si="70"/>
        <v>Low</v>
      </c>
      <c r="T763" s="1">
        <f t="shared" si="71"/>
        <v>-0.19022541500126033</v>
      </c>
      <c r="U763">
        <f>SUM($I$2:I763)</f>
        <v>2665291.8299999982</v>
      </c>
      <c r="V763" s="1">
        <f>Table1[[#This Row],[Running total ]]/SUM(I:I)</f>
        <v>0.76910298470296634</v>
      </c>
    </row>
    <row r="764" spans="1:22" x14ac:dyDescent="0.3">
      <c r="A764" t="s">
        <v>1526</v>
      </c>
      <c r="B764" t="s">
        <v>1527</v>
      </c>
      <c r="C764" t="s">
        <v>238</v>
      </c>
      <c r="D764" t="s">
        <v>27</v>
      </c>
      <c r="E764" t="s">
        <v>43</v>
      </c>
      <c r="F764" t="s">
        <v>19</v>
      </c>
      <c r="G764" t="s">
        <v>20</v>
      </c>
      <c r="H764" t="s">
        <v>239</v>
      </c>
      <c r="I764">
        <v>4955.28</v>
      </c>
      <c r="J764">
        <v>6</v>
      </c>
      <c r="K764" s="1">
        <v>0.25</v>
      </c>
      <c r="L764">
        <v>-849.92</v>
      </c>
      <c r="M764" t="s">
        <v>117</v>
      </c>
      <c r="N764" t="s">
        <v>23</v>
      </c>
      <c r="O764" t="str">
        <f t="shared" si="66"/>
        <v>09/03/2024</v>
      </c>
      <c r="P764">
        <f t="shared" si="67"/>
        <v>2024</v>
      </c>
      <c r="Q764">
        <f t="shared" si="68"/>
        <v>3</v>
      </c>
      <c r="R764" t="str">
        <f t="shared" si="69"/>
        <v>March</v>
      </c>
      <c r="S764" t="str">
        <f t="shared" si="70"/>
        <v>Low</v>
      </c>
      <c r="T764" s="1">
        <f t="shared" si="71"/>
        <v>-0.17151805750633667</v>
      </c>
      <c r="U764">
        <f>SUM($I$2:I764)</f>
        <v>2670247.109999998</v>
      </c>
      <c r="V764" s="1">
        <f>Table1[[#This Row],[Running total ]]/SUM(I:I)</f>
        <v>0.77053289215067677</v>
      </c>
    </row>
    <row r="765" spans="1:22" x14ac:dyDescent="0.3">
      <c r="A765" t="s">
        <v>1528</v>
      </c>
      <c r="B765" t="s">
        <v>156</v>
      </c>
      <c r="C765" t="s">
        <v>843</v>
      </c>
      <c r="D765" t="s">
        <v>48</v>
      </c>
      <c r="E765" t="s">
        <v>73</v>
      </c>
      <c r="F765" t="s">
        <v>55</v>
      </c>
      <c r="G765" t="s">
        <v>98</v>
      </c>
      <c r="H765" t="s">
        <v>99</v>
      </c>
      <c r="I765">
        <v>1514.52</v>
      </c>
      <c r="J765">
        <v>3</v>
      </c>
      <c r="K765" s="1">
        <v>0.15</v>
      </c>
      <c r="L765">
        <v>445.91</v>
      </c>
      <c r="M765" t="s">
        <v>87</v>
      </c>
      <c r="N765" t="s">
        <v>32</v>
      </c>
      <c r="O765" t="str">
        <f t="shared" si="66"/>
        <v>04/01/2024</v>
      </c>
      <c r="P765">
        <f t="shared" si="67"/>
        <v>2024</v>
      </c>
      <c r="Q765">
        <f t="shared" si="68"/>
        <v>1</v>
      </c>
      <c r="R765" t="str">
        <f t="shared" si="69"/>
        <v>January</v>
      </c>
      <c r="S765" t="str">
        <f t="shared" si="70"/>
        <v>Low</v>
      </c>
      <c r="T765" s="1">
        <f t="shared" si="71"/>
        <v>0.29442331563795793</v>
      </c>
      <c r="U765">
        <f>SUM($I$2:I765)</f>
        <v>2671761.629999998</v>
      </c>
      <c r="V765" s="1">
        <f>Table1[[#This Row],[Running total ]]/SUM(I:I)</f>
        <v>0.77096992566396094</v>
      </c>
    </row>
    <row r="766" spans="1:22" x14ac:dyDescent="0.3">
      <c r="A766" t="s">
        <v>1529</v>
      </c>
      <c r="B766" t="s">
        <v>307</v>
      </c>
      <c r="C766" t="s">
        <v>297</v>
      </c>
      <c r="D766" t="s">
        <v>27</v>
      </c>
      <c r="E766" t="s">
        <v>61</v>
      </c>
      <c r="F766" t="s">
        <v>55</v>
      </c>
      <c r="G766" t="s">
        <v>74</v>
      </c>
      <c r="H766" t="s">
        <v>272</v>
      </c>
      <c r="I766">
        <v>3465.36</v>
      </c>
      <c r="J766">
        <v>8</v>
      </c>
      <c r="K766" s="1">
        <v>0.1</v>
      </c>
      <c r="L766">
        <v>1181.2</v>
      </c>
      <c r="M766" t="s">
        <v>44</v>
      </c>
      <c r="N766" t="s">
        <v>39</v>
      </c>
      <c r="O766" t="str">
        <f t="shared" si="66"/>
        <v>30/04/2025</v>
      </c>
      <c r="P766">
        <f t="shared" si="67"/>
        <v>2025</v>
      </c>
      <c r="Q766">
        <f t="shared" si="68"/>
        <v>4</v>
      </c>
      <c r="R766" t="str">
        <f t="shared" si="69"/>
        <v>April</v>
      </c>
      <c r="S766" t="str">
        <f t="shared" si="70"/>
        <v>Low</v>
      </c>
      <c r="T766" s="1">
        <f t="shared" si="71"/>
        <v>0.34085924694692615</v>
      </c>
      <c r="U766">
        <f>SUM($I$2:I766)</f>
        <v>2675226.9899999979</v>
      </c>
      <c r="V766" s="1">
        <f>Table1[[#This Row],[Running total ]]/SUM(I:I)</f>
        <v>0.77196989823321993</v>
      </c>
    </row>
    <row r="767" spans="1:22" x14ac:dyDescent="0.3">
      <c r="A767" t="s">
        <v>1530</v>
      </c>
      <c r="B767" t="s">
        <v>1039</v>
      </c>
      <c r="C767" t="s">
        <v>215</v>
      </c>
      <c r="D767" t="s">
        <v>48</v>
      </c>
      <c r="E767" t="s">
        <v>84</v>
      </c>
      <c r="F767" t="s">
        <v>55</v>
      </c>
      <c r="G767" t="s">
        <v>74</v>
      </c>
      <c r="H767" t="s">
        <v>75</v>
      </c>
      <c r="I767">
        <v>201.54</v>
      </c>
      <c r="J767">
        <v>6</v>
      </c>
      <c r="K767" s="1">
        <v>0.3</v>
      </c>
      <c r="L767">
        <v>26.21</v>
      </c>
      <c r="M767" t="s">
        <v>195</v>
      </c>
      <c r="N767" t="s">
        <v>32</v>
      </c>
      <c r="O767" t="str">
        <f t="shared" si="66"/>
        <v>08/11/2024</v>
      </c>
      <c r="P767">
        <f t="shared" si="67"/>
        <v>2024</v>
      </c>
      <c r="Q767">
        <f t="shared" si="68"/>
        <v>11</v>
      </c>
      <c r="R767" t="str">
        <f t="shared" si="69"/>
        <v>November</v>
      </c>
      <c r="S767" t="str">
        <f t="shared" si="70"/>
        <v>Low</v>
      </c>
      <c r="T767" s="1">
        <f t="shared" si="71"/>
        <v>0.13004862558301084</v>
      </c>
      <c r="U767">
        <f>SUM($I$2:I767)</f>
        <v>2675428.5299999979</v>
      </c>
      <c r="V767" s="1">
        <f>Table1[[#This Row],[Running total ]]/SUM(I:I)</f>
        <v>0.7720280550976174</v>
      </c>
    </row>
    <row r="768" spans="1:22" x14ac:dyDescent="0.3">
      <c r="A768" t="s">
        <v>1531</v>
      </c>
      <c r="B768" t="s">
        <v>1129</v>
      </c>
      <c r="C768" t="s">
        <v>932</v>
      </c>
      <c r="D768" t="s">
        <v>17</v>
      </c>
      <c r="E768" t="s">
        <v>54</v>
      </c>
      <c r="F768" t="s">
        <v>55</v>
      </c>
      <c r="G768" t="s">
        <v>56</v>
      </c>
      <c r="H768" t="s">
        <v>62</v>
      </c>
      <c r="I768">
        <v>8638.3799999999992</v>
      </c>
      <c r="J768">
        <v>9</v>
      </c>
      <c r="K768" s="1">
        <v>0.15</v>
      </c>
      <c r="L768">
        <v>1225.52</v>
      </c>
      <c r="M768" t="s">
        <v>44</v>
      </c>
      <c r="N768" t="s">
        <v>76</v>
      </c>
      <c r="O768" t="str">
        <f t="shared" si="66"/>
        <v>12/03/2024</v>
      </c>
      <c r="P768">
        <f t="shared" si="67"/>
        <v>2024</v>
      </c>
      <c r="Q768">
        <f t="shared" si="68"/>
        <v>3</v>
      </c>
      <c r="R768" t="str">
        <f t="shared" si="69"/>
        <v>March</v>
      </c>
      <c r="S768" t="str">
        <f t="shared" si="70"/>
        <v>Low</v>
      </c>
      <c r="T768" s="1">
        <f t="shared" si="71"/>
        <v>0.14186919306629253</v>
      </c>
      <c r="U768">
        <f>SUM($I$2:I768)</f>
        <v>2684066.9099999978</v>
      </c>
      <c r="V768" s="1">
        <f>Table1[[#This Row],[Running total ]]/SUM(I:I)</f>
        <v>0.77452076668972791</v>
      </c>
    </row>
    <row r="769" spans="1:22" x14ac:dyDescent="0.3">
      <c r="A769" t="s">
        <v>1532</v>
      </c>
      <c r="B769" t="s">
        <v>1533</v>
      </c>
      <c r="C769" t="s">
        <v>343</v>
      </c>
      <c r="D769" t="s">
        <v>137</v>
      </c>
      <c r="E769" t="s">
        <v>242</v>
      </c>
      <c r="F769" t="s">
        <v>19</v>
      </c>
      <c r="G769" t="s">
        <v>29</v>
      </c>
      <c r="H769" t="s">
        <v>50</v>
      </c>
      <c r="I769">
        <v>2137.08</v>
      </c>
      <c r="J769">
        <v>3</v>
      </c>
      <c r="K769" s="1">
        <v>0.15</v>
      </c>
      <c r="L769">
        <v>261.5</v>
      </c>
      <c r="M769" t="s">
        <v>44</v>
      </c>
      <c r="N769" t="s">
        <v>39</v>
      </c>
      <c r="O769" t="str">
        <f t="shared" si="66"/>
        <v>04/06/2025</v>
      </c>
      <c r="P769">
        <f t="shared" si="67"/>
        <v>2025</v>
      </c>
      <c r="Q769">
        <f t="shared" si="68"/>
        <v>6</v>
      </c>
      <c r="R769" t="str">
        <f t="shared" si="69"/>
        <v>June</v>
      </c>
      <c r="S769" t="str">
        <f t="shared" si="70"/>
        <v>Low</v>
      </c>
      <c r="T769" s="1">
        <f t="shared" si="71"/>
        <v>0.12236322458681941</v>
      </c>
      <c r="U769">
        <f>SUM($I$2:I769)</f>
        <v>2686203.9899999979</v>
      </c>
      <c r="V769" s="1">
        <f>Table1[[#This Row],[Running total ]]/SUM(I:I)</f>
        <v>0.77513744760550929</v>
      </c>
    </row>
    <row r="770" spans="1:22" x14ac:dyDescent="0.3">
      <c r="A770" t="s">
        <v>1534</v>
      </c>
      <c r="B770" t="s">
        <v>472</v>
      </c>
      <c r="C770" t="s">
        <v>1006</v>
      </c>
      <c r="D770" t="s">
        <v>48</v>
      </c>
      <c r="E770" t="s">
        <v>84</v>
      </c>
      <c r="F770" t="s">
        <v>67</v>
      </c>
      <c r="G770" t="s">
        <v>85</v>
      </c>
      <c r="H770" t="s">
        <v>125</v>
      </c>
      <c r="I770">
        <v>140.57</v>
      </c>
      <c r="J770">
        <v>1</v>
      </c>
      <c r="K770" s="1">
        <v>0.1</v>
      </c>
      <c r="L770">
        <v>-6.02</v>
      </c>
      <c r="M770" t="s">
        <v>117</v>
      </c>
      <c r="N770" t="s">
        <v>32</v>
      </c>
      <c r="O770" t="str">
        <f t="shared" si="66"/>
        <v>07/08/2025</v>
      </c>
      <c r="P770">
        <f t="shared" si="67"/>
        <v>2025</v>
      </c>
      <c r="Q770">
        <f t="shared" si="68"/>
        <v>8</v>
      </c>
      <c r="R770" t="str">
        <f t="shared" si="69"/>
        <v>August</v>
      </c>
      <c r="S770" t="str">
        <f t="shared" si="70"/>
        <v>Low</v>
      </c>
      <c r="T770" s="1">
        <f t="shared" si="71"/>
        <v>-4.2825638471935691E-2</v>
      </c>
      <c r="U770">
        <f>SUM($I$2:I770)</f>
        <v>2686344.5599999977</v>
      </c>
      <c r="V770" s="1">
        <f>Table1[[#This Row],[Running total ]]/SUM(I:I)</f>
        <v>0.77517801082089255</v>
      </c>
    </row>
    <row r="771" spans="1:22" x14ac:dyDescent="0.3">
      <c r="A771" t="s">
        <v>1535</v>
      </c>
      <c r="B771" t="s">
        <v>220</v>
      </c>
      <c r="C771" t="s">
        <v>262</v>
      </c>
      <c r="D771" t="s">
        <v>48</v>
      </c>
      <c r="E771" t="s">
        <v>110</v>
      </c>
      <c r="F771" t="s">
        <v>67</v>
      </c>
      <c r="G771" t="s">
        <v>85</v>
      </c>
      <c r="H771" t="s">
        <v>253</v>
      </c>
      <c r="I771">
        <v>7473.4</v>
      </c>
      <c r="J771">
        <v>10</v>
      </c>
      <c r="K771" s="1">
        <v>0.15</v>
      </c>
      <c r="L771">
        <v>1376.69</v>
      </c>
      <c r="M771" t="s">
        <v>87</v>
      </c>
      <c r="N771" t="s">
        <v>76</v>
      </c>
      <c r="O771" t="str">
        <f t="shared" ref="O771:O834" si="72">TEXT(B771,"dd/mm/yyyy")</f>
        <v>19/11/2024</v>
      </c>
      <c r="P771">
        <f t="shared" ref="P771:P834" si="73">YEAR(O771)</f>
        <v>2024</v>
      </c>
      <c r="Q771">
        <f t="shared" ref="Q771:Q834" si="74">MONTH(O771)</f>
        <v>11</v>
      </c>
      <c r="R771" t="str">
        <f t="shared" ref="R771:R834" si="75">TEXT(O771,"mmmm")</f>
        <v>November</v>
      </c>
      <c r="S771" t="str">
        <f t="shared" ref="S771:S834" si="76">IF(K771=0,"No Discount",IF(K771&gt;=0.1,"Low",IF(K771&gt;=0.2,"Medium","High")))</f>
        <v>Low</v>
      </c>
      <c r="T771" s="1">
        <f t="shared" ref="T771:T834" si="77">SUM(L771)/SUM(I771)</f>
        <v>0.1842120052452699</v>
      </c>
      <c r="U771">
        <f>SUM($I$2:I771)</f>
        <v>2693817.9599999976</v>
      </c>
      <c r="V771" s="1">
        <f>Table1[[#This Row],[Running total ]]/SUM(I:I)</f>
        <v>0.77733455299806908</v>
      </c>
    </row>
    <row r="772" spans="1:22" x14ac:dyDescent="0.3">
      <c r="A772" t="s">
        <v>1536</v>
      </c>
      <c r="B772" t="s">
        <v>1537</v>
      </c>
      <c r="C772" t="s">
        <v>60</v>
      </c>
      <c r="D772" t="s">
        <v>48</v>
      </c>
      <c r="E772" t="s">
        <v>110</v>
      </c>
      <c r="F772" t="s">
        <v>55</v>
      </c>
      <c r="G772" t="s">
        <v>98</v>
      </c>
      <c r="H772" t="s">
        <v>99</v>
      </c>
      <c r="I772">
        <v>4842.6400000000003</v>
      </c>
      <c r="J772">
        <v>8</v>
      </c>
      <c r="K772" s="1">
        <v>0.1</v>
      </c>
      <c r="L772">
        <v>848.56</v>
      </c>
      <c r="M772" t="s">
        <v>44</v>
      </c>
      <c r="N772" t="s">
        <v>32</v>
      </c>
      <c r="O772" t="str">
        <f t="shared" si="72"/>
        <v>22/02/2024</v>
      </c>
      <c r="P772">
        <f t="shared" si="73"/>
        <v>2024</v>
      </c>
      <c r="Q772">
        <f t="shared" si="74"/>
        <v>2</v>
      </c>
      <c r="R772" t="str">
        <f t="shared" si="75"/>
        <v>February</v>
      </c>
      <c r="S772" t="str">
        <f t="shared" si="76"/>
        <v>Low</v>
      </c>
      <c r="T772" s="1">
        <f t="shared" si="77"/>
        <v>0.17522673583004308</v>
      </c>
      <c r="U772">
        <f>SUM($I$2:I772)</f>
        <v>2698660.5999999978</v>
      </c>
      <c r="V772" s="1">
        <f>Table1[[#This Row],[Running total ]]/SUM(I:I)</f>
        <v>0.77873195677799301</v>
      </c>
    </row>
    <row r="773" spans="1:22" x14ac:dyDescent="0.3">
      <c r="A773" t="s">
        <v>1538</v>
      </c>
      <c r="B773" t="s">
        <v>1539</v>
      </c>
      <c r="C773" t="s">
        <v>608</v>
      </c>
      <c r="D773" t="s">
        <v>137</v>
      </c>
      <c r="E773" t="s">
        <v>138</v>
      </c>
      <c r="F773" t="s">
        <v>19</v>
      </c>
      <c r="G773" t="s">
        <v>20</v>
      </c>
      <c r="H773" t="s">
        <v>21</v>
      </c>
      <c r="I773">
        <v>890.08</v>
      </c>
      <c r="J773">
        <v>1</v>
      </c>
      <c r="K773" s="1">
        <v>0.2</v>
      </c>
      <c r="L773">
        <v>70.09</v>
      </c>
      <c r="M773" t="s">
        <v>107</v>
      </c>
      <c r="N773" t="s">
        <v>23</v>
      </c>
      <c r="O773" t="str">
        <f t="shared" si="72"/>
        <v>20/12/2025</v>
      </c>
      <c r="P773">
        <f t="shared" si="73"/>
        <v>2025</v>
      </c>
      <c r="Q773">
        <f t="shared" si="74"/>
        <v>12</v>
      </c>
      <c r="R773" t="str">
        <f t="shared" si="75"/>
        <v>December</v>
      </c>
      <c r="S773" t="str">
        <f t="shared" si="76"/>
        <v>Low</v>
      </c>
      <c r="T773" s="1">
        <f t="shared" si="77"/>
        <v>7.8745730720834087E-2</v>
      </c>
      <c r="U773">
        <f>SUM($I$2:I773)</f>
        <v>2699550.6799999978</v>
      </c>
      <c r="V773" s="1">
        <f>Table1[[#This Row],[Running total ]]/SUM(I:I)</f>
        <v>0.77898880039148366</v>
      </c>
    </row>
    <row r="774" spans="1:22" x14ac:dyDescent="0.3">
      <c r="A774" t="s">
        <v>1540</v>
      </c>
      <c r="B774" t="s">
        <v>1541</v>
      </c>
      <c r="C774" t="s">
        <v>292</v>
      </c>
      <c r="D774" t="s">
        <v>48</v>
      </c>
      <c r="E774" t="s">
        <v>84</v>
      </c>
      <c r="F774" t="s">
        <v>67</v>
      </c>
      <c r="G774" t="s">
        <v>85</v>
      </c>
      <c r="H774" t="s">
        <v>253</v>
      </c>
      <c r="I774">
        <v>2484.7800000000002</v>
      </c>
      <c r="J774">
        <v>3</v>
      </c>
      <c r="K774" s="1">
        <v>0.3</v>
      </c>
      <c r="L774">
        <v>-576.89</v>
      </c>
      <c r="M774" t="s">
        <v>195</v>
      </c>
      <c r="N774" t="s">
        <v>32</v>
      </c>
      <c r="O774" t="str">
        <f t="shared" si="72"/>
        <v>07/12/2025</v>
      </c>
      <c r="P774">
        <f t="shared" si="73"/>
        <v>2025</v>
      </c>
      <c r="Q774">
        <f t="shared" si="74"/>
        <v>12</v>
      </c>
      <c r="R774" t="str">
        <f t="shared" si="75"/>
        <v>December</v>
      </c>
      <c r="S774" t="str">
        <f t="shared" si="76"/>
        <v>Low</v>
      </c>
      <c r="T774" s="1">
        <f t="shared" si="77"/>
        <v>-0.23216944759697034</v>
      </c>
      <c r="U774">
        <f>SUM($I$2:I774)</f>
        <v>2702035.4599999976</v>
      </c>
      <c r="V774" s="1">
        <f>Table1[[#This Row],[Running total ]]/SUM(I:I)</f>
        <v>0.77970581445081466</v>
      </c>
    </row>
    <row r="775" spans="1:22" x14ac:dyDescent="0.3">
      <c r="A775" t="s">
        <v>1542</v>
      </c>
      <c r="B775" t="s">
        <v>1168</v>
      </c>
      <c r="C775" t="s">
        <v>358</v>
      </c>
      <c r="D775" t="s">
        <v>48</v>
      </c>
      <c r="E775" t="s">
        <v>84</v>
      </c>
      <c r="F775" t="s">
        <v>55</v>
      </c>
      <c r="G775" t="s">
        <v>74</v>
      </c>
      <c r="H775" t="s">
        <v>133</v>
      </c>
      <c r="I775">
        <v>1459.84</v>
      </c>
      <c r="J775">
        <v>8</v>
      </c>
      <c r="K775" s="1">
        <v>0.3</v>
      </c>
      <c r="L775">
        <v>-27.8</v>
      </c>
      <c r="M775" t="s">
        <v>31</v>
      </c>
      <c r="N775" t="s">
        <v>76</v>
      </c>
      <c r="O775" t="str">
        <f t="shared" si="72"/>
        <v>15/03/2025</v>
      </c>
      <c r="P775">
        <f t="shared" si="73"/>
        <v>2025</v>
      </c>
      <c r="Q775">
        <f t="shared" si="74"/>
        <v>3</v>
      </c>
      <c r="R775" t="str">
        <f t="shared" si="75"/>
        <v>March</v>
      </c>
      <c r="S775" t="str">
        <f t="shared" si="76"/>
        <v>Low</v>
      </c>
      <c r="T775" s="1">
        <f t="shared" si="77"/>
        <v>-1.9043182814555023E-2</v>
      </c>
      <c r="U775">
        <f>SUM($I$2:I775)</f>
        <v>2703495.2999999975</v>
      </c>
      <c r="V775" s="1">
        <f>Table1[[#This Row],[Running total ]]/SUM(I:I)</f>
        <v>0.78012706937252763</v>
      </c>
    </row>
    <row r="776" spans="1:22" x14ac:dyDescent="0.3">
      <c r="A776" t="s">
        <v>1543</v>
      </c>
      <c r="B776" t="s">
        <v>1544</v>
      </c>
      <c r="C776" t="s">
        <v>841</v>
      </c>
      <c r="D776" t="s">
        <v>48</v>
      </c>
      <c r="E776" t="s">
        <v>49</v>
      </c>
      <c r="F776" t="s">
        <v>19</v>
      </c>
      <c r="G776" t="s">
        <v>36</v>
      </c>
      <c r="H776" t="s">
        <v>111</v>
      </c>
      <c r="I776">
        <v>1401.72</v>
      </c>
      <c r="J776">
        <v>3</v>
      </c>
      <c r="K776" s="1">
        <v>0.05</v>
      </c>
      <c r="L776">
        <v>475.83</v>
      </c>
      <c r="M776" t="s">
        <v>117</v>
      </c>
      <c r="N776" t="s">
        <v>23</v>
      </c>
      <c r="O776" t="str">
        <f t="shared" si="72"/>
        <v>17/06/2024</v>
      </c>
      <c r="P776">
        <f t="shared" si="73"/>
        <v>2024</v>
      </c>
      <c r="Q776">
        <f t="shared" si="74"/>
        <v>6</v>
      </c>
      <c r="R776" t="str">
        <f t="shared" si="75"/>
        <v>June</v>
      </c>
      <c r="S776" t="str">
        <f t="shared" si="76"/>
        <v>High</v>
      </c>
      <c r="T776" s="1">
        <f t="shared" si="77"/>
        <v>0.33946151870559027</v>
      </c>
      <c r="U776">
        <f>SUM($I$2:I776)</f>
        <v>2704897.0199999977</v>
      </c>
      <c r="V776" s="1">
        <f>Table1[[#This Row],[Running total ]]/SUM(I:I)</f>
        <v>0.78053155304804234</v>
      </c>
    </row>
    <row r="777" spans="1:22" x14ac:dyDescent="0.3">
      <c r="A777" t="s">
        <v>1545</v>
      </c>
      <c r="B777" t="s">
        <v>1546</v>
      </c>
      <c r="C777" t="s">
        <v>608</v>
      </c>
      <c r="D777" t="s">
        <v>17</v>
      </c>
      <c r="E777" t="s">
        <v>54</v>
      </c>
      <c r="F777" t="s">
        <v>55</v>
      </c>
      <c r="G777" t="s">
        <v>74</v>
      </c>
      <c r="H777" t="s">
        <v>75</v>
      </c>
      <c r="I777">
        <v>565.95000000000005</v>
      </c>
      <c r="J777">
        <v>5</v>
      </c>
      <c r="K777" s="1">
        <v>0.1</v>
      </c>
      <c r="L777">
        <v>167.24</v>
      </c>
      <c r="M777" t="s">
        <v>38</v>
      </c>
      <c r="N777" t="s">
        <v>23</v>
      </c>
      <c r="O777" t="str">
        <f t="shared" si="72"/>
        <v>30/10/2024</v>
      </c>
      <c r="P777">
        <f t="shared" si="73"/>
        <v>2024</v>
      </c>
      <c r="Q777">
        <f t="shared" si="74"/>
        <v>10</v>
      </c>
      <c r="R777" t="str">
        <f t="shared" si="75"/>
        <v>October</v>
      </c>
      <c r="S777" t="str">
        <f t="shared" si="76"/>
        <v>Low</v>
      </c>
      <c r="T777" s="1">
        <f t="shared" si="77"/>
        <v>0.29550313631946284</v>
      </c>
      <c r="U777">
        <f>SUM($I$2:I777)</f>
        <v>2705462.9699999979</v>
      </c>
      <c r="V777" s="1">
        <f>Table1[[#This Row],[Running total ]]/SUM(I:I)</f>
        <v>0.78069486493355278</v>
      </c>
    </row>
    <row r="778" spans="1:22" x14ac:dyDescent="0.3">
      <c r="A778" t="s">
        <v>1547</v>
      </c>
      <c r="B778" t="s">
        <v>695</v>
      </c>
      <c r="C778" t="s">
        <v>93</v>
      </c>
      <c r="D778" t="s">
        <v>137</v>
      </c>
      <c r="E778" t="s">
        <v>142</v>
      </c>
      <c r="F778" t="s">
        <v>19</v>
      </c>
      <c r="G778" t="s">
        <v>36</v>
      </c>
      <c r="H778" t="s">
        <v>111</v>
      </c>
      <c r="I778">
        <v>8168.3</v>
      </c>
      <c r="J778">
        <v>10</v>
      </c>
      <c r="K778" s="1">
        <v>0.3</v>
      </c>
      <c r="L778">
        <v>506.17</v>
      </c>
      <c r="M778" t="s">
        <v>87</v>
      </c>
      <c r="N778" t="s">
        <v>23</v>
      </c>
      <c r="O778" t="str">
        <f t="shared" si="72"/>
        <v>13/07/2025</v>
      </c>
      <c r="P778">
        <f t="shared" si="73"/>
        <v>2025</v>
      </c>
      <c r="Q778">
        <f t="shared" si="74"/>
        <v>7</v>
      </c>
      <c r="R778" t="str">
        <f t="shared" si="75"/>
        <v>July</v>
      </c>
      <c r="S778" t="str">
        <f t="shared" si="76"/>
        <v>Low</v>
      </c>
      <c r="T778" s="1">
        <f t="shared" si="77"/>
        <v>6.1967606478704258E-2</v>
      </c>
      <c r="U778">
        <f>SUM($I$2:I778)</f>
        <v>2713631.2699999977</v>
      </c>
      <c r="V778" s="1">
        <f>Table1[[#This Row],[Running total ]]/SUM(I:I)</f>
        <v>0.78305192911663291</v>
      </c>
    </row>
    <row r="779" spans="1:22" x14ac:dyDescent="0.3">
      <c r="A779" t="s">
        <v>1548</v>
      </c>
      <c r="B779" t="s">
        <v>897</v>
      </c>
      <c r="C779" t="s">
        <v>1101</v>
      </c>
      <c r="D779" t="s">
        <v>17</v>
      </c>
      <c r="E779" t="s">
        <v>97</v>
      </c>
      <c r="F779" t="s">
        <v>55</v>
      </c>
      <c r="G779" t="s">
        <v>56</v>
      </c>
      <c r="H779" t="s">
        <v>129</v>
      </c>
      <c r="I779">
        <v>6532.68</v>
      </c>
      <c r="J779">
        <v>7</v>
      </c>
      <c r="K779" s="1">
        <v>0.3</v>
      </c>
      <c r="L779">
        <v>542.11</v>
      </c>
      <c r="M779" t="s">
        <v>107</v>
      </c>
      <c r="N779" t="s">
        <v>39</v>
      </c>
      <c r="O779" t="str">
        <f t="shared" si="72"/>
        <v>23/03/2024</v>
      </c>
      <c r="P779">
        <f t="shared" si="73"/>
        <v>2024</v>
      </c>
      <c r="Q779">
        <f t="shared" si="74"/>
        <v>3</v>
      </c>
      <c r="R779" t="str">
        <f t="shared" si="75"/>
        <v>March</v>
      </c>
      <c r="S779" t="str">
        <f t="shared" si="76"/>
        <v>Low</v>
      </c>
      <c r="T779" s="1">
        <f t="shared" si="77"/>
        <v>8.2984318840047269E-2</v>
      </c>
      <c r="U779">
        <f>SUM($I$2:I779)</f>
        <v>2720163.9499999979</v>
      </c>
      <c r="V779" s="1">
        <f>Table1[[#This Row],[Running total ]]/SUM(I:I)</f>
        <v>0.78493701488080969</v>
      </c>
    </row>
    <row r="780" spans="1:22" x14ac:dyDescent="0.3">
      <c r="A780" t="s">
        <v>1549</v>
      </c>
      <c r="B780" t="s">
        <v>339</v>
      </c>
      <c r="C780" t="s">
        <v>733</v>
      </c>
      <c r="D780" t="s">
        <v>27</v>
      </c>
      <c r="E780" t="s">
        <v>28</v>
      </c>
      <c r="F780" t="s">
        <v>67</v>
      </c>
      <c r="G780" t="s">
        <v>85</v>
      </c>
      <c r="H780" t="s">
        <v>125</v>
      </c>
      <c r="I780">
        <v>5176.3999999999996</v>
      </c>
      <c r="J780">
        <v>8</v>
      </c>
      <c r="K780" s="1">
        <v>0.15</v>
      </c>
      <c r="L780">
        <v>761.34</v>
      </c>
      <c r="M780" t="s">
        <v>117</v>
      </c>
      <c r="N780" t="s">
        <v>23</v>
      </c>
      <c r="O780" t="str">
        <f t="shared" si="72"/>
        <v>04/09/2025</v>
      </c>
      <c r="P780">
        <f t="shared" si="73"/>
        <v>2025</v>
      </c>
      <c r="Q780">
        <f t="shared" si="74"/>
        <v>9</v>
      </c>
      <c r="R780" t="str">
        <f t="shared" si="75"/>
        <v>September</v>
      </c>
      <c r="S780" t="str">
        <f t="shared" si="76"/>
        <v>Low</v>
      </c>
      <c r="T780" s="1">
        <f t="shared" si="77"/>
        <v>0.14707905107796926</v>
      </c>
      <c r="U780">
        <f>SUM($I$2:I780)</f>
        <v>2725340.3499999978</v>
      </c>
      <c r="V780" s="1">
        <f>Table1[[#This Row],[Running total ]]/SUM(I:I)</f>
        <v>0.7864307292445446</v>
      </c>
    </row>
    <row r="781" spans="1:22" x14ac:dyDescent="0.3">
      <c r="A781" t="s">
        <v>1550</v>
      </c>
      <c r="B781" t="s">
        <v>998</v>
      </c>
      <c r="C781" t="s">
        <v>308</v>
      </c>
      <c r="D781" t="s">
        <v>27</v>
      </c>
      <c r="E781" t="s">
        <v>61</v>
      </c>
      <c r="F781" t="s">
        <v>19</v>
      </c>
      <c r="G781" t="s">
        <v>29</v>
      </c>
      <c r="H781" t="s">
        <v>199</v>
      </c>
      <c r="I781">
        <v>9179.91</v>
      </c>
      <c r="J781">
        <v>9</v>
      </c>
      <c r="K781" s="1">
        <v>0.25</v>
      </c>
      <c r="L781">
        <v>1461.09</v>
      </c>
      <c r="M781" t="s">
        <v>31</v>
      </c>
      <c r="N781" t="s">
        <v>32</v>
      </c>
      <c r="O781" t="str">
        <f t="shared" si="72"/>
        <v>03/08/2025</v>
      </c>
      <c r="P781">
        <f t="shared" si="73"/>
        <v>2025</v>
      </c>
      <c r="Q781">
        <f t="shared" si="74"/>
        <v>8</v>
      </c>
      <c r="R781" t="str">
        <f t="shared" si="75"/>
        <v>August</v>
      </c>
      <c r="S781" t="str">
        <f t="shared" si="76"/>
        <v>Low</v>
      </c>
      <c r="T781" s="1">
        <f t="shared" si="77"/>
        <v>0.1591616911276908</v>
      </c>
      <c r="U781">
        <f>SUM($I$2:I781)</f>
        <v>2734520.2599999979</v>
      </c>
      <c r="V781" s="1">
        <f>Table1[[#This Row],[Running total ]]/SUM(I:I)</f>
        <v>0.78907970602856325</v>
      </c>
    </row>
    <row r="782" spans="1:22" x14ac:dyDescent="0.3">
      <c r="A782" t="s">
        <v>1551</v>
      </c>
      <c r="B782" t="s">
        <v>654</v>
      </c>
      <c r="C782" t="s">
        <v>205</v>
      </c>
      <c r="D782" t="s">
        <v>48</v>
      </c>
      <c r="E782" t="s">
        <v>110</v>
      </c>
      <c r="F782" t="s">
        <v>67</v>
      </c>
      <c r="G782" t="s">
        <v>68</v>
      </c>
      <c r="H782" t="s">
        <v>103</v>
      </c>
      <c r="I782">
        <v>1034.8800000000001</v>
      </c>
      <c r="J782">
        <v>2</v>
      </c>
      <c r="K782" s="1">
        <v>0.1</v>
      </c>
      <c r="L782">
        <v>15.81</v>
      </c>
      <c r="M782" t="s">
        <v>63</v>
      </c>
      <c r="N782" t="s">
        <v>39</v>
      </c>
      <c r="O782" t="str">
        <f t="shared" si="72"/>
        <v>19/09/2025</v>
      </c>
      <c r="P782">
        <f t="shared" si="73"/>
        <v>2025</v>
      </c>
      <c r="Q782">
        <f t="shared" si="74"/>
        <v>9</v>
      </c>
      <c r="R782" t="str">
        <f t="shared" si="75"/>
        <v>September</v>
      </c>
      <c r="S782" t="str">
        <f t="shared" si="76"/>
        <v>Low</v>
      </c>
      <c r="T782" s="1">
        <f t="shared" si="77"/>
        <v>1.5277133580705008E-2</v>
      </c>
      <c r="U782">
        <f>SUM($I$2:I782)</f>
        <v>2735555.1399999978</v>
      </c>
      <c r="V782" s="1">
        <f>Table1[[#This Row],[Running total ]]/SUM(I:I)</f>
        <v>0.78937833347635367</v>
      </c>
    </row>
    <row r="783" spans="1:22" x14ac:dyDescent="0.3">
      <c r="A783" t="s">
        <v>1552</v>
      </c>
      <c r="B783" t="s">
        <v>1553</v>
      </c>
      <c r="C783" t="s">
        <v>208</v>
      </c>
      <c r="D783" t="s">
        <v>48</v>
      </c>
      <c r="E783" t="s">
        <v>73</v>
      </c>
      <c r="F783" t="s">
        <v>55</v>
      </c>
      <c r="G783" t="s">
        <v>98</v>
      </c>
      <c r="H783" t="s">
        <v>154</v>
      </c>
      <c r="I783">
        <v>6617.6</v>
      </c>
      <c r="J783">
        <v>10</v>
      </c>
      <c r="K783" s="1">
        <v>0.2</v>
      </c>
      <c r="L783">
        <v>1303.81</v>
      </c>
      <c r="M783" t="s">
        <v>87</v>
      </c>
      <c r="N783" t="s">
        <v>32</v>
      </c>
      <c r="O783" t="str">
        <f t="shared" si="72"/>
        <v>14/09/2025</v>
      </c>
      <c r="P783">
        <f t="shared" si="73"/>
        <v>2025</v>
      </c>
      <c r="Q783">
        <f t="shared" si="74"/>
        <v>9</v>
      </c>
      <c r="R783" t="str">
        <f t="shared" si="75"/>
        <v>September</v>
      </c>
      <c r="S783" t="str">
        <f t="shared" si="76"/>
        <v>Low</v>
      </c>
      <c r="T783" s="1">
        <f t="shared" si="77"/>
        <v>0.19702157882011603</v>
      </c>
      <c r="U783">
        <f>SUM($I$2:I783)</f>
        <v>2742172.7399999979</v>
      </c>
      <c r="V783" s="1">
        <f>Table1[[#This Row],[Running total ]]/SUM(I:I)</f>
        <v>0.79128792395882264</v>
      </c>
    </row>
    <row r="784" spans="1:22" x14ac:dyDescent="0.3">
      <c r="A784" t="s">
        <v>1554</v>
      </c>
      <c r="B784" t="s">
        <v>377</v>
      </c>
      <c r="C784" t="s">
        <v>114</v>
      </c>
      <c r="D784" t="s">
        <v>137</v>
      </c>
      <c r="E784" t="s">
        <v>160</v>
      </c>
      <c r="F784" t="s">
        <v>67</v>
      </c>
      <c r="G784" t="s">
        <v>85</v>
      </c>
      <c r="H784" t="s">
        <v>86</v>
      </c>
      <c r="I784">
        <v>2541.48</v>
      </c>
      <c r="J784">
        <v>4</v>
      </c>
      <c r="K784" s="1">
        <v>0.05</v>
      </c>
      <c r="L784">
        <v>879.33</v>
      </c>
      <c r="M784" t="s">
        <v>107</v>
      </c>
      <c r="N784" t="s">
        <v>76</v>
      </c>
      <c r="O784" t="str">
        <f t="shared" si="72"/>
        <v>23/04/2024</v>
      </c>
      <c r="P784">
        <f t="shared" si="73"/>
        <v>2024</v>
      </c>
      <c r="Q784">
        <f t="shared" si="74"/>
        <v>4</v>
      </c>
      <c r="R784" t="str">
        <f t="shared" si="75"/>
        <v>April</v>
      </c>
      <c r="S784" t="str">
        <f t="shared" si="76"/>
        <v>High</v>
      </c>
      <c r="T784" s="1">
        <f t="shared" si="77"/>
        <v>0.34599131214882667</v>
      </c>
      <c r="U784">
        <f>SUM($I$2:I784)</f>
        <v>2744714.2199999979</v>
      </c>
      <c r="V784" s="1">
        <f>Table1[[#This Row],[Running total ]]/SUM(I:I)</f>
        <v>0.79202129950575584</v>
      </c>
    </row>
    <row r="785" spans="1:22" x14ac:dyDescent="0.3">
      <c r="A785" t="s">
        <v>1555</v>
      </c>
      <c r="B785" t="s">
        <v>931</v>
      </c>
      <c r="C785" t="s">
        <v>566</v>
      </c>
      <c r="D785" t="s">
        <v>137</v>
      </c>
      <c r="E785" t="s">
        <v>242</v>
      </c>
      <c r="F785" t="s">
        <v>55</v>
      </c>
      <c r="G785" t="s">
        <v>98</v>
      </c>
      <c r="H785" t="s">
        <v>150</v>
      </c>
      <c r="I785">
        <v>10389.33</v>
      </c>
      <c r="J785">
        <v>9</v>
      </c>
      <c r="K785" s="1">
        <v>0.05</v>
      </c>
      <c r="L785">
        <v>538.84</v>
      </c>
      <c r="M785" t="s">
        <v>143</v>
      </c>
      <c r="N785" t="s">
        <v>32</v>
      </c>
      <c r="O785" t="str">
        <f t="shared" si="72"/>
        <v>19/07/2025</v>
      </c>
      <c r="P785">
        <f t="shared" si="73"/>
        <v>2025</v>
      </c>
      <c r="Q785">
        <f t="shared" si="74"/>
        <v>7</v>
      </c>
      <c r="R785" t="str">
        <f t="shared" si="75"/>
        <v>July</v>
      </c>
      <c r="S785" t="str">
        <f t="shared" si="76"/>
        <v>High</v>
      </c>
      <c r="T785" s="1">
        <f t="shared" si="77"/>
        <v>5.186474969993253E-2</v>
      </c>
      <c r="U785">
        <f>SUM($I$2:I785)</f>
        <v>2755103.549999998</v>
      </c>
      <c r="V785" s="1">
        <f>Table1[[#This Row],[Running total ]]/SUM(I:I)</f>
        <v>0.79501926941738987</v>
      </c>
    </row>
    <row r="786" spans="1:22" x14ac:dyDescent="0.3">
      <c r="A786" t="s">
        <v>1556</v>
      </c>
      <c r="B786" t="s">
        <v>729</v>
      </c>
      <c r="C786" t="s">
        <v>370</v>
      </c>
      <c r="D786" t="s">
        <v>137</v>
      </c>
      <c r="E786" t="s">
        <v>142</v>
      </c>
      <c r="F786" t="s">
        <v>19</v>
      </c>
      <c r="G786" t="s">
        <v>36</v>
      </c>
      <c r="H786" t="s">
        <v>111</v>
      </c>
      <c r="I786">
        <v>1832.1</v>
      </c>
      <c r="J786">
        <v>6</v>
      </c>
      <c r="K786" s="1">
        <v>0.1</v>
      </c>
      <c r="L786">
        <v>124.07</v>
      </c>
      <c r="M786" t="s">
        <v>107</v>
      </c>
      <c r="N786" t="s">
        <v>23</v>
      </c>
      <c r="O786" t="str">
        <f t="shared" si="72"/>
        <v>20/01/2025</v>
      </c>
      <c r="P786">
        <f t="shared" si="73"/>
        <v>2025</v>
      </c>
      <c r="Q786">
        <f t="shared" si="74"/>
        <v>1</v>
      </c>
      <c r="R786" t="str">
        <f t="shared" si="75"/>
        <v>January</v>
      </c>
      <c r="S786" t="str">
        <f t="shared" si="76"/>
        <v>Low</v>
      </c>
      <c r="T786" s="1">
        <f t="shared" si="77"/>
        <v>6.7720102614486105E-2</v>
      </c>
      <c r="U786">
        <f>SUM($I$2:I786)</f>
        <v>2756935.649999998</v>
      </c>
      <c r="V786" s="1">
        <f>Table1[[#This Row],[Running total ]]/SUM(I:I)</f>
        <v>0.79554794457498956</v>
      </c>
    </row>
    <row r="787" spans="1:22" x14ac:dyDescent="0.3">
      <c r="A787" t="s">
        <v>1557</v>
      </c>
      <c r="B787" t="s">
        <v>1558</v>
      </c>
      <c r="C787" t="s">
        <v>268</v>
      </c>
      <c r="D787" t="s">
        <v>27</v>
      </c>
      <c r="E787" t="s">
        <v>124</v>
      </c>
      <c r="F787" t="s">
        <v>55</v>
      </c>
      <c r="G787" t="s">
        <v>74</v>
      </c>
      <c r="H787" t="s">
        <v>133</v>
      </c>
      <c r="I787">
        <v>555.87</v>
      </c>
      <c r="J787">
        <v>7</v>
      </c>
      <c r="K787" s="1">
        <v>0.1</v>
      </c>
      <c r="L787">
        <v>82.57</v>
      </c>
      <c r="M787" t="s">
        <v>143</v>
      </c>
      <c r="N787" t="s">
        <v>39</v>
      </c>
      <c r="O787" t="str">
        <f t="shared" si="72"/>
        <v>06/07/2024</v>
      </c>
      <c r="P787">
        <f t="shared" si="73"/>
        <v>2024</v>
      </c>
      <c r="Q787">
        <f t="shared" si="74"/>
        <v>7</v>
      </c>
      <c r="R787" t="str">
        <f t="shared" si="75"/>
        <v>July</v>
      </c>
      <c r="S787" t="str">
        <f t="shared" si="76"/>
        <v>Low</v>
      </c>
      <c r="T787" s="1">
        <f t="shared" si="77"/>
        <v>0.148541925270297</v>
      </c>
      <c r="U787">
        <f>SUM($I$2:I787)</f>
        <v>2757491.5199999982</v>
      </c>
      <c r="V787" s="1">
        <f>Table1[[#This Row],[Running total ]]/SUM(I:I)</f>
        <v>0.79570834775159294</v>
      </c>
    </row>
    <row r="788" spans="1:22" x14ac:dyDescent="0.3">
      <c r="A788" t="s">
        <v>1559</v>
      </c>
      <c r="B788" t="s">
        <v>674</v>
      </c>
      <c r="C788" t="s">
        <v>771</v>
      </c>
      <c r="D788" t="s">
        <v>137</v>
      </c>
      <c r="E788" t="s">
        <v>160</v>
      </c>
      <c r="F788" t="s">
        <v>19</v>
      </c>
      <c r="G788" t="s">
        <v>29</v>
      </c>
      <c r="H788" t="s">
        <v>199</v>
      </c>
      <c r="I788">
        <v>1946.35</v>
      </c>
      <c r="J788">
        <v>7</v>
      </c>
      <c r="K788" s="1">
        <v>0.05</v>
      </c>
      <c r="L788">
        <v>615.96</v>
      </c>
      <c r="M788" t="s">
        <v>44</v>
      </c>
      <c r="N788" t="s">
        <v>39</v>
      </c>
      <c r="O788" t="str">
        <f t="shared" si="72"/>
        <v>10/05/2025</v>
      </c>
      <c r="P788">
        <f t="shared" si="73"/>
        <v>2025</v>
      </c>
      <c r="Q788">
        <f t="shared" si="74"/>
        <v>5</v>
      </c>
      <c r="R788" t="str">
        <f t="shared" si="75"/>
        <v>May</v>
      </c>
      <c r="S788" t="str">
        <f t="shared" si="76"/>
        <v>High</v>
      </c>
      <c r="T788" s="1">
        <f t="shared" si="77"/>
        <v>0.31646928866853347</v>
      </c>
      <c r="U788">
        <f>SUM($I$2:I788)</f>
        <v>2759437.8699999982</v>
      </c>
      <c r="V788" s="1">
        <f>Table1[[#This Row],[Running total ]]/SUM(I:I)</f>
        <v>0.7962699911624298</v>
      </c>
    </row>
    <row r="789" spans="1:22" x14ac:dyDescent="0.3">
      <c r="A789" t="s">
        <v>1560</v>
      </c>
      <c r="B789" t="s">
        <v>188</v>
      </c>
      <c r="C789" t="s">
        <v>535</v>
      </c>
      <c r="D789" t="s">
        <v>48</v>
      </c>
      <c r="E789" t="s">
        <v>73</v>
      </c>
      <c r="F789" t="s">
        <v>55</v>
      </c>
      <c r="G789" t="s">
        <v>74</v>
      </c>
      <c r="H789" t="s">
        <v>75</v>
      </c>
      <c r="I789">
        <v>4632.72</v>
      </c>
      <c r="J789">
        <v>4</v>
      </c>
      <c r="K789" s="1">
        <v>0.05</v>
      </c>
      <c r="L789">
        <v>1303.4100000000001</v>
      </c>
      <c r="M789" t="s">
        <v>22</v>
      </c>
      <c r="N789" t="s">
        <v>23</v>
      </c>
      <c r="O789" t="str">
        <f t="shared" si="72"/>
        <v>28/06/2025</v>
      </c>
      <c r="P789">
        <f t="shared" si="73"/>
        <v>2025</v>
      </c>
      <c r="Q789">
        <f t="shared" si="74"/>
        <v>6</v>
      </c>
      <c r="R789" t="str">
        <f t="shared" si="75"/>
        <v>June</v>
      </c>
      <c r="S789" t="str">
        <f t="shared" si="76"/>
        <v>High</v>
      </c>
      <c r="T789" s="1">
        <f t="shared" si="77"/>
        <v>0.28134875407967674</v>
      </c>
      <c r="U789">
        <f>SUM($I$2:I789)</f>
        <v>2764070.5899999985</v>
      </c>
      <c r="V789" s="1">
        <f>Table1[[#This Row],[Running total ]]/SUM(I:I)</f>
        <v>0.79760681992511473</v>
      </c>
    </row>
    <row r="790" spans="1:22" x14ac:dyDescent="0.3">
      <c r="A790" t="s">
        <v>1561</v>
      </c>
      <c r="B790" t="s">
        <v>1562</v>
      </c>
      <c r="C790" t="s">
        <v>749</v>
      </c>
      <c r="D790" t="s">
        <v>137</v>
      </c>
      <c r="E790" t="s">
        <v>242</v>
      </c>
      <c r="F790" t="s">
        <v>67</v>
      </c>
      <c r="G790" t="s">
        <v>115</v>
      </c>
      <c r="H790" t="s">
        <v>178</v>
      </c>
      <c r="I790">
        <v>6259.47</v>
      </c>
      <c r="J790">
        <v>7</v>
      </c>
      <c r="K790" s="1">
        <v>0.1</v>
      </c>
      <c r="L790">
        <v>497.16</v>
      </c>
      <c r="M790" t="s">
        <v>22</v>
      </c>
      <c r="N790" t="s">
        <v>23</v>
      </c>
      <c r="O790" t="str">
        <f t="shared" si="72"/>
        <v>02/03/2024</v>
      </c>
      <c r="P790">
        <f t="shared" si="73"/>
        <v>2024</v>
      </c>
      <c r="Q790">
        <f t="shared" si="74"/>
        <v>3</v>
      </c>
      <c r="R790" t="str">
        <f t="shared" si="75"/>
        <v>March</v>
      </c>
      <c r="S790" t="str">
        <f t="shared" si="76"/>
        <v>Low</v>
      </c>
      <c r="T790" s="1">
        <f t="shared" si="77"/>
        <v>7.9425254853845453E-2</v>
      </c>
      <c r="U790">
        <f>SUM($I$2:I790)</f>
        <v>2770330.0599999987</v>
      </c>
      <c r="V790" s="1">
        <f>Table1[[#This Row],[Running total ]]/SUM(I:I)</f>
        <v>0.79941306755829</v>
      </c>
    </row>
    <row r="791" spans="1:22" x14ac:dyDescent="0.3">
      <c r="A791" t="s">
        <v>1563</v>
      </c>
      <c r="B791" t="s">
        <v>692</v>
      </c>
      <c r="C791" t="s">
        <v>666</v>
      </c>
      <c r="D791" t="s">
        <v>17</v>
      </c>
      <c r="E791" t="s">
        <v>80</v>
      </c>
      <c r="F791" t="s">
        <v>19</v>
      </c>
      <c r="G791" t="s">
        <v>29</v>
      </c>
      <c r="H791" t="s">
        <v>30</v>
      </c>
      <c r="I791">
        <v>7803.27</v>
      </c>
      <c r="J791">
        <v>9</v>
      </c>
      <c r="K791" s="1">
        <v>0.3</v>
      </c>
      <c r="L791">
        <v>112.32</v>
      </c>
      <c r="M791" t="s">
        <v>107</v>
      </c>
      <c r="N791" t="s">
        <v>23</v>
      </c>
      <c r="O791" t="str">
        <f t="shared" si="72"/>
        <v>13/06/2025</v>
      </c>
      <c r="P791">
        <f t="shared" si="73"/>
        <v>2025</v>
      </c>
      <c r="Q791">
        <f t="shared" si="74"/>
        <v>6</v>
      </c>
      <c r="R791" t="str">
        <f t="shared" si="75"/>
        <v>June</v>
      </c>
      <c r="S791" t="str">
        <f t="shared" si="76"/>
        <v>Low</v>
      </c>
      <c r="T791" s="1">
        <f t="shared" si="77"/>
        <v>1.4393965606726409E-2</v>
      </c>
      <c r="U791">
        <f>SUM($I$2:I791)</f>
        <v>2778133.3299999987</v>
      </c>
      <c r="V791" s="1">
        <f>Table1[[#This Row],[Running total ]]/SUM(I:I)</f>
        <v>0.80166479781157451</v>
      </c>
    </row>
    <row r="792" spans="1:22" x14ac:dyDescent="0.3">
      <c r="A792" t="s">
        <v>1564</v>
      </c>
      <c r="B792" t="s">
        <v>929</v>
      </c>
      <c r="C792" t="s">
        <v>367</v>
      </c>
      <c r="D792" t="s">
        <v>137</v>
      </c>
      <c r="E792" t="s">
        <v>242</v>
      </c>
      <c r="F792" t="s">
        <v>19</v>
      </c>
      <c r="G792" t="s">
        <v>29</v>
      </c>
      <c r="H792" t="s">
        <v>50</v>
      </c>
      <c r="I792">
        <v>646.82000000000005</v>
      </c>
      <c r="J792">
        <v>1</v>
      </c>
      <c r="K792" s="1">
        <v>0.05</v>
      </c>
      <c r="L792">
        <v>179.41</v>
      </c>
      <c r="M792" t="s">
        <v>44</v>
      </c>
      <c r="N792" t="s">
        <v>23</v>
      </c>
      <c r="O792" t="str">
        <f t="shared" si="72"/>
        <v>07/12/2024</v>
      </c>
      <c r="P792">
        <f t="shared" si="73"/>
        <v>2024</v>
      </c>
      <c r="Q792">
        <f t="shared" si="74"/>
        <v>12</v>
      </c>
      <c r="R792" t="str">
        <f t="shared" si="75"/>
        <v>December</v>
      </c>
      <c r="S792" t="str">
        <f t="shared" si="76"/>
        <v>High</v>
      </c>
      <c r="T792" s="1">
        <f t="shared" si="77"/>
        <v>0.27737237562227512</v>
      </c>
      <c r="U792">
        <f>SUM($I$2:I792)</f>
        <v>2778780.1499999985</v>
      </c>
      <c r="V792" s="1">
        <f>Table1[[#This Row],[Running total ]]/SUM(I:I)</f>
        <v>0.80185144573769129</v>
      </c>
    </row>
    <row r="793" spans="1:22" x14ac:dyDescent="0.3">
      <c r="A793" t="s">
        <v>1565</v>
      </c>
      <c r="B793" t="s">
        <v>321</v>
      </c>
      <c r="C793" t="s">
        <v>215</v>
      </c>
      <c r="D793" t="s">
        <v>17</v>
      </c>
      <c r="E793" t="s">
        <v>18</v>
      </c>
      <c r="F793" t="s">
        <v>19</v>
      </c>
      <c r="G793" t="s">
        <v>36</v>
      </c>
      <c r="H793" t="s">
        <v>111</v>
      </c>
      <c r="I793">
        <v>7772.8</v>
      </c>
      <c r="J793">
        <v>8</v>
      </c>
      <c r="K793" s="1">
        <v>0.15</v>
      </c>
      <c r="L793">
        <v>1242.98</v>
      </c>
      <c r="M793" t="s">
        <v>44</v>
      </c>
      <c r="N793" t="s">
        <v>76</v>
      </c>
      <c r="O793" t="str">
        <f t="shared" si="72"/>
        <v>08/08/2024</v>
      </c>
      <c r="P793">
        <f t="shared" si="73"/>
        <v>2024</v>
      </c>
      <c r="Q793">
        <f t="shared" si="74"/>
        <v>8</v>
      </c>
      <c r="R793" t="str">
        <f t="shared" si="75"/>
        <v>August</v>
      </c>
      <c r="S793" t="str">
        <f t="shared" si="76"/>
        <v>Low</v>
      </c>
      <c r="T793" s="1">
        <f t="shared" si="77"/>
        <v>0.15991405928365582</v>
      </c>
      <c r="U793">
        <f>SUM($I$2:I793)</f>
        <v>2786552.9499999983</v>
      </c>
      <c r="V793" s="1">
        <f>Table1[[#This Row],[Running total ]]/SUM(I:I)</f>
        <v>0.80409438349490459</v>
      </c>
    </row>
    <row r="794" spans="1:22" x14ac:dyDescent="0.3">
      <c r="A794" t="s">
        <v>1566</v>
      </c>
      <c r="B794" t="s">
        <v>916</v>
      </c>
      <c r="C794" t="s">
        <v>1433</v>
      </c>
      <c r="D794" t="s">
        <v>27</v>
      </c>
      <c r="E794" t="s">
        <v>43</v>
      </c>
      <c r="F794" t="s">
        <v>19</v>
      </c>
      <c r="G794" t="s">
        <v>20</v>
      </c>
      <c r="H794" t="s">
        <v>347</v>
      </c>
      <c r="I794">
        <v>1366.24</v>
      </c>
      <c r="J794">
        <v>4</v>
      </c>
      <c r="K794" s="1">
        <v>0.3</v>
      </c>
      <c r="L794">
        <v>-25.27</v>
      </c>
      <c r="M794" t="s">
        <v>31</v>
      </c>
      <c r="N794" t="s">
        <v>23</v>
      </c>
      <c r="O794" t="str">
        <f t="shared" si="72"/>
        <v>24/04/2025</v>
      </c>
      <c r="P794">
        <f t="shared" si="73"/>
        <v>2025</v>
      </c>
      <c r="Q794">
        <f t="shared" si="74"/>
        <v>4</v>
      </c>
      <c r="R794" t="str">
        <f t="shared" si="75"/>
        <v>April</v>
      </c>
      <c r="S794" t="str">
        <f t="shared" si="76"/>
        <v>Low</v>
      </c>
      <c r="T794" s="1">
        <f t="shared" si="77"/>
        <v>-1.8496018269118165E-2</v>
      </c>
      <c r="U794">
        <f>SUM($I$2:I794)</f>
        <v>2787919.1899999985</v>
      </c>
      <c r="V794" s="1">
        <f>Table1[[#This Row],[Running total ]]/SUM(I:I)</f>
        <v>0.80448862897676643</v>
      </c>
    </row>
    <row r="795" spans="1:22" x14ac:dyDescent="0.3">
      <c r="A795" t="s">
        <v>1567</v>
      </c>
      <c r="B795" t="s">
        <v>1568</v>
      </c>
      <c r="C795" t="s">
        <v>959</v>
      </c>
      <c r="D795" t="s">
        <v>48</v>
      </c>
      <c r="E795" t="s">
        <v>73</v>
      </c>
      <c r="F795" t="s">
        <v>19</v>
      </c>
      <c r="G795" t="s">
        <v>36</v>
      </c>
      <c r="H795" t="s">
        <v>37</v>
      </c>
      <c r="I795">
        <v>3804.56</v>
      </c>
      <c r="J795">
        <v>4</v>
      </c>
      <c r="K795" s="1">
        <v>0.3</v>
      </c>
      <c r="L795">
        <v>-502.12</v>
      </c>
      <c r="M795" t="s">
        <v>143</v>
      </c>
      <c r="N795" t="s">
        <v>23</v>
      </c>
      <c r="O795" t="str">
        <f t="shared" si="72"/>
        <v>16/02/2024</v>
      </c>
      <c r="P795">
        <f t="shared" si="73"/>
        <v>2024</v>
      </c>
      <c r="Q795">
        <f t="shared" si="74"/>
        <v>2</v>
      </c>
      <c r="R795" t="str">
        <f t="shared" si="75"/>
        <v>February</v>
      </c>
      <c r="S795" t="str">
        <f t="shared" si="76"/>
        <v>Low</v>
      </c>
      <c r="T795" s="1">
        <f t="shared" si="77"/>
        <v>-0.13197846794373069</v>
      </c>
      <c r="U795">
        <f>SUM($I$2:I795)</f>
        <v>2791723.7499999986</v>
      </c>
      <c r="V795" s="1">
        <f>Table1[[#This Row],[Running total ]]/SUM(I:I)</f>
        <v>0.80558648190924675</v>
      </c>
    </row>
    <row r="796" spans="1:22" x14ac:dyDescent="0.3">
      <c r="A796" t="s">
        <v>1569</v>
      </c>
      <c r="B796" t="s">
        <v>180</v>
      </c>
      <c r="C796" t="s">
        <v>1010</v>
      </c>
      <c r="D796" t="s">
        <v>137</v>
      </c>
      <c r="E796" t="s">
        <v>138</v>
      </c>
      <c r="F796" t="s">
        <v>55</v>
      </c>
      <c r="G796" t="s">
        <v>56</v>
      </c>
      <c r="H796" t="s">
        <v>62</v>
      </c>
      <c r="I796">
        <v>776.83</v>
      </c>
      <c r="J796">
        <v>1</v>
      </c>
      <c r="K796" s="1">
        <v>0.05</v>
      </c>
      <c r="L796">
        <v>46.58</v>
      </c>
      <c r="M796" t="s">
        <v>31</v>
      </c>
      <c r="N796" t="s">
        <v>76</v>
      </c>
      <c r="O796" t="str">
        <f t="shared" si="72"/>
        <v>03/07/2024</v>
      </c>
      <c r="P796">
        <f t="shared" si="73"/>
        <v>2024</v>
      </c>
      <c r="Q796">
        <f t="shared" si="74"/>
        <v>7</v>
      </c>
      <c r="R796" t="str">
        <f t="shared" si="75"/>
        <v>July</v>
      </c>
      <c r="S796" t="str">
        <f t="shared" si="76"/>
        <v>High</v>
      </c>
      <c r="T796" s="1">
        <f t="shared" si="77"/>
        <v>5.9961638968628911E-2</v>
      </c>
      <c r="U796">
        <f>SUM($I$2:I796)</f>
        <v>2792500.5799999987</v>
      </c>
      <c r="V796" s="1">
        <f>Table1[[#This Row],[Running total ]]/SUM(I:I)</f>
        <v>0.80581064583189199</v>
      </c>
    </row>
    <row r="797" spans="1:22" x14ac:dyDescent="0.3">
      <c r="A797" t="s">
        <v>1570</v>
      </c>
      <c r="B797" t="s">
        <v>1571</v>
      </c>
      <c r="C797" t="s">
        <v>601</v>
      </c>
      <c r="D797" t="s">
        <v>48</v>
      </c>
      <c r="E797" t="s">
        <v>110</v>
      </c>
      <c r="F797" t="s">
        <v>55</v>
      </c>
      <c r="G797" t="s">
        <v>74</v>
      </c>
      <c r="H797" t="s">
        <v>272</v>
      </c>
      <c r="I797">
        <v>740.64</v>
      </c>
      <c r="J797">
        <v>1</v>
      </c>
      <c r="K797" s="1">
        <v>0.3</v>
      </c>
      <c r="L797">
        <v>0.59</v>
      </c>
      <c r="M797" t="s">
        <v>195</v>
      </c>
      <c r="N797" t="s">
        <v>76</v>
      </c>
      <c r="O797" t="str">
        <f t="shared" si="72"/>
        <v>04/06/2024</v>
      </c>
      <c r="P797">
        <f t="shared" si="73"/>
        <v>2024</v>
      </c>
      <c r="Q797">
        <f t="shared" si="74"/>
        <v>6</v>
      </c>
      <c r="R797" t="str">
        <f t="shared" si="75"/>
        <v>June</v>
      </c>
      <c r="S797" t="str">
        <f t="shared" si="76"/>
        <v>Low</v>
      </c>
      <c r="T797" s="1">
        <f t="shared" si="77"/>
        <v>7.9660833873406779E-4</v>
      </c>
      <c r="U797">
        <f>SUM($I$2:I797)</f>
        <v>2793241.2199999988</v>
      </c>
      <c r="V797" s="1">
        <f>Table1[[#This Row],[Running total ]]/SUM(I:I)</f>
        <v>0.80602436668158617</v>
      </c>
    </row>
    <row r="798" spans="1:22" x14ac:dyDescent="0.3">
      <c r="A798" t="s">
        <v>1572</v>
      </c>
      <c r="B798" t="s">
        <v>592</v>
      </c>
      <c r="C798" t="s">
        <v>327</v>
      </c>
      <c r="D798" t="s">
        <v>48</v>
      </c>
      <c r="E798" t="s">
        <v>49</v>
      </c>
      <c r="F798" t="s">
        <v>67</v>
      </c>
      <c r="G798" t="s">
        <v>85</v>
      </c>
      <c r="H798" t="s">
        <v>253</v>
      </c>
      <c r="I798">
        <v>5440.4</v>
      </c>
      <c r="J798">
        <v>5</v>
      </c>
      <c r="K798" s="1">
        <v>0.15</v>
      </c>
      <c r="L798">
        <v>1530.52</v>
      </c>
      <c r="M798" t="s">
        <v>38</v>
      </c>
      <c r="N798" t="s">
        <v>23</v>
      </c>
      <c r="O798" t="str">
        <f t="shared" si="72"/>
        <v>31/08/2024</v>
      </c>
      <c r="P798">
        <f t="shared" si="73"/>
        <v>2024</v>
      </c>
      <c r="Q798">
        <f t="shared" si="74"/>
        <v>8</v>
      </c>
      <c r="R798" t="str">
        <f t="shared" si="75"/>
        <v>August</v>
      </c>
      <c r="S798" t="str">
        <f t="shared" si="76"/>
        <v>Low</v>
      </c>
      <c r="T798" s="1">
        <f t="shared" si="77"/>
        <v>0.28132490258069259</v>
      </c>
      <c r="U798">
        <f>SUM($I$2:I798)</f>
        <v>2798681.6199999987</v>
      </c>
      <c r="V798" s="1">
        <f>Table1[[#This Row],[Running total ]]/SUM(I:I)</f>
        <v>0.80759426151669611</v>
      </c>
    </row>
    <row r="799" spans="1:22" x14ac:dyDescent="0.3">
      <c r="A799" t="s">
        <v>1573</v>
      </c>
      <c r="B799" t="s">
        <v>360</v>
      </c>
      <c r="C799" t="s">
        <v>618</v>
      </c>
      <c r="D799" t="s">
        <v>27</v>
      </c>
      <c r="E799" t="s">
        <v>124</v>
      </c>
      <c r="F799" t="s">
        <v>55</v>
      </c>
      <c r="G799" t="s">
        <v>56</v>
      </c>
      <c r="H799" t="s">
        <v>129</v>
      </c>
      <c r="I799">
        <v>2208.3000000000002</v>
      </c>
      <c r="J799">
        <v>5</v>
      </c>
      <c r="K799" s="1">
        <v>0</v>
      </c>
      <c r="L799">
        <v>564.17999999999995</v>
      </c>
      <c r="M799" t="s">
        <v>87</v>
      </c>
      <c r="N799" t="s">
        <v>23</v>
      </c>
      <c r="O799" t="str">
        <f t="shared" si="72"/>
        <v>05/07/2025</v>
      </c>
      <c r="P799">
        <f t="shared" si="73"/>
        <v>2025</v>
      </c>
      <c r="Q799">
        <f t="shared" si="74"/>
        <v>7</v>
      </c>
      <c r="R799" t="str">
        <f t="shared" si="75"/>
        <v>July</v>
      </c>
      <c r="S799" t="str">
        <f t="shared" si="76"/>
        <v>No Discount</v>
      </c>
      <c r="T799" s="1">
        <f t="shared" si="77"/>
        <v>0.25548159217497618</v>
      </c>
      <c r="U799">
        <f>SUM($I$2:I799)</f>
        <v>2800889.9199999985</v>
      </c>
      <c r="V799" s="1">
        <f>Table1[[#This Row],[Running total ]]/SUM(I:I)</f>
        <v>0.80823149384600523</v>
      </c>
    </row>
    <row r="800" spans="1:22" x14ac:dyDescent="0.3">
      <c r="A800" t="s">
        <v>1574</v>
      </c>
      <c r="B800" t="s">
        <v>1307</v>
      </c>
      <c r="C800" t="s">
        <v>302</v>
      </c>
      <c r="D800" t="s">
        <v>48</v>
      </c>
      <c r="E800" t="s">
        <v>73</v>
      </c>
      <c r="F800" t="s">
        <v>67</v>
      </c>
      <c r="G800" t="s">
        <v>85</v>
      </c>
      <c r="H800" t="s">
        <v>86</v>
      </c>
      <c r="I800">
        <v>1682.62</v>
      </c>
      <c r="J800">
        <v>2</v>
      </c>
      <c r="K800" s="1">
        <v>0.15</v>
      </c>
      <c r="L800">
        <v>409.59</v>
      </c>
      <c r="M800" t="s">
        <v>195</v>
      </c>
      <c r="N800" t="s">
        <v>76</v>
      </c>
      <c r="O800" t="str">
        <f t="shared" si="72"/>
        <v>10/01/2024</v>
      </c>
      <c r="P800">
        <f t="shared" si="73"/>
        <v>2024</v>
      </c>
      <c r="Q800">
        <f t="shared" si="74"/>
        <v>1</v>
      </c>
      <c r="R800" t="str">
        <f t="shared" si="75"/>
        <v>January</v>
      </c>
      <c r="S800" t="str">
        <f t="shared" si="76"/>
        <v>Low</v>
      </c>
      <c r="T800" s="1">
        <f t="shared" si="77"/>
        <v>0.24342394598899336</v>
      </c>
      <c r="U800">
        <f>SUM($I$2:I800)</f>
        <v>2802572.5399999986</v>
      </c>
      <c r="V800" s="1">
        <f>Table1[[#This Row],[Running total ]]/SUM(I:I)</f>
        <v>0.80871703469731271</v>
      </c>
    </row>
    <row r="801" spans="1:22" x14ac:dyDescent="0.3">
      <c r="A801" t="s">
        <v>1575</v>
      </c>
      <c r="B801" t="s">
        <v>624</v>
      </c>
      <c r="C801" t="s">
        <v>818</v>
      </c>
      <c r="D801" t="s">
        <v>48</v>
      </c>
      <c r="E801" t="s">
        <v>110</v>
      </c>
      <c r="F801" t="s">
        <v>19</v>
      </c>
      <c r="G801" t="s">
        <v>20</v>
      </c>
      <c r="H801" t="s">
        <v>239</v>
      </c>
      <c r="I801">
        <v>8234.1</v>
      </c>
      <c r="J801">
        <v>7</v>
      </c>
      <c r="K801" s="1">
        <v>0.05</v>
      </c>
      <c r="L801">
        <v>1807.83</v>
      </c>
      <c r="M801" t="s">
        <v>38</v>
      </c>
      <c r="N801" t="s">
        <v>76</v>
      </c>
      <c r="O801" t="str">
        <f t="shared" si="72"/>
        <v>30/08/2024</v>
      </c>
      <c r="P801">
        <f t="shared" si="73"/>
        <v>2024</v>
      </c>
      <c r="Q801">
        <f t="shared" si="74"/>
        <v>8</v>
      </c>
      <c r="R801" t="str">
        <f t="shared" si="75"/>
        <v>August</v>
      </c>
      <c r="S801" t="str">
        <f t="shared" si="76"/>
        <v>High</v>
      </c>
      <c r="T801" s="1">
        <f t="shared" si="77"/>
        <v>0.21955404962290959</v>
      </c>
      <c r="U801">
        <f>SUM($I$2:I801)</f>
        <v>2810806.6399999987</v>
      </c>
      <c r="V801" s="1">
        <f>Table1[[#This Row],[Running total ]]/SUM(I:I)</f>
        <v>0.81109308628575838</v>
      </c>
    </row>
    <row r="802" spans="1:22" x14ac:dyDescent="0.3">
      <c r="A802" t="s">
        <v>1576</v>
      </c>
      <c r="B802" t="s">
        <v>1577</v>
      </c>
      <c r="C802" t="s">
        <v>35</v>
      </c>
      <c r="D802" t="s">
        <v>27</v>
      </c>
      <c r="E802" t="s">
        <v>61</v>
      </c>
      <c r="F802" t="s">
        <v>19</v>
      </c>
      <c r="G802" t="s">
        <v>36</v>
      </c>
      <c r="H802" t="s">
        <v>37</v>
      </c>
      <c r="I802">
        <v>5416.8</v>
      </c>
      <c r="J802">
        <v>8</v>
      </c>
      <c r="K802" s="1">
        <v>0.05</v>
      </c>
      <c r="L802">
        <v>929.21</v>
      </c>
      <c r="M802" t="s">
        <v>31</v>
      </c>
      <c r="N802" t="s">
        <v>76</v>
      </c>
      <c r="O802" t="str">
        <f t="shared" si="72"/>
        <v>04/09/2024</v>
      </c>
      <c r="P802">
        <f t="shared" si="73"/>
        <v>2024</v>
      </c>
      <c r="Q802">
        <f t="shared" si="74"/>
        <v>9</v>
      </c>
      <c r="R802" t="str">
        <f t="shared" si="75"/>
        <v>September</v>
      </c>
      <c r="S802" t="str">
        <f t="shared" si="76"/>
        <v>High</v>
      </c>
      <c r="T802" s="1">
        <f t="shared" si="77"/>
        <v>0.17154223896027174</v>
      </c>
      <c r="U802">
        <f>SUM($I$2:I802)</f>
        <v>2816223.4399999985</v>
      </c>
      <c r="V802" s="1">
        <f>Table1[[#This Row],[Running total ]]/SUM(I:I)</f>
        <v>0.81265617104842724</v>
      </c>
    </row>
    <row r="803" spans="1:22" x14ac:dyDescent="0.3">
      <c r="A803" t="s">
        <v>1578</v>
      </c>
      <c r="B803" t="s">
        <v>299</v>
      </c>
      <c r="C803" t="s">
        <v>646</v>
      </c>
      <c r="D803" t="s">
        <v>137</v>
      </c>
      <c r="E803" t="s">
        <v>142</v>
      </c>
      <c r="F803" t="s">
        <v>19</v>
      </c>
      <c r="G803" t="s">
        <v>20</v>
      </c>
      <c r="H803" t="s">
        <v>239</v>
      </c>
      <c r="I803">
        <v>223.46</v>
      </c>
      <c r="J803">
        <v>2</v>
      </c>
      <c r="K803" s="1">
        <v>0.15</v>
      </c>
      <c r="L803">
        <v>-15.47</v>
      </c>
      <c r="M803" t="s">
        <v>44</v>
      </c>
      <c r="N803" t="s">
        <v>76</v>
      </c>
      <c r="O803" t="str">
        <f t="shared" si="72"/>
        <v>27/04/2024</v>
      </c>
      <c r="P803">
        <f t="shared" si="73"/>
        <v>2024</v>
      </c>
      <c r="Q803">
        <f t="shared" si="74"/>
        <v>4</v>
      </c>
      <c r="R803" t="str">
        <f t="shared" si="75"/>
        <v>April</v>
      </c>
      <c r="S803" t="str">
        <f t="shared" si="76"/>
        <v>Low</v>
      </c>
      <c r="T803" s="1">
        <f t="shared" si="77"/>
        <v>-6.9229392284972699E-2</v>
      </c>
      <c r="U803">
        <f>SUM($I$2:I803)</f>
        <v>2816446.8999999985</v>
      </c>
      <c r="V803" s="1">
        <f>Table1[[#This Row],[Running total ]]/SUM(I:I)</f>
        <v>0.81272065320044795</v>
      </c>
    </row>
    <row r="804" spans="1:22" x14ac:dyDescent="0.3">
      <c r="A804" t="s">
        <v>1579</v>
      </c>
      <c r="B804" t="s">
        <v>558</v>
      </c>
      <c r="C804" t="s">
        <v>225</v>
      </c>
      <c r="D804" t="s">
        <v>137</v>
      </c>
      <c r="E804" t="s">
        <v>138</v>
      </c>
      <c r="F804" t="s">
        <v>67</v>
      </c>
      <c r="G804" t="s">
        <v>85</v>
      </c>
      <c r="H804" t="s">
        <v>86</v>
      </c>
      <c r="I804">
        <v>5165.8500000000004</v>
      </c>
      <c r="J804">
        <v>5</v>
      </c>
      <c r="K804" s="1">
        <v>0.05</v>
      </c>
      <c r="L804">
        <v>1288.3499999999999</v>
      </c>
      <c r="M804" t="s">
        <v>107</v>
      </c>
      <c r="N804" t="s">
        <v>23</v>
      </c>
      <c r="O804" t="str">
        <f t="shared" si="72"/>
        <v>21/03/2025</v>
      </c>
      <c r="P804">
        <f t="shared" si="73"/>
        <v>2025</v>
      </c>
      <c r="Q804">
        <f t="shared" si="74"/>
        <v>3</v>
      </c>
      <c r="R804" t="str">
        <f t="shared" si="75"/>
        <v>March</v>
      </c>
      <c r="S804" t="str">
        <f t="shared" si="76"/>
        <v>High</v>
      </c>
      <c r="T804" s="1">
        <f t="shared" si="77"/>
        <v>0.24939748540898396</v>
      </c>
      <c r="U804">
        <f>SUM($I$2:I804)</f>
        <v>2821612.7499999986</v>
      </c>
      <c r="V804" s="1">
        <f>Table1[[#This Row],[Running total ]]/SUM(I:I)</f>
        <v>0.81421132323095191</v>
      </c>
    </row>
    <row r="805" spans="1:22" x14ac:dyDescent="0.3">
      <c r="A805" t="s">
        <v>1580</v>
      </c>
      <c r="B805" t="s">
        <v>1581</v>
      </c>
      <c r="C805" t="s">
        <v>646</v>
      </c>
      <c r="D805" t="s">
        <v>17</v>
      </c>
      <c r="E805" t="s">
        <v>80</v>
      </c>
      <c r="F805" t="s">
        <v>19</v>
      </c>
      <c r="G805" t="s">
        <v>29</v>
      </c>
      <c r="H805" t="s">
        <v>30</v>
      </c>
      <c r="I805">
        <v>122.64</v>
      </c>
      <c r="J805">
        <v>6</v>
      </c>
      <c r="K805" s="1">
        <v>0.3</v>
      </c>
      <c r="L805">
        <v>14.81</v>
      </c>
      <c r="M805" t="s">
        <v>63</v>
      </c>
      <c r="N805" t="s">
        <v>76</v>
      </c>
      <c r="O805" t="str">
        <f t="shared" si="72"/>
        <v>30/08/2025</v>
      </c>
      <c r="P805">
        <f t="shared" si="73"/>
        <v>2025</v>
      </c>
      <c r="Q805">
        <f t="shared" si="74"/>
        <v>8</v>
      </c>
      <c r="R805" t="str">
        <f t="shared" si="75"/>
        <v>August</v>
      </c>
      <c r="S805" t="str">
        <f t="shared" si="76"/>
        <v>Low</v>
      </c>
      <c r="T805" s="1">
        <f t="shared" si="77"/>
        <v>0.12075994781474234</v>
      </c>
      <c r="U805">
        <f>SUM($I$2:I805)</f>
        <v>2821735.3899999987</v>
      </c>
      <c r="V805" s="1">
        <f>Table1[[#This Row],[Running total ]]/SUM(I:I)</f>
        <v>0.81424671252265435</v>
      </c>
    </row>
    <row r="806" spans="1:22" x14ac:dyDescent="0.3">
      <c r="A806" t="s">
        <v>1582</v>
      </c>
      <c r="B806" t="s">
        <v>1268</v>
      </c>
      <c r="C806" t="s">
        <v>1018</v>
      </c>
      <c r="D806" t="s">
        <v>48</v>
      </c>
      <c r="E806" t="s">
        <v>73</v>
      </c>
      <c r="F806" t="s">
        <v>55</v>
      </c>
      <c r="G806" t="s">
        <v>56</v>
      </c>
      <c r="H806" t="s">
        <v>57</v>
      </c>
      <c r="I806">
        <v>109</v>
      </c>
      <c r="J806">
        <v>5</v>
      </c>
      <c r="K806" s="1">
        <v>0.25</v>
      </c>
      <c r="L806">
        <v>-5.19</v>
      </c>
      <c r="M806" t="s">
        <v>38</v>
      </c>
      <c r="N806" t="s">
        <v>39</v>
      </c>
      <c r="O806" t="str">
        <f t="shared" si="72"/>
        <v>12/08/2024</v>
      </c>
      <c r="P806">
        <f t="shared" si="73"/>
        <v>2024</v>
      </c>
      <c r="Q806">
        <f t="shared" si="74"/>
        <v>8</v>
      </c>
      <c r="R806" t="str">
        <f t="shared" si="75"/>
        <v>August</v>
      </c>
      <c r="S806" t="str">
        <f t="shared" si="76"/>
        <v>Low</v>
      </c>
      <c r="T806" s="1">
        <f t="shared" si="77"/>
        <v>-4.7614678899082573E-2</v>
      </c>
      <c r="U806">
        <f>SUM($I$2:I806)</f>
        <v>2821844.3899999987</v>
      </c>
      <c r="V806" s="1">
        <f>Table1[[#This Row],[Running total ]]/SUM(I:I)</f>
        <v>0.81427816582333579</v>
      </c>
    </row>
    <row r="807" spans="1:22" x14ac:dyDescent="0.3">
      <c r="A807" t="s">
        <v>1583</v>
      </c>
      <c r="B807" t="s">
        <v>629</v>
      </c>
      <c r="C807" t="s">
        <v>917</v>
      </c>
      <c r="D807" t="s">
        <v>27</v>
      </c>
      <c r="E807" t="s">
        <v>61</v>
      </c>
      <c r="F807" t="s">
        <v>67</v>
      </c>
      <c r="G807" t="s">
        <v>85</v>
      </c>
      <c r="H807" t="s">
        <v>86</v>
      </c>
      <c r="I807">
        <v>1819.24</v>
      </c>
      <c r="J807">
        <v>4</v>
      </c>
      <c r="K807" s="1">
        <v>0.3</v>
      </c>
      <c r="L807">
        <v>-377.99</v>
      </c>
      <c r="M807" t="s">
        <v>22</v>
      </c>
      <c r="N807" t="s">
        <v>76</v>
      </c>
      <c r="O807" t="str">
        <f t="shared" si="72"/>
        <v>03/09/2024</v>
      </c>
      <c r="P807">
        <f t="shared" si="73"/>
        <v>2024</v>
      </c>
      <c r="Q807">
        <f t="shared" si="74"/>
        <v>9</v>
      </c>
      <c r="R807" t="str">
        <f t="shared" si="75"/>
        <v>September</v>
      </c>
      <c r="S807" t="str">
        <f t="shared" si="76"/>
        <v>Low</v>
      </c>
      <c r="T807" s="1">
        <f t="shared" si="77"/>
        <v>-0.20777357577889669</v>
      </c>
      <c r="U807">
        <f>SUM($I$2:I807)</f>
        <v>2823663.629999999</v>
      </c>
      <c r="V807" s="1">
        <f>Table1[[#This Row],[Running total ]]/SUM(I:I)</f>
        <v>0.81480313006857985</v>
      </c>
    </row>
    <row r="808" spans="1:22" x14ac:dyDescent="0.3">
      <c r="A808" t="s">
        <v>1584</v>
      </c>
      <c r="B808" t="s">
        <v>1471</v>
      </c>
      <c r="C808" t="s">
        <v>519</v>
      </c>
      <c r="D808" t="s">
        <v>48</v>
      </c>
      <c r="E808" t="s">
        <v>73</v>
      </c>
      <c r="F808" t="s">
        <v>19</v>
      </c>
      <c r="G808" t="s">
        <v>36</v>
      </c>
      <c r="H808" t="s">
        <v>37</v>
      </c>
      <c r="I808">
        <v>6440</v>
      </c>
      <c r="J808">
        <v>8</v>
      </c>
      <c r="K808" s="1">
        <v>0.1</v>
      </c>
      <c r="L808">
        <v>2028.94</v>
      </c>
      <c r="M808" t="s">
        <v>38</v>
      </c>
      <c r="N808" t="s">
        <v>39</v>
      </c>
      <c r="O808" t="str">
        <f t="shared" si="72"/>
        <v>05/11/2024</v>
      </c>
      <c r="P808">
        <f t="shared" si="73"/>
        <v>2024</v>
      </c>
      <c r="Q808">
        <f t="shared" si="74"/>
        <v>11</v>
      </c>
      <c r="R808" t="str">
        <f t="shared" si="75"/>
        <v>November</v>
      </c>
      <c r="S808" t="str">
        <f t="shared" si="76"/>
        <v>Low</v>
      </c>
      <c r="T808" s="1">
        <f t="shared" si="77"/>
        <v>0.31505279503105593</v>
      </c>
      <c r="U808">
        <f>SUM($I$2:I808)</f>
        <v>2830103.629999999</v>
      </c>
      <c r="V808" s="1">
        <f>Table1[[#This Row],[Running total ]]/SUM(I:I)</f>
        <v>0.81666147187030558</v>
      </c>
    </row>
    <row r="809" spans="1:22" x14ac:dyDescent="0.3">
      <c r="A809" t="s">
        <v>1585</v>
      </c>
      <c r="B809" t="s">
        <v>1586</v>
      </c>
      <c r="C809" t="s">
        <v>367</v>
      </c>
      <c r="D809" t="s">
        <v>27</v>
      </c>
      <c r="E809" t="s">
        <v>43</v>
      </c>
      <c r="F809" t="s">
        <v>67</v>
      </c>
      <c r="G809" t="s">
        <v>68</v>
      </c>
      <c r="H809" t="s">
        <v>69</v>
      </c>
      <c r="I809">
        <v>7017.36</v>
      </c>
      <c r="J809">
        <v>6</v>
      </c>
      <c r="K809" s="1">
        <v>0.2</v>
      </c>
      <c r="L809">
        <v>-495.04</v>
      </c>
      <c r="M809" t="s">
        <v>87</v>
      </c>
      <c r="N809" t="s">
        <v>23</v>
      </c>
      <c r="O809" t="str">
        <f t="shared" si="72"/>
        <v>30/05/2024</v>
      </c>
      <c r="P809">
        <f t="shared" si="73"/>
        <v>2024</v>
      </c>
      <c r="Q809">
        <f t="shared" si="74"/>
        <v>5</v>
      </c>
      <c r="R809" t="str">
        <f t="shared" si="75"/>
        <v>May</v>
      </c>
      <c r="S809" t="str">
        <f t="shared" si="76"/>
        <v>Low</v>
      </c>
      <c r="T809" s="1">
        <f t="shared" si="77"/>
        <v>-7.0545048280264949E-2</v>
      </c>
      <c r="U809">
        <f>SUM($I$2:I809)</f>
        <v>2837120.9899999988</v>
      </c>
      <c r="V809" s="1">
        <f>Table1[[#This Row],[Running total ]]/SUM(I:I)</f>
        <v>0.81868641805442943</v>
      </c>
    </row>
    <row r="810" spans="1:22" x14ac:dyDescent="0.3">
      <c r="A810" t="s">
        <v>1587</v>
      </c>
      <c r="B810" t="s">
        <v>1588</v>
      </c>
      <c r="C810" t="s">
        <v>421</v>
      </c>
      <c r="D810" t="s">
        <v>137</v>
      </c>
      <c r="E810" t="s">
        <v>242</v>
      </c>
      <c r="F810" t="s">
        <v>19</v>
      </c>
      <c r="G810" t="s">
        <v>20</v>
      </c>
      <c r="H810" t="s">
        <v>239</v>
      </c>
      <c r="I810">
        <v>5200.1099999999997</v>
      </c>
      <c r="J810">
        <v>9</v>
      </c>
      <c r="K810" s="1">
        <v>0</v>
      </c>
      <c r="L810">
        <v>2004.09</v>
      </c>
      <c r="M810" t="s">
        <v>117</v>
      </c>
      <c r="N810" t="s">
        <v>23</v>
      </c>
      <c r="O810" t="str">
        <f t="shared" si="72"/>
        <v>23/10/2025</v>
      </c>
      <c r="P810">
        <f t="shared" si="73"/>
        <v>2025</v>
      </c>
      <c r="Q810">
        <f t="shared" si="74"/>
        <v>10</v>
      </c>
      <c r="R810" t="str">
        <f t="shared" si="75"/>
        <v>October</v>
      </c>
      <c r="S810" t="str">
        <f t="shared" si="76"/>
        <v>No Discount</v>
      </c>
      <c r="T810" s="1">
        <f t="shared" si="77"/>
        <v>0.38539377051639295</v>
      </c>
      <c r="U810">
        <f>SUM($I$2:I810)</f>
        <v>2842321.0999999987</v>
      </c>
      <c r="V810" s="1">
        <f>Table1[[#This Row],[Running total ]]/SUM(I:I)</f>
        <v>0.82018697423246856</v>
      </c>
    </row>
    <row r="811" spans="1:22" x14ac:dyDescent="0.3">
      <c r="A811" t="s">
        <v>1589</v>
      </c>
      <c r="B811" t="s">
        <v>65</v>
      </c>
      <c r="C811" t="s">
        <v>450</v>
      </c>
      <c r="D811" t="s">
        <v>27</v>
      </c>
      <c r="E811" t="s">
        <v>28</v>
      </c>
      <c r="F811" t="s">
        <v>67</v>
      </c>
      <c r="G811" t="s">
        <v>115</v>
      </c>
      <c r="H811" t="s">
        <v>212</v>
      </c>
      <c r="I811">
        <v>4239.76</v>
      </c>
      <c r="J811">
        <v>4</v>
      </c>
      <c r="K811" s="1">
        <v>0.15</v>
      </c>
      <c r="L811">
        <v>592.13</v>
      </c>
      <c r="M811" t="s">
        <v>31</v>
      </c>
      <c r="N811" t="s">
        <v>76</v>
      </c>
      <c r="O811" t="str">
        <f t="shared" si="72"/>
        <v>03/09/2025</v>
      </c>
      <c r="P811">
        <f t="shared" si="73"/>
        <v>2025</v>
      </c>
      <c r="Q811">
        <f t="shared" si="74"/>
        <v>9</v>
      </c>
      <c r="R811" t="str">
        <f t="shared" si="75"/>
        <v>September</v>
      </c>
      <c r="S811" t="str">
        <f t="shared" si="76"/>
        <v>Low</v>
      </c>
      <c r="T811" s="1">
        <f t="shared" si="77"/>
        <v>0.13966120723814554</v>
      </c>
      <c r="U811">
        <f>SUM($I$2:I811)</f>
        <v>2846560.8599999985</v>
      </c>
      <c r="V811" s="1">
        <f>Table1[[#This Row],[Running total ]]/SUM(I:I)</f>
        <v>0.82141040951776123</v>
      </c>
    </row>
    <row r="812" spans="1:22" x14ac:dyDescent="0.3">
      <c r="A812" t="s">
        <v>1590</v>
      </c>
      <c r="B812" t="s">
        <v>1186</v>
      </c>
      <c r="C812" t="s">
        <v>460</v>
      </c>
      <c r="D812" t="s">
        <v>48</v>
      </c>
      <c r="E812" t="s">
        <v>49</v>
      </c>
      <c r="F812" t="s">
        <v>55</v>
      </c>
      <c r="G812" t="s">
        <v>98</v>
      </c>
      <c r="H812" t="s">
        <v>154</v>
      </c>
      <c r="I812">
        <v>4090.86</v>
      </c>
      <c r="J812">
        <v>9</v>
      </c>
      <c r="K812" s="1">
        <v>0.25</v>
      </c>
      <c r="L812">
        <v>460.42</v>
      </c>
      <c r="M812" t="s">
        <v>87</v>
      </c>
      <c r="N812" t="s">
        <v>32</v>
      </c>
      <c r="O812" t="str">
        <f t="shared" si="72"/>
        <v>12/06/2025</v>
      </c>
      <c r="P812">
        <f t="shared" si="73"/>
        <v>2025</v>
      </c>
      <c r="Q812">
        <f t="shared" si="74"/>
        <v>6</v>
      </c>
      <c r="R812" t="str">
        <f t="shared" si="75"/>
        <v>June</v>
      </c>
      <c r="S812" t="str">
        <f t="shared" si="76"/>
        <v>Low</v>
      </c>
      <c r="T812" s="1">
        <f t="shared" si="77"/>
        <v>0.11254846169265142</v>
      </c>
      <c r="U812">
        <f>SUM($I$2:I812)</f>
        <v>2850651.7199999983</v>
      </c>
      <c r="V812" s="1">
        <f>Table1[[#This Row],[Running total ]]/SUM(I:I)</f>
        <v>0.82259087786294871</v>
      </c>
    </row>
    <row r="813" spans="1:22" x14ac:dyDescent="0.3">
      <c r="A813" t="s">
        <v>1591</v>
      </c>
      <c r="B813" t="s">
        <v>204</v>
      </c>
      <c r="C813" t="s">
        <v>327</v>
      </c>
      <c r="D813" t="s">
        <v>48</v>
      </c>
      <c r="E813" t="s">
        <v>84</v>
      </c>
      <c r="F813" t="s">
        <v>55</v>
      </c>
      <c r="G813" t="s">
        <v>74</v>
      </c>
      <c r="H813" t="s">
        <v>75</v>
      </c>
      <c r="I813">
        <v>4836.16</v>
      </c>
      <c r="J813">
        <v>7</v>
      </c>
      <c r="K813" s="1">
        <v>0.2</v>
      </c>
      <c r="L813">
        <v>-172.17</v>
      </c>
      <c r="M813" t="s">
        <v>195</v>
      </c>
      <c r="N813" t="s">
        <v>32</v>
      </c>
      <c r="O813" t="str">
        <f t="shared" si="72"/>
        <v>18/11/2025</v>
      </c>
      <c r="P813">
        <f t="shared" si="73"/>
        <v>2025</v>
      </c>
      <c r="Q813">
        <f t="shared" si="74"/>
        <v>11</v>
      </c>
      <c r="R813" t="str">
        <f t="shared" si="75"/>
        <v>November</v>
      </c>
      <c r="S813" t="str">
        <f t="shared" si="76"/>
        <v>Low</v>
      </c>
      <c r="T813" s="1">
        <f t="shared" si="77"/>
        <v>-3.5600559121286311E-2</v>
      </c>
      <c r="U813">
        <f>SUM($I$2:I813)</f>
        <v>2855487.8799999985</v>
      </c>
      <c r="V813" s="1">
        <f>Table1[[#This Row],[Running total ]]/SUM(I:I)</f>
        <v>0.82398641175857512</v>
      </c>
    </row>
    <row r="814" spans="1:22" x14ac:dyDescent="0.3">
      <c r="A814" t="s">
        <v>1592</v>
      </c>
      <c r="B814" t="s">
        <v>401</v>
      </c>
      <c r="C814" t="s">
        <v>1234</v>
      </c>
      <c r="D814" t="s">
        <v>27</v>
      </c>
      <c r="E814" t="s">
        <v>28</v>
      </c>
      <c r="F814" t="s">
        <v>19</v>
      </c>
      <c r="G814" t="s">
        <v>29</v>
      </c>
      <c r="H814" t="s">
        <v>199</v>
      </c>
      <c r="I814">
        <v>5532.35</v>
      </c>
      <c r="J814">
        <v>5</v>
      </c>
      <c r="K814" s="1">
        <v>0.15</v>
      </c>
      <c r="L814">
        <v>647.04</v>
      </c>
      <c r="M814" t="s">
        <v>117</v>
      </c>
      <c r="N814" t="s">
        <v>32</v>
      </c>
      <c r="O814" t="str">
        <f t="shared" si="72"/>
        <v>26/10/2024</v>
      </c>
      <c r="P814">
        <f t="shared" si="73"/>
        <v>2024</v>
      </c>
      <c r="Q814">
        <f t="shared" si="74"/>
        <v>10</v>
      </c>
      <c r="R814" t="str">
        <f t="shared" si="75"/>
        <v>October</v>
      </c>
      <c r="S814" t="str">
        <f t="shared" si="76"/>
        <v>Low</v>
      </c>
      <c r="T814" s="1">
        <f t="shared" si="77"/>
        <v>0.11695572405939608</v>
      </c>
      <c r="U814">
        <f>SUM($I$2:I814)</f>
        <v>2861020.2299999986</v>
      </c>
      <c r="V814" s="1">
        <f>Table1[[#This Row],[Running total ]]/SUM(I:I)</f>
        <v>0.82558283990559034</v>
      </c>
    </row>
    <row r="815" spans="1:22" x14ac:dyDescent="0.3">
      <c r="A815" t="s">
        <v>1593</v>
      </c>
      <c r="B815" t="s">
        <v>1594</v>
      </c>
      <c r="C815" t="s">
        <v>749</v>
      </c>
      <c r="D815" t="s">
        <v>137</v>
      </c>
      <c r="E815" t="s">
        <v>138</v>
      </c>
      <c r="F815" t="s">
        <v>55</v>
      </c>
      <c r="G815" t="s">
        <v>74</v>
      </c>
      <c r="H815" t="s">
        <v>133</v>
      </c>
      <c r="I815">
        <v>3966.93</v>
      </c>
      <c r="J815">
        <v>9</v>
      </c>
      <c r="K815" s="1">
        <v>0.2</v>
      </c>
      <c r="L815">
        <v>880.97</v>
      </c>
      <c r="M815" t="s">
        <v>87</v>
      </c>
      <c r="N815" t="s">
        <v>23</v>
      </c>
      <c r="O815" t="str">
        <f t="shared" si="72"/>
        <v>30/05/2025</v>
      </c>
      <c r="P815">
        <f t="shared" si="73"/>
        <v>2025</v>
      </c>
      <c r="Q815">
        <f t="shared" si="74"/>
        <v>5</v>
      </c>
      <c r="R815" t="str">
        <f t="shared" si="75"/>
        <v>May</v>
      </c>
      <c r="S815" t="str">
        <f t="shared" si="76"/>
        <v>Low</v>
      </c>
      <c r="T815" s="1">
        <f t="shared" si="77"/>
        <v>0.22207853428217791</v>
      </c>
      <c r="U815">
        <f>SUM($I$2:I815)</f>
        <v>2864987.1599999988</v>
      </c>
      <c r="V815" s="1">
        <f>Table1[[#This Row],[Running total ]]/SUM(I:I)</f>
        <v>0.82672754671359028</v>
      </c>
    </row>
    <row r="816" spans="1:22" x14ac:dyDescent="0.3">
      <c r="A816" t="s">
        <v>1595</v>
      </c>
      <c r="B816" t="s">
        <v>757</v>
      </c>
      <c r="C816" t="s">
        <v>26</v>
      </c>
      <c r="D816" t="s">
        <v>27</v>
      </c>
      <c r="E816" t="s">
        <v>124</v>
      </c>
      <c r="F816" t="s">
        <v>55</v>
      </c>
      <c r="G816" t="s">
        <v>74</v>
      </c>
      <c r="H816" t="s">
        <v>272</v>
      </c>
      <c r="I816">
        <v>2156.62</v>
      </c>
      <c r="J816">
        <v>2</v>
      </c>
      <c r="K816" s="1">
        <v>0.05</v>
      </c>
      <c r="L816">
        <v>110.68</v>
      </c>
      <c r="M816" t="s">
        <v>107</v>
      </c>
      <c r="N816" t="s">
        <v>23</v>
      </c>
      <c r="O816" t="str">
        <f t="shared" si="72"/>
        <v>05/06/2025</v>
      </c>
      <c r="P816">
        <f t="shared" si="73"/>
        <v>2025</v>
      </c>
      <c r="Q816">
        <f t="shared" si="74"/>
        <v>6</v>
      </c>
      <c r="R816" t="str">
        <f t="shared" si="75"/>
        <v>June</v>
      </c>
      <c r="S816" t="str">
        <f t="shared" si="76"/>
        <v>High</v>
      </c>
      <c r="T816" s="1">
        <f t="shared" si="77"/>
        <v>5.1321048678023951E-2</v>
      </c>
      <c r="U816">
        <f>SUM($I$2:I816)</f>
        <v>2867143.7799999989</v>
      </c>
      <c r="V816" s="1">
        <f>Table1[[#This Row],[Running total ]]/SUM(I:I)</f>
        <v>0.82734986613850303</v>
      </c>
    </row>
    <row r="817" spans="1:22" x14ac:dyDescent="0.3">
      <c r="A817" t="s">
        <v>1596</v>
      </c>
      <c r="B817" t="s">
        <v>1562</v>
      </c>
      <c r="C817" t="s">
        <v>693</v>
      </c>
      <c r="D817" t="s">
        <v>17</v>
      </c>
      <c r="E817" t="s">
        <v>54</v>
      </c>
      <c r="F817" t="s">
        <v>67</v>
      </c>
      <c r="G817" t="s">
        <v>115</v>
      </c>
      <c r="H817" t="s">
        <v>178</v>
      </c>
      <c r="I817">
        <v>1337.04</v>
      </c>
      <c r="J817">
        <v>3</v>
      </c>
      <c r="K817" s="1">
        <v>0.1</v>
      </c>
      <c r="L817">
        <v>67.849999999999994</v>
      </c>
      <c r="M817" t="s">
        <v>107</v>
      </c>
      <c r="N817" t="s">
        <v>76</v>
      </c>
      <c r="O817" t="str">
        <f t="shared" si="72"/>
        <v>02/03/2024</v>
      </c>
      <c r="P817">
        <f t="shared" si="73"/>
        <v>2024</v>
      </c>
      <c r="Q817">
        <f t="shared" si="74"/>
        <v>3</v>
      </c>
      <c r="R817" t="str">
        <f t="shared" si="75"/>
        <v>March</v>
      </c>
      <c r="S817" t="str">
        <f t="shared" si="76"/>
        <v>Low</v>
      </c>
      <c r="T817" s="1">
        <f t="shared" si="77"/>
        <v>5.0746424938670494E-2</v>
      </c>
      <c r="U817">
        <f>SUM($I$2:I817)</f>
        <v>2868480.8199999989</v>
      </c>
      <c r="V817" s="1">
        <f>Table1[[#This Row],[Running total ]]/SUM(I:I)</f>
        <v>0.82773568559853095</v>
      </c>
    </row>
    <row r="818" spans="1:22" x14ac:dyDescent="0.3">
      <c r="A818" t="s">
        <v>1597</v>
      </c>
      <c r="B818" t="s">
        <v>454</v>
      </c>
      <c r="C818" t="s">
        <v>408</v>
      </c>
      <c r="D818" t="s">
        <v>27</v>
      </c>
      <c r="E818" t="s">
        <v>28</v>
      </c>
      <c r="F818" t="s">
        <v>55</v>
      </c>
      <c r="G818" t="s">
        <v>98</v>
      </c>
      <c r="H818" t="s">
        <v>99</v>
      </c>
      <c r="I818">
        <v>6318.96</v>
      </c>
      <c r="J818">
        <v>8</v>
      </c>
      <c r="K818" s="1">
        <v>0.15</v>
      </c>
      <c r="L818">
        <v>-325.38</v>
      </c>
      <c r="M818" t="s">
        <v>22</v>
      </c>
      <c r="N818" t="s">
        <v>23</v>
      </c>
      <c r="O818" t="str">
        <f t="shared" si="72"/>
        <v>21/06/2025</v>
      </c>
      <c r="P818">
        <f t="shared" si="73"/>
        <v>2025</v>
      </c>
      <c r="Q818">
        <f t="shared" si="74"/>
        <v>6</v>
      </c>
      <c r="R818" t="str">
        <f t="shared" si="75"/>
        <v>June</v>
      </c>
      <c r="S818" t="str">
        <f t="shared" si="76"/>
        <v>Low</v>
      </c>
      <c r="T818" s="1">
        <f t="shared" si="77"/>
        <v>-5.1492650689353943E-2</v>
      </c>
      <c r="U818">
        <f>SUM($I$2:I818)</f>
        <v>2874799.7799999989</v>
      </c>
      <c r="V818" s="1">
        <f>Table1[[#This Row],[Running total ]]/SUM(I:I)</f>
        <v>0.82955909980838072</v>
      </c>
    </row>
    <row r="819" spans="1:22" x14ac:dyDescent="0.3">
      <c r="A819" t="s">
        <v>1598</v>
      </c>
      <c r="B819" t="s">
        <v>1599</v>
      </c>
      <c r="C819" t="s">
        <v>172</v>
      </c>
      <c r="D819" t="s">
        <v>27</v>
      </c>
      <c r="E819" t="s">
        <v>61</v>
      </c>
      <c r="F819" t="s">
        <v>55</v>
      </c>
      <c r="G819" t="s">
        <v>56</v>
      </c>
      <c r="H819" t="s">
        <v>57</v>
      </c>
      <c r="I819">
        <v>10628.46</v>
      </c>
      <c r="J819">
        <v>9</v>
      </c>
      <c r="K819" s="1">
        <v>0.1</v>
      </c>
      <c r="L819">
        <v>3283.02</v>
      </c>
      <c r="M819" t="s">
        <v>195</v>
      </c>
      <c r="N819" t="s">
        <v>39</v>
      </c>
      <c r="O819" t="str">
        <f t="shared" si="72"/>
        <v>30/07/2025</v>
      </c>
      <c r="P819">
        <f t="shared" si="73"/>
        <v>2025</v>
      </c>
      <c r="Q819">
        <f t="shared" si="74"/>
        <v>7</v>
      </c>
      <c r="R819" t="str">
        <f t="shared" si="75"/>
        <v>July</v>
      </c>
      <c r="S819" t="str">
        <f t="shared" si="76"/>
        <v>Low</v>
      </c>
      <c r="T819" s="1">
        <f t="shared" si="77"/>
        <v>0.30888952868054265</v>
      </c>
      <c r="U819">
        <f>SUM($I$2:I819)</f>
        <v>2885428.2399999988</v>
      </c>
      <c r="V819" s="1">
        <f>Table1[[#This Row],[Running total ]]/SUM(I:I)</f>
        <v>0.83262607364471142</v>
      </c>
    </row>
    <row r="820" spans="1:22" x14ac:dyDescent="0.3">
      <c r="A820" t="s">
        <v>1600</v>
      </c>
      <c r="B820" t="s">
        <v>288</v>
      </c>
      <c r="C820" t="s">
        <v>1234</v>
      </c>
      <c r="D820" t="s">
        <v>27</v>
      </c>
      <c r="E820" t="s">
        <v>61</v>
      </c>
      <c r="F820" t="s">
        <v>55</v>
      </c>
      <c r="G820" t="s">
        <v>98</v>
      </c>
      <c r="H820" t="s">
        <v>99</v>
      </c>
      <c r="I820">
        <v>7855.47</v>
      </c>
      <c r="J820">
        <v>9</v>
      </c>
      <c r="K820" s="1">
        <v>0.2</v>
      </c>
      <c r="L820">
        <v>1062.1099999999999</v>
      </c>
      <c r="M820" t="s">
        <v>63</v>
      </c>
      <c r="N820" t="s">
        <v>76</v>
      </c>
      <c r="O820" t="str">
        <f t="shared" si="72"/>
        <v>18/11/2024</v>
      </c>
      <c r="P820">
        <f t="shared" si="73"/>
        <v>2024</v>
      </c>
      <c r="Q820">
        <f t="shared" si="74"/>
        <v>11</v>
      </c>
      <c r="R820" t="str">
        <f t="shared" si="75"/>
        <v>November</v>
      </c>
      <c r="S820" t="str">
        <f t="shared" si="76"/>
        <v>Low</v>
      </c>
      <c r="T820" s="1">
        <f t="shared" si="77"/>
        <v>0.13520642304025091</v>
      </c>
      <c r="U820">
        <f>SUM($I$2:I820)</f>
        <v>2893283.709999999</v>
      </c>
      <c r="V820" s="1">
        <f>Table1[[#This Row],[Running total ]]/SUM(I:I)</f>
        <v>0.8348928668548361</v>
      </c>
    </row>
    <row r="821" spans="1:22" x14ac:dyDescent="0.3">
      <c r="A821" t="s">
        <v>1601</v>
      </c>
      <c r="B821" t="s">
        <v>227</v>
      </c>
      <c r="C821" t="s">
        <v>701</v>
      </c>
      <c r="D821" t="s">
        <v>17</v>
      </c>
      <c r="E821" t="s">
        <v>97</v>
      </c>
      <c r="F821" t="s">
        <v>67</v>
      </c>
      <c r="G821" t="s">
        <v>68</v>
      </c>
      <c r="H821" t="s">
        <v>69</v>
      </c>
      <c r="I821">
        <v>209.82</v>
      </c>
      <c r="J821">
        <v>2</v>
      </c>
      <c r="K821" s="1">
        <v>0</v>
      </c>
      <c r="L821">
        <v>52.92</v>
      </c>
      <c r="M821" t="s">
        <v>87</v>
      </c>
      <c r="N821" t="s">
        <v>39</v>
      </c>
      <c r="O821" t="str">
        <f t="shared" si="72"/>
        <v>02/11/2025</v>
      </c>
      <c r="P821">
        <f t="shared" si="73"/>
        <v>2025</v>
      </c>
      <c r="Q821">
        <f t="shared" si="74"/>
        <v>11</v>
      </c>
      <c r="R821" t="str">
        <f t="shared" si="75"/>
        <v>November</v>
      </c>
      <c r="S821" t="str">
        <f t="shared" si="76"/>
        <v>No Discount</v>
      </c>
      <c r="T821" s="1">
        <f t="shared" si="77"/>
        <v>0.25221618530168716</v>
      </c>
      <c r="U821">
        <f>SUM($I$2:I821)</f>
        <v>2893493.5299999989</v>
      </c>
      <c r="V821" s="1">
        <f>Table1[[#This Row],[Running total ]]/SUM(I:I)</f>
        <v>0.83495341301583581</v>
      </c>
    </row>
    <row r="822" spans="1:22" x14ac:dyDescent="0.3">
      <c r="A822" t="s">
        <v>1602</v>
      </c>
      <c r="B822" t="s">
        <v>1416</v>
      </c>
      <c r="C822" t="s">
        <v>851</v>
      </c>
      <c r="D822" t="s">
        <v>48</v>
      </c>
      <c r="E822" t="s">
        <v>110</v>
      </c>
      <c r="F822" t="s">
        <v>55</v>
      </c>
      <c r="G822" t="s">
        <v>98</v>
      </c>
      <c r="H822" t="s">
        <v>154</v>
      </c>
      <c r="I822">
        <v>515.67999999999995</v>
      </c>
      <c r="J822">
        <v>1</v>
      </c>
      <c r="K822" s="1">
        <v>0.3</v>
      </c>
      <c r="L822">
        <v>-47.01</v>
      </c>
      <c r="M822" t="s">
        <v>38</v>
      </c>
      <c r="N822" t="s">
        <v>32</v>
      </c>
      <c r="O822" t="str">
        <f t="shared" si="72"/>
        <v>17/10/2024</v>
      </c>
      <c r="P822">
        <f t="shared" si="73"/>
        <v>2024</v>
      </c>
      <c r="Q822">
        <f t="shared" si="74"/>
        <v>10</v>
      </c>
      <c r="R822" t="str">
        <f t="shared" si="75"/>
        <v>October</v>
      </c>
      <c r="S822" t="str">
        <f t="shared" si="76"/>
        <v>Low</v>
      </c>
      <c r="T822" s="1">
        <f t="shared" si="77"/>
        <v>-9.1161185231151104E-2</v>
      </c>
      <c r="U822">
        <f>SUM($I$2:I822)</f>
        <v>2894009.209999999</v>
      </c>
      <c r="V822" s="1">
        <f>Table1[[#This Row],[Running total ]]/SUM(I:I)</f>
        <v>0.83510221886992186</v>
      </c>
    </row>
    <row r="823" spans="1:22" x14ac:dyDescent="0.3">
      <c r="A823" t="s">
        <v>1603</v>
      </c>
      <c r="B823" t="s">
        <v>580</v>
      </c>
      <c r="C823" t="s">
        <v>1010</v>
      </c>
      <c r="D823" t="s">
        <v>48</v>
      </c>
      <c r="E823" t="s">
        <v>73</v>
      </c>
      <c r="F823" t="s">
        <v>55</v>
      </c>
      <c r="G823" t="s">
        <v>56</v>
      </c>
      <c r="H823" t="s">
        <v>129</v>
      </c>
      <c r="I823">
        <v>2795.13</v>
      </c>
      <c r="J823">
        <v>3</v>
      </c>
      <c r="K823" s="1">
        <v>0.25</v>
      </c>
      <c r="L823">
        <v>227.14</v>
      </c>
      <c r="M823" t="s">
        <v>44</v>
      </c>
      <c r="N823" t="s">
        <v>23</v>
      </c>
      <c r="O823" t="str">
        <f t="shared" si="72"/>
        <v>26/12/2025</v>
      </c>
      <c r="P823">
        <f t="shared" si="73"/>
        <v>2025</v>
      </c>
      <c r="Q823">
        <f t="shared" si="74"/>
        <v>12</v>
      </c>
      <c r="R823" t="str">
        <f t="shared" si="75"/>
        <v>December</v>
      </c>
      <c r="S823" t="str">
        <f t="shared" si="76"/>
        <v>Low</v>
      </c>
      <c r="T823" s="1">
        <f t="shared" si="77"/>
        <v>8.1262767742466352E-2</v>
      </c>
      <c r="U823">
        <f>SUM($I$2:I823)</f>
        <v>2896804.3399999989</v>
      </c>
      <c r="V823" s="1">
        <f>Table1[[#This Row],[Running total ]]/SUM(I:I)</f>
        <v>0.83590878826747739</v>
      </c>
    </row>
    <row r="824" spans="1:22" x14ac:dyDescent="0.3">
      <c r="A824" t="s">
        <v>1604</v>
      </c>
      <c r="B824" t="s">
        <v>1605</v>
      </c>
      <c r="C824" t="s">
        <v>498</v>
      </c>
      <c r="D824" t="s">
        <v>27</v>
      </c>
      <c r="E824" t="s">
        <v>124</v>
      </c>
      <c r="F824" t="s">
        <v>19</v>
      </c>
      <c r="G824" t="s">
        <v>36</v>
      </c>
      <c r="H824" t="s">
        <v>222</v>
      </c>
      <c r="I824">
        <v>277.37</v>
      </c>
      <c r="J824">
        <v>1</v>
      </c>
      <c r="K824" s="1">
        <v>0.2</v>
      </c>
      <c r="L824">
        <v>12.76</v>
      </c>
      <c r="M824" t="s">
        <v>143</v>
      </c>
      <c r="N824" t="s">
        <v>32</v>
      </c>
      <c r="O824" t="str">
        <f t="shared" si="72"/>
        <v>01/01/2024</v>
      </c>
      <c r="P824">
        <f t="shared" si="73"/>
        <v>2024</v>
      </c>
      <c r="Q824">
        <f t="shared" si="74"/>
        <v>1</v>
      </c>
      <c r="R824" t="str">
        <f t="shared" si="75"/>
        <v>January</v>
      </c>
      <c r="S824" t="str">
        <f t="shared" si="76"/>
        <v>Low</v>
      </c>
      <c r="T824" s="1">
        <f t="shared" si="77"/>
        <v>4.6003533186718099E-2</v>
      </c>
      <c r="U824">
        <f>SUM($I$2:I824)</f>
        <v>2897081.709999999</v>
      </c>
      <c r="V824" s="1">
        <f>Table1[[#This Row],[Running total ]]/SUM(I:I)</f>
        <v>0.83598882681802777</v>
      </c>
    </row>
    <row r="825" spans="1:22" x14ac:dyDescent="0.3">
      <c r="A825" t="s">
        <v>1606</v>
      </c>
      <c r="B825" t="s">
        <v>799</v>
      </c>
      <c r="C825" t="s">
        <v>1088</v>
      </c>
      <c r="D825" t="s">
        <v>17</v>
      </c>
      <c r="E825" t="s">
        <v>54</v>
      </c>
      <c r="F825" t="s">
        <v>67</v>
      </c>
      <c r="G825" t="s">
        <v>85</v>
      </c>
      <c r="H825" t="s">
        <v>253</v>
      </c>
      <c r="I825">
        <v>8172.2</v>
      </c>
      <c r="J825">
        <v>10</v>
      </c>
      <c r="K825" s="1">
        <v>0.3</v>
      </c>
      <c r="L825">
        <v>-959.77</v>
      </c>
      <c r="M825" t="s">
        <v>38</v>
      </c>
      <c r="N825" t="s">
        <v>76</v>
      </c>
      <c r="O825" t="str">
        <f t="shared" si="72"/>
        <v>19/08/2025</v>
      </c>
      <c r="P825">
        <f t="shared" si="73"/>
        <v>2025</v>
      </c>
      <c r="Q825">
        <f t="shared" si="74"/>
        <v>8</v>
      </c>
      <c r="R825" t="str">
        <f t="shared" si="75"/>
        <v>August</v>
      </c>
      <c r="S825" t="str">
        <f t="shared" si="76"/>
        <v>Low</v>
      </c>
      <c r="T825" s="1">
        <f t="shared" si="77"/>
        <v>-0.11744328332639925</v>
      </c>
      <c r="U825">
        <f>SUM($I$2:I825)</f>
        <v>2905253.9099999992</v>
      </c>
      <c r="V825" s="1">
        <f>Table1[[#This Row],[Running total ]]/SUM(I:I)</f>
        <v>0.83834701639443521</v>
      </c>
    </row>
    <row r="826" spans="1:22" x14ac:dyDescent="0.3">
      <c r="A826" t="s">
        <v>1607</v>
      </c>
      <c r="B826" t="s">
        <v>214</v>
      </c>
      <c r="C826" t="s">
        <v>324</v>
      </c>
      <c r="D826" t="s">
        <v>27</v>
      </c>
      <c r="E826" t="s">
        <v>43</v>
      </c>
      <c r="F826" t="s">
        <v>55</v>
      </c>
      <c r="G826" t="s">
        <v>74</v>
      </c>
      <c r="H826" t="s">
        <v>272</v>
      </c>
      <c r="I826">
        <v>3933.28</v>
      </c>
      <c r="J826">
        <v>4</v>
      </c>
      <c r="K826" s="1">
        <v>0.25</v>
      </c>
      <c r="L826">
        <v>-82.07</v>
      </c>
      <c r="M826" t="s">
        <v>87</v>
      </c>
      <c r="N826" t="s">
        <v>23</v>
      </c>
      <c r="O826" t="str">
        <f t="shared" si="72"/>
        <v>26/11/2025</v>
      </c>
      <c r="P826">
        <f t="shared" si="73"/>
        <v>2025</v>
      </c>
      <c r="Q826">
        <f t="shared" si="74"/>
        <v>11</v>
      </c>
      <c r="R826" t="str">
        <f t="shared" si="75"/>
        <v>November</v>
      </c>
      <c r="S826" t="str">
        <f t="shared" si="76"/>
        <v>Low</v>
      </c>
      <c r="T826" s="1">
        <f t="shared" si="77"/>
        <v>-2.0865537159825892E-2</v>
      </c>
      <c r="U826">
        <f>SUM($I$2:I826)</f>
        <v>2909187.189999999</v>
      </c>
      <c r="V826" s="1">
        <f>Table1[[#This Row],[Running total ]]/SUM(I:I)</f>
        <v>0.83948201307795867</v>
      </c>
    </row>
    <row r="827" spans="1:22" x14ac:dyDescent="0.3">
      <c r="A827" t="s">
        <v>1608</v>
      </c>
      <c r="B827" t="s">
        <v>1609</v>
      </c>
      <c r="C827" t="s">
        <v>79</v>
      </c>
      <c r="D827" t="s">
        <v>137</v>
      </c>
      <c r="E827" t="s">
        <v>160</v>
      </c>
      <c r="F827" t="s">
        <v>19</v>
      </c>
      <c r="G827" t="s">
        <v>29</v>
      </c>
      <c r="H827" t="s">
        <v>50</v>
      </c>
      <c r="I827">
        <v>113.68</v>
      </c>
      <c r="J827">
        <v>1</v>
      </c>
      <c r="K827" s="1">
        <v>0.15</v>
      </c>
      <c r="L827">
        <v>-6.41</v>
      </c>
      <c r="M827" t="s">
        <v>143</v>
      </c>
      <c r="N827" t="s">
        <v>76</v>
      </c>
      <c r="O827" t="str">
        <f t="shared" si="72"/>
        <v>11/05/2024</v>
      </c>
      <c r="P827">
        <f t="shared" si="73"/>
        <v>2024</v>
      </c>
      <c r="Q827">
        <f t="shared" si="74"/>
        <v>5</v>
      </c>
      <c r="R827" t="str">
        <f t="shared" si="75"/>
        <v>May</v>
      </c>
      <c r="S827" t="str">
        <f t="shared" si="76"/>
        <v>Low</v>
      </c>
      <c r="T827" s="1">
        <f t="shared" si="77"/>
        <v>-5.6386347642505275E-2</v>
      </c>
      <c r="U827">
        <f>SUM($I$2:I827)</f>
        <v>2909300.8699999992</v>
      </c>
      <c r="V827" s="1">
        <f>Table1[[#This Row],[Running total ]]/SUM(I:I)</f>
        <v>0.83951481685063267</v>
      </c>
    </row>
    <row r="828" spans="1:22" x14ac:dyDescent="0.3">
      <c r="A828" t="s">
        <v>1610</v>
      </c>
      <c r="B828" t="s">
        <v>905</v>
      </c>
      <c r="C828" t="s">
        <v>800</v>
      </c>
      <c r="D828" t="s">
        <v>17</v>
      </c>
      <c r="E828" t="s">
        <v>18</v>
      </c>
      <c r="F828" t="s">
        <v>67</v>
      </c>
      <c r="G828" t="s">
        <v>85</v>
      </c>
      <c r="H828" t="s">
        <v>125</v>
      </c>
      <c r="I828">
        <v>9765.7000000000007</v>
      </c>
      <c r="J828">
        <v>10</v>
      </c>
      <c r="K828" s="1">
        <v>0</v>
      </c>
      <c r="L828">
        <v>736.3</v>
      </c>
      <c r="M828" t="s">
        <v>107</v>
      </c>
      <c r="N828" t="s">
        <v>32</v>
      </c>
      <c r="O828" t="str">
        <f t="shared" si="72"/>
        <v>04/08/2024</v>
      </c>
      <c r="P828">
        <f t="shared" si="73"/>
        <v>2024</v>
      </c>
      <c r="Q828">
        <f t="shared" si="74"/>
        <v>8</v>
      </c>
      <c r="R828" t="str">
        <f t="shared" si="75"/>
        <v>August</v>
      </c>
      <c r="S828" t="str">
        <f t="shared" si="76"/>
        <v>No Discount</v>
      </c>
      <c r="T828" s="1">
        <f t="shared" si="77"/>
        <v>7.5396540954565452E-2</v>
      </c>
      <c r="U828">
        <f>SUM($I$2:I828)</f>
        <v>2919066.5699999994</v>
      </c>
      <c r="V828" s="1">
        <f>Table1[[#This Row],[Running total ]]/SUM(I:I)</f>
        <v>0.84233283059801056</v>
      </c>
    </row>
    <row r="829" spans="1:22" x14ac:dyDescent="0.3">
      <c r="A829" t="s">
        <v>1611</v>
      </c>
      <c r="B829" t="s">
        <v>1586</v>
      </c>
      <c r="C829" t="s">
        <v>386</v>
      </c>
      <c r="D829" t="s">
        <v>17</v>
      </c>
      <c r="E829" t="s">
        <v>54</v>
      </c>
      <c r="F829" t="s">
        <v>19</v>
      </c>
      <c r="G829" t="s">
        <v>36</v>
      </c>
      <c r="H829" t="s">
        <v>37</v>
      </c>
      <c r="I829">
        <v>3597.15</v>
      </c>
      <c r="J829">
        <v>3</v>
      </c>
      <c r="K829" s="1">
        <v>0</v>
      </c>
      <c r="L829">
        <v>253.61</v>
      </c>
      <c r="M829" t="s">
        <v>87</v>
      </c>
      <c r="N829" t="s">
        <v>23</v>
      </c>
      <c r="O829" t="str">
        <f t="shared" si="72"/>
        <v>30/05/2024</v>
      </c>
      <c r="P829">
        <f t="shared" si="73"/>
        <v>2024</v>
      </c>
      <c r="Q829">
        <f t="shared" si="74"/>
        <v>5</v>
      </c>
      <c r="R829" t="str">
        <f t="shared" si="75"/>
        <v>May</v>
      </c>
      <c r="S829" t="str">
        <f t="shared" si="76"/>
        <v>No Discount</v>
      </c>
      <c r="T829" s="1">
        <f t="shared" si="77"/>
        <v>7.0503037126614126E-2</v>
      </c>
      <c r="U829">
        <f>SUM($I$2:I829)</f>
        <v>2922663.7199999993</v>
      </c>
      <c r="V829" s="1">
        <f>Table1[[#This Row],[Running total ]]/SUM(I:I)</f>
        <v>0.84337083280485492</v>
      </c>
    </row>
    <row r="830" spans="1:22" x14ac:dyDescent="0.3">
      <c r="A830" t="s">
        <v>1612</v>
      </c>
      <c r="B830" t="s">
        <v>1142</v>
      </c>
      <c r="C830" t="s">
        <v>208</v>
      </c>
      <c r="D830" t="s">
        <v>137</v>
      </c>
      <c r="E830" t="s">
        <v>138</v>
      </c>
      <c r="F830" t="s">
        <v>19</v>
      </c>
      <c r="G830" t="s">
        <v>29</v>
      </c>
      <c r="H830" t="s">
        <v>50</v>
      </c>
      <c r="I830">
        <v>1885.24</v>
      </c>
      <c r="J830">
        <v>4</v>
      </c>
      <c r="K830" s="1">
        <v>0.05</v>
      </c>
      <c r="L830">
        <v>628.12</v>
      </c>
      <c r="M830" t="s">
        <v>107</v>
      </c>
      <c r="N830" t="s">
        <v>32</v>
      </c>
      <c r="O830" t="str">
        <f t="shared" si="72"/>
        <v>17/01/2025</v>
      </c>
      <c r="P830">
        <f t="shared" si="73"/>
        <v>2025</v>
      </c>
      <c r="Q830">
        <f t="shared" si="74"/>
        <v>1</v>
      </c>
      <c r="R830" t="str">
        <f t="shared" si="75"/>
        <v>January</v>
      </c>
      <c r="S830" t="str">
        <f t="shared" si="76"/>
        <v>High</v>
      </c>
      <c r="T830" s="1">
        <f t="shared" si="77"/>
        <v>0.33317773864335576</v>
      </c>
      <c r="U830">
        <f>SUM($I$2:I830)</f>
        <v>2924548.9599999995</v>
      </c>
      <c r="V830" s="1">
        <f>Table1[[#This Row],[Running total ]]/SUM(I:I)</f>
        <v>0.84391484216794277</v>
      </c>
    </row>
    <row r="831" spans="1:22" x14ac:dyDescent="0.3">
      <c r="A831" t="s">
        <v>1613</v>
      </c>
      <c r="B831" t="s">
        <v>1614</v>
      </c>
      <c r="C831" t="s">
        <v>548</v>
      </c>
      <c r="D831" t="s">
        <v>27</v>
      </c>
      <c r="E831" t="s">
        <v>28</v>
      </c>
      <c r="F831" t="s">
        <v>67</v>
      </c>
      <c r="G831" t="s">
        <v>85</v>
      </c>
      <c r="H831" t="s">
        <v>253</v>
      </c>
      <c r="I831">
        <v>4543.4399999999996</v>
      </c>
      <c r="J831">
        <v>4</v>
      </c>
      <c r="K831" s="1">
        <v>0.05</v>
      </c>
      <c r="L831">
        <v>1589.22</v>
      </c>
      <c r="M831" t="s">
        <v>143</v>
      </c>
      <c r="N831" t="s">
        <v>76</v>
      </c>
      <c r="O831" t="str">
        <f t="shared" si="72"/>
        <v>01/11/2024</v>
      </c>
      <c r="P831">
        <f t="shared" si="73"/>
        <v>2024</v>
      </c>
      <c r="Q831">
        <f t="shared" si="74"/>
        <v>11</v>
      </c>
      <c r="R831" t="str">
        <f t="shared" si="75"/>
        <v>November</v>
      </c>
      <c r="S831" t="str">
        <f t="shared" si="76"/>
        <v>High</v>
      </c>
      <c r="T831" s="1">
        <f t="shared" si="77"/>
        <v>0.3497834240135228</v>
      </c>
      <c r="U831">
        <f>SUM($I$2:I831)</f>
        <v>2929092.3999999994</v>
      </c>
      <c r="V831" s="1">
        <f>Table1[[#This Row],[Running total ]]/SUM(I:I)</f>
        <v>0.84522590808030806</v>
      </c>
    </row>
    <row r="832" spans="1:22" x14ac:dyDescent="0.3">
      <c r="A832" t="s">
        <v>1615</v>
      </c>
      <c r="B832" t="s">
        <v>177</v>
      </c>
      <c r="C832" t="s">
        <v>202</v>
      </c>
      <c r="D832" t="s">
        <v>48</v>
      </c>
      <c r="E832" t="s">
        <v>84</v>
      </c>
      <c r="F832" t="s">
        <v>19</v>
      </c>
      <c r="G832" t="s">
        <v>36</v>
      </c>
      <c r="H832" t="s">
        <v>37</v>
      </c>
      <c r="I832">
        <v>9047.84</v>
      </c>
      <c r="J832">
        <v>8</v>
      </c>
      <c r="K832" s="1">
        <v>0.1</v>
      </c>
      <c r="L832">
        <v>823.72</v>
      </c>
      <c r="M832" t="s">
        <v>195</v>
      </c>
      <c r="N832" t="s">
        <v>23</v>
      </c>
      <c r="O832" t="str">
        <f t="shared" si="72"/>
        <v>14/03/2025</v>
      </c>
      <c r="P832">
        <f t="shared" si="73"/>
        <v>2025</v>
      </c>
      <c r="Q832">
        <f t="shared" si="74"/>
        <v>3</v>
      </c>
      <c r="R832" t="str">
        <f t="shared" si="75"/>
        <v>March</v>
      </c>
      <c r="S832" t="str">
        <f t="shared" si="76"/>
        <v>Low</v>
      </c>
      <c r="T832" s="1">
        <f t="shared" si="77"/>
        <v>9.1040513536932571E-2</v>
      </c>
      <c r="U832">
        <f>SUM($I$2:I832)</f>
        <v>2938140.2399999993</v>
      </c>
      <c r="V832" s="1">
        <f>Table1[[#This Row],[Running total ]]/SUM(I:I)</f>
        <v>0.84783677442927174</v>
      </c>
    </row>
    <row r="833" spans="1:22" x14ac:dyDescent="0.3">
      <c r="A833" t="s">
        <v>1616</v>
      </c>
      <c r="B833" t="s">
        <v>1617</v>
      </c>
      <c r="C833" t="s">
        <v>792</v>
      </c>
      <c r="D833" t="s">
        <v>48</v>
      </c>
      <c r="E833" t="s">
        <v>73</v>
      </c>
      <c r="F833" t="s">
        <v>19</v>
      </c>
      <c r="G833" t="s">
        <v>20</v>
      </c>
      <c r="H833" t="s">
        <v>347</v>
      </c>
      <c r="I833">
        <v>9136.7000000000007</v>
      </c>
      <c r="J833">
        <v>10</v>
      </c>
      <c r="K833" s="1">
        <v>0.3</v>
      </c>
      <c r="L833">
        <v>1296.01</v>
      </c>
      <c r="M833" t="s">
        <v>87</v>
      </c>
      <c r="N833" t="s">
        <v>76</v>
      </c>
      <c r="O833" t="str">
        <f t="shared" si="72"/>
        <v>08/04/2024</v>
      </c>
      <c r="P833">
        <f t="shared" si="73"/>
        <v>2024</v>
      </c>
      <c r="Q833">
        <f t="shared" si="74"/>
        <v>4</v>
      </c>
      <c r="R833" t="str">
        <f t="shared" si="75"/>
        <v>April</v>
      </c>
      <c r="S833" t="str">
        <f t="shared" si="76"/>
        <v>Low</v>
      </c>
      <c r="T833" s="1">
        <f t="shared" si="77"/>
        <v>0.14184661858220143</v>
      </c>
      <c r="U833">
        <f>SUM($I$2:I833)</f>
        <v>2947276.9399999995</v>
      </c>
      <c r="V833" s="1">
        <f>Table1[[#This Row],[Running total ]]/SUM(I:I)</f>
        <v>0.85047328243235065</v>
      </c>
    </row>
    <row r="834" spans="1:22" x14ac:dyDescent="0.3">
      <c r="A834" t="s">
        <v>1618</v>
      </c>
      <c r="B834" t="s">
        <v>1619</v>
      </c>
      <c r="C834" t="s">
        <v>540</v>
      </c>
      <c r="D834" t="s">
        <v>137</v>
      </c>
      <c r="E834" t="s">
        <v>138</v>
      </c>
      <c r="F834" t="s">
        <v>55</v>
      </c>
      <c r="G834" t="s">
        <v>74</v>
      </c>
      <c r="H834" t="s">
        <v>272</v>
      </c>
      <c r="I834">
        <v>751.04</v>
      </c>
      <c r="J834">
        <v>2</v>
      </c>
      <c r="K834" s="1">
        <v>0.1</v>
      </c>
      <c r="L834">
        <v>75.92</v>
      </c>
      <c r="M834" t="s">
        <v>87</v>
      </c>
      <c r="N834" t="s">
        <v>23</v>
      </c>
      <c r="O834" t="str">
        <f t="shared" si="72"/>
        <v>01/12/2024</v>
      </c>
      <c r="P834">
        <f t="shared" si="73"/>
        <v>2024</v>
      </c>
      <c r="Q834">
        <f t="shared" si="74"/>
        <v>12</v>
      </c>
      <c r="R834" t="str">
        <f t="shared" si="75"/>
        <v>December</v>
      </c>
      <c r="S834" t="str">
        <f t="shared" si="76"/>
        <v>Low</v>
      </c>
      <c r="T834" s="1">
        <f t="shared" si="77"/>
        <v>0.10108649339582447</v>
      </c>
      <c r="U834">
        <f>SUM($I$2:I834)</f>
        <v>2948027.9799999995</v>
      </c>
      <c r="V834" s="1">
        <f>Table1[[#This Row],[Running total ]]/SUM(I:I)</f>
        <v>0.85069000433091713</v>
      </c>
    </row>
    <row r="835" spans="1:22" x14ac:dyDescent="0.3">
      <c r="A835" t="s">
        <v>1620</v>
      </c>
      <c r="B835" t="s">
        <v>663</v>
      </c>
      <c r="C835" t="s">
        <v>249</v>
      </c>
      <c r="D835" t="s">
        <v>27</v>
      </c>
      <c r="E835" t="s">
        <v>28</v>
      </c>
      <c r="F835" t="s">
        <v>19</v>
      </c>
      <c r="G835" t="s">
        <v>20</v>
      </c>
      <c r="H835" t="s">
        <v>21</v>
      </c>
      <c r="I835">
        <v>9198.1</v>
      </c>
      <c r="J835">
        <v>10</v>
      </c>
      <c r="K835" s="1">
        <v>0.25</v>
      </c>
      <c r="L835">
        <v>-1608.91</v>
      </c>
      <c r="M835" t="s">
        <v>87</v>
      </c>
      <c r="N835" t="s">
        <v>39</v>
      </c>
      <c r="O835" t="str">
        <f t="shared" ref="O835:O898" si="78">TEXT(B835,"dd/mm/yyyy")</f>
        <v>08/07/2025</v>
      </c>
      <c r="P835">
        <f t="shared" ref="P835:P898" si="79">YEAR(O835)</f>
        <v>2025</v>
      </c>
      <c r="Q835">
        <f t="shared" ref="Q835:Q898" si="80">MONTH(O835)</f>
        <v>7</v>
      </c>
      <c r="R835" t="str">
        <f t="shared" ref="R835:R898" si="81">TEXT(O835,"mmmm")</f>
        <v>July</v>
      </c>
      <c r="S835" t="str">
        <f t="shared" ref="S835:S898" si="82">IF(K835=0,"No Discount",IF(K835&gt;=0.1,"Low",IF(K835&gt;=0.2,"Medium","High")))</f>
        <v>Low</v>
      </c>
      <c r="T835" s="1">
        <f t="shared" ref="T835:T898" si="83">SUM(L835)/SUM(I835)</f>
        <v>-0.17491764603559432</v>
      </c>
      <c r="U835">
        <f>SUM($I$2:I835)</f>
        <v>2957226.0799999996</v>
      </c>
      <c r="V835" s="1">
        <f>Table1[[#This Row],[Running total ]]/SUM(I:I)</f>
        <v>0.8533442300648385</v>
      </c>
    </row>
    <row r="836" spans="1:22" x14ac:dyDescent="0.3">
      <c r="A836" t="s">
        <v>1621</v>
      </c>
      <c r="B836" t="s">
        <v>82</v>
      </c>
      <c r="C836" t="s">
        <v>932</v>
      </c>
      <c r="D836" t="s">
        <v>137</v>
      </c>
      <c r="E836" t="s">
        <v>242</v>
      </c>
      <c r="F836" t="s">
        <v>55</v>
      </c>
      <c r="G836" t="s">
        <v>56</v>
      </c>
      <c r="H836" t="s">
        <v>62</v>
      </c>
      <c r="I836">
        <v>687.59</v>
      </c>
      <c r="J836">
        <v>1</v>
      </c>
      <c r="K836" s="1">
        <v>0.15</v>
      </c>
      <c r="L836">
        <v>62.21</v>
      </c>
      <c r="M836" t="s">
        <v>117</v>
      </c>
      <c r="N836" t="s">
        <v>32</v>
      </c>
      <c r="O836" t="str">
        <f t="shared" si="78"/>
        <v>17/03/2024</v>
      </c>
      <c r="P836">
        <f t="shared" si="79"/>
        <v>2024</v>
      </c>
      <c r="Q836">
        <f t="shared" si="80"/>
        <v>3</v>
      </c>
      <c r="R836" t="str">
        <f t="shared" si="81"/>
        <v>March</v>
      </c>
      <c r="S836" t="str">
        <f t="shared" si="82"/>
        <v>Low</v>
      </c>
      <c r="T836" s="1">
        <f t="shared" si="83"/>
        <v>9.0475428671155766E-2</v>
      </c>
      <c r="U836">
        <f>SUM($I$2:I836)</f>
        <v>2957913.6699999995</v>
      </c>
      <c r="V836" s="1">
        <f>Table1[[#This Row],[Running total ]]/SUM(I:I)</f>
        <v>0.85354264267965974</v>
      </c>
    </row>
    <row r="837" spans="1:22" x14ac:dyDescent="0.3">
      <c r="A837" t="s">
        <v>1622</v>
      </c>
      <c r="B837" t="s">
        <v>550</v>
      </c>
      <c r="C837" t="s">
        <v>1056</v>
      </c>
      <c r="D837" t="s">
        <v>17</v>
      </c>
      <c r="E837" t="s">
        <v>54</v>
      </c>
      <c r="F837" t="s">
        <v>19</v>
      </c>
      <c r="G837" t="s">
        <v>20</v>
      </c>
      <c r="H837" t="s">
        <v>21</v>
      </c>
      <c r="I837">
        <v>10420.6</v>
      </c>
      <c r="J837">
        <v>10</v>
      </c>
      <c r="K837" s="1">
        <v>0</v>
      </c>
      <c r="L837">
        <v>3804</v>
      </c>
      <c r="M837" t="s">
        <v>22</v>
      </c>
      <c r="N837" t="s">
        <v>39</v>
      </c>
      <c r="O837" t="str">
        <f t="shared" si="78"/>
        <v>15/06/2024</v>
      </c>
      <c r="P837">
        <f t="shared" si="79"/>
        <v>2024</v>
      </c>
      <c r="Q837">
        <f t="shared" si="80"/>
        <v>6</v>
      </c>
      <c r="R837" t="str">
        <f t="shared" si="81"/>
        <v>June</v>
      </c>
      <c r="S837" t="str">
        <f t="shared" si="82"/>
        <v>No Discount</v>
      </c>
      <c r="T837" s="1">
        <f t="shared" si="83"/>
        <v>0.36504615857052375</v>
      </c>
      <c r="U837">
        <f>SUM($I$2:I837)</f>
        <v>2968334.2699999996</v>
      </c>
      <c r="V837" s="1">
        <f>Table1[[#This Row],[Running total ]]/SUM(I:I)</f>
        <v>0.85654963593727829</v>
      </c>
    </row>
    <row r="838" spans="1:22" x14ac:dyDescent="0.3">
      <c r="A838" t="s">
        <v>1623</v>
      </c>
      <c r="B838" t="s">
        <v>258</v>
      </c>
      <c r="C838" t="s">
        <v>857</v>
      </c>
      <c r="D838" t="s">
        <v>137</v>
      </c>
      <c r="E838" t="s">
        <v>242</v>
      </c>
      <c r="F838" t="s">
        <v>55</v>
      </c>
      <c r="G838" t="s">
        <v>98</v>
      </c>
      <c r="H838" t="s">
        <v>154</v>
      </c>
      <c r="I838">
        <v>4477.92</v>
      </c>
      <c r="J838">
        <v>4</v>
      </c>
      <c r="K838" s="1">
        <v>0.3</v>
      </c>
      <c r="L838">
        <v>-157.31</v>
      </c>
      <c r="M838" t="s">
        <v>38</v>
      </c>
      <c r="N838" t="s">
        <v>76</v>
      </c>
      <c r="O838" t="str">
        <f t="shared" si="78"/>
        <v>11/09/2024</v>
      </c>
      <c r="P838">
        <f t="shared" si="79"/>
        <v>2024</v>
      </c>
      <c r="Q838">
        <f t="shared" si="80"/>
        <v>9</v>
      </c>
      <c r="R838" t="str">
        <f t="shared" si="81"/>
        <v>September</v>
      </c>
      <c r="S838" t="str">
        <f t="shared" si="82"/>
        <v>Low</v>
      </c>
      <c r="T838" s="1">
        <f t="shared" si="83"/>
        <v>-3.5130149712366457E-2</v>
      </c>
      <c r="U838">
        <f>SUM($I$2:I838)</f>
        <v>2972812.1899999995</v>
      </c>
      <c r="V838" s="1">
        <f>Table1[[#This Row],[Running total ]]/SUM(I:I)</f>
        <v>0.85784179524174775</v>
      </c>
    </row>
    <row r="839" spans="1:22" x14ac:dyDescent="0.3">
      <c r="A839" t="s">
        <v>1624</v>
      </c>
      <c r="B839" t="s">
        <v>1114</v>
      </c>
      <c r="C839" t="s">
        <v>47</v>
      </c>
      <c r="D839" t="s">
        <v>137</v>
      </c>
      <c r="E839" t="s">
        <v>138</v>
      </c>
      <c r="F839" t="s">
        <v>67</v>
      </c>
      <c r="G839" t="s">
        <v>85</v>
      </c>
      <c r="H839" t="s">
        <v>125</v>
      </c>
      <c r="I839">
        <v>1707.72</v>
      </c>
      <c r="J839">
        <v>7</v>
      </c>
      <c r="K839" s="1">
        <v>0.3</v>
      </c>
      <c r="L839">
        <v>-98.61</v>
      </c>
      <c r="M839" t="s">
        <v>31</v>
      </c>
      <c r="N839" t="s">
        <v>39</v>
      </c>
      <c r="O839" t="str">
        <f t="shared" si="78"/>
        <v>05/01/2025</v>
      </c>
      <c r="P839">
        <f t="shared" si="79"/>
        <v>2025</v>
      </c>
      <c r="Q839">
        <f t="shared" si="80"/>
        <v>1</v>
      </c>
      <c r="R839" t="str">
        <f t="shared" si="81"/>
        <v>January</v>
      </c>
      <c r="S839" t="str">
        <f t="shared" si="82"/>
        <v>Low</v>
      </c>
      <c r="T839" s="1">
        <f t="shared" si="83"/>
        <v>-5.7743658210947929E-2</v>
      </c>
      <c r="U839">
        <f>SUM($I$2:I839)</f>
        <v>2974519.9099999997</v>
      </c>
      <c r="V839" s="1">
        <f>Table1[[#This Row],[Running total ]]/SUM(I:I)</f>
        <v>0.85833457900908372</v>
      </c>
    </row>
    <row r="840" spans="1:22" x14ac:dyDescent="0.3">
      <c r="A840" t="s">
        <v>1625</v>
      </c>
      <c r="B840" t="s">
        <v>1544</v>
      </c>
      <c r="C840" t="s">
        <v>1010</v>
      </c>
      <c r="D840" t="s">
        <v>17</v>
      </c>
      <c r="E840" t="s">
        <v>54</v>
      </c>
      <c r="F840" t="s">
        <v>19</v>
      </c>
      <c r="G840" t="s">
        <v>36</v>
      </c>
      <c r="H840" t="s">
        <v>37</v>
      </c>
      <c r="I840">
        <v>654.24</v>
      </c>
      <c r="J840">
        <v>8</v>
      </c>
      <c r="K840" s="1">
        <v>0.2</v>
      </c>
      <c r="L840">
        <v>71.89</v>
      </c>
      <c r="M840" t="s">
        <v>117</v>
      </c>
      <c r="N840" t="s">
        <v>32</v>
      </c>
      <c r="O840" t="str">
        <f t="shared" si="78"/>
        <v>17/06/2024</v>
      </c>
      <c r="P840">
        <f t="shared" si="79"/>
        <v>2024</v>
      </c>
      <c r="Q840">
        <f t="shared" si="80"/>
        <v>6</v>
      </c>
      <c r="R840" t="str">
        <f t="shared" si="81"/>
        <v>June</v>
      </c>
      <c r="S840" t="str">
        <f t="shared" si="82"/>
        <v>Low</v>
      </c>
      <c r="T840" s="1">
        <f t="shared" si="83"/>
        <v>0.10988322328197603</v>
      </c>
      <c r="U840">
        <f>SUM($I$2:I840)</f>
        <v>2975174.15</v>
      </c>
      <c r="V840" s="1">
        <f>Table1[[#This Row],[Running total ]]/SUM(I:I)</f>
        <v>0.858523368068146</v>
      </c>
    </row>
    <row r="841" spans="1:22" x14ac:dyDescent="0.3">
      <c r="A841" t="s">
        <v>1626</v>
      </c>
      <c r="B841" t="s">
        <v>1041</v>
      </c>
      <c r="C841" t="s">
        <v>551</v>
      </c>
      <c r="D841" t="s">
        <v>137</v>
      </c>
      <c r="E841" t="s">
        <v>138</v>
      </c>
      <c r="F841" t="s">
        <v>55</v>
      </c>
      <c r="G841" t="s">
        <v>56</v>
      </c>
      <c r="H841" t="s">
        <v>57</v>
      </c>
      <c r="I841">
        <v>1773.24</v>
      </c>
      <c r="J841">
        <v>7</v>
      </c>
      <c r="K841" s="1">
        <v>0.2</v>
      </c>
      <c r="L841">
        <v>323.05</v>
      </c>
      <c r="M841" t="s">
        <v>44</v>
      </c>
      <c r="N841" t="s">
        <v>23</v>
      </c>
      <c r="O841" t="str">
        <f t="shared" si="78"/>
        <v>27/11/2025</v>
      </c>
      <c r="P841">
        <f t="shared" si="79"/>
        <v>2025</v>
      </c>
      <c r="Q841">
        <f t="shared" si="80"/>
        <v>11</v>
      </c>
      <c r="R841" t="str">
        <f t="shared" si="81"/>
        <v>November</v>
      </c>
      <c r="S841" t="str">
        <f t="shared" si="82"/>
        <v>Low</v>
      </c>
      <c r="T841" s="1">
        <f t="shared" si="83"/>
        <v>0.18218064108637297</v>
      </c>
      <c r="U841">
        <f>SUM($I$2:I841)</f>
        <v>2976947.39</v>
      </c>
      <c r="V841" s="1">
        <f>Table1[[#This Row],[Running total ]]/SUM(I:I)</f>
        <v>0.8590350584433778</v>
      </c>
    </row>
    <row r="842" spans="1:22" x14ac:dyDescent="0.3">
      <c r="A842" t="s">
        <v>1627</v>
      </c>
      <c r="B842" t="s">
        <v>1087</v>
      </c>
      <c r="C842" t="s">
        <v>319</v>
      </c>
      <c r="D842" t="s">
        <v>27</v>
      </c>
      <c r="E842" t="s">
        <v>28</v>
      </c>
      <c r="F842" t="s">
        <v>67</v>
      </c>
      <c r="G842" t="s">
        <v>85</v>
      </c>
      <c r="H842" t="s">
        <v>253</v>
      </c>
      <c r="I842">
        <v>3331.71</v>
      </c>
      <c r="J842">
        <v>9</v>
      </c>
      <c r="K842" s="1">
        <v>0.25</v>
      </c>
      <c r="L842">
        <v>22.04</v>
      </c>
      <c r="M842" t="s">
        <v>31</v>
      </c>
      <c r="N842" t="s">
        <v>76</v>
      </c>
      <c r="O842" t="str">
        <f t="shared" si="78"/>
        <v>18/03/2024</v>
      </c>
      <c r="P842">
        <f t="shared" si="79"/>
        <v>2024</v>
      </c>
      <c r="Q842">
        <f t="shared" si="80"/>
        <v>3</v>
      </c>
      <c r="R842" t="str">
        <f t="shared" si="81"/>
        <v>March</v>
      </c>
      <c r="S842" t="str">
        <f t="shared" si="82"/>
        <v>Low</v>
      </c>
      <c r="T842" s="1">
        <f t="shared" si="83"/>
        <v>6.6152216129254943E-3</v>
      </c>
      <c r="U842">
        <f>SUM($I$2:I842)</f>
        <v>2980279.1</v>
      </c>
      <c r="V842" s="1">
        <f>Table1[[#This Row],[Running total ]]/SUM(I:I)</f>
        <v>0.85999646464900315</v>
      </c>
    </row>
    <row r="843" spans="1:22" x14ac:dyDescent="0.3">
      <c r="A843" t="s">
        <v>1628</v>
      </c>
      <c r="B843" t="s">
        <v>1629</v>
      </c>
      <c r="C843" t="s">
        <v>386</v>
      </c>
      <c r="D843" t="s">
        <v>17</v>
      </c>
      <c r="E843" t="s">
        <v>18</v>
      </c>
      <c r="F843" t="s">
        <v>67</v>
      </c>
      <c r="G843" t="s">
        <v>115</v>
      </c>
      <c r="H843" t="s">
        <v>116</v>
      </c>
      <c r="I843">
        <v>7307</v>
      </c>
      <c r="J843">
        <v>10</v>
      </c>
      <c r="K843" s="1">
        <v>0.05</v>
      </c>
      <c r="L843">
        <v>1901.19</v>
      </c>
      <c r="M843" t="s">
        <v>38</v>
      </c>
      <c r="N843" t="s">
        <v>23</v>
      </c>
      <c r="O843" t="str">
        <f t="shared" si="78"/>
        <v>07/04/2024</v>
      </c>
      <c r="P843">
        <f t="shared" si="79"/>
        <v>2024</v>
      </c>
      <c r="Q843">
        <f t="shared" si="80"/>
        <v>4</v>
      </c>
      <c r="R843" t="str">
        <f t="shared" si="81"/>
        <v>April</v>
      </c>
      <c r="S843" t="str">
        <f t="shared" si="82"/>
        <v>High</v>
      </c>
      <c r="T843" s="1">
        <f t="shared" si="83"/>
        <v>0.26018749144655812</v>
      </c>
      <c r="U843">
        <f>SUM($I$2:I843)</f>
        <v>2987586.1</v>
      </c>
      <c r="V843" s="1">
        <f>Table1[[#This Row],[Running total ]]/SUM(I:I)</f>
        <v>0.86210499004422214</v>
      </c>
    </row>
    <row r="844" spans="1:22" x14ac:dyDescent="0.3">
      <c r="A844" t="s">
        <v>1630</v>
      </c>
      <c r="B844" t="s">
        <v>1558</v>
      </c>
      <c r="C844" t="s">
        <v>672</v>
      </c>
      <c r="D844" t="s">
        <v>137</v>
      </c>
      <c r="E844" t="s">
        <v>242</v>
      </c>
      <c r="F844" t="s">
        <v>55</v>
      </c>
      <c r="G844" t="s">
        <v>98</v>
      </c>
      <c r="H844" t="s">
        <v>150</v>
      </c>
      <c r="I844">
        <v>7940.61</v>
      </c>
      <c r="J844">
        <v>9</v>
      </c>
      <c r="K844" s="1">
        <v>0.15</v>
      </c>
      <c r="L844">
        <v>-12.86</v>
      </c>
      <c r="M844" t="s">
        <v>143</v>
      </c>
      <c r="N844" t="s">
        <v>76</v>
      </c>
      <c r="O844" t="str">
        <f t="shared" si="78"/>
        <v>06/07/2024</v>
      </c>
      <c r="P844">
        <f t="shared" si="79"/>
        <v>2024</v>
      </c>
      <c r="Q844">
        <f t="shared" si="80"/>
        <v>7</v>
      </c>
      <c r="R844" t="str">
        <f t="shared" si="81"/>
        <v>July</v>
      </c>
      <c r="S844" t="str">
        <f t="shared" si="82"/>
        <v>Low</v>
      </c>
      <c r="T844" s="1">
        <f t="shared" si="83"/>
        <v>-1.619522933376655E-3</v>
      </c>
      <c r="U844">
        <f>SUM($I$2:I844)</f>
        <v>2995526.71</v>
      </c>
      <c r="V844" s="1">
        <f>Table1[[#This Row],[Running total ]]/SUM(I:I)</f>
        <v>0.86439635145636518</v>
      </c>
    </row>
    <row r="845" spans="1:22" x14ac:dyDescent="0.3">
      <c r="A845" t="s">
        <v>1631</v>
      </c>
      <c r="B845" t="s">
        <v>1599</v>
      </c>
      <c r="C845" t="s">
        <v>818</v>
      </c>
      <c r="D845" t="s">
        <v>17</v>
      </c>
      <c r="E845" t="s">
        <v>54</v>
      </c>
      <c r="F845" t="s">
        <v>55</v>
      </c>
      <c r="G845" t="s">
        <v>56</v>
      </c>
      <c r="H845" t="s">
        <v>129</v>
      </c>
      <c r="I845">
        <v>3759.35</v>
      </c>
      <c r="J845">
        <v>7</v>
      </c>
      <c r="K845" s="1">
        <v>0.05</v>
      </c>
      <c r="L845">
        <v>994.65</v>
      </c>
      <c r="M845" t="s">
        <v>143</v>
      </c>
      <c r="N845" t="s">
        <v>32</v>
      </c>
      <c r="O845" t="str">
        <f t="shared" si="78"/>
        <v>30/07/2025</v>
      </c>
      <c r="P845">
        <f t="shared" si="79"/>
        <v>2025</v>
      </c>
      <c r="Q845">
        <f t="shared" si="80"/>
        <v>7</v>
      </c>
      <c r="R845" t="str">
        <f t="shared" si="81"/>
        <v>July</v>
      </c>
      <c r="S845" t="str">
        <f t="shared" si="82"/>
        <v>High</v>
      </c>
      <c r="T845" s="1">
        <f t="shared" si="83"/>
        <v>0.2645803130860388</v>
      </c>
      <c r="U845">
        <f>SUM($I$2:I845)</f>
        <v>2999286.06</v>
      </c>
      <c r="V845" s="1">
        <f>Table1[[#This Row],[Running total ]]/SUM(I:I)</f>
        <v>0.86548115848312257</v>
      </c>
    </row>
    <row r="846" spans="1:22" x14ac:dyDescent="0.3">
      <c r="A846" t="s">
        <v>1632</v>
      </c>
      <c r="B846" t="s">
        <v>1459</v>
      </c>
      <c r="C846" t="s">
        <v>268</v>
      </c>
      <c r="D846" t="s">
        <v>48</v>
      </c>
      <c r="E846" t="s">
        <v>110</v>
      </c>
      <c r="F846" t="s">
        <v>67</v>
      </c>
      <c r="G846" t="s">
        <v>85</v>
      </c>
      <c r="H846" t="s">
        <v>86</v>
      </c>
      <c r="I846">
        <v>944.52</v>
      </c>
      <c r="J846">
        <v>2</v>
      </c>
      <c r="K846" s="1">
        <v>0.05</v>
      </c>
      <c r="L846">
        <v>199.34</v>
      </c>
      <c r="M846" t="s">
        <v>195</v>
      </c>
      <c r="N846" t="s">
        <v>23</v>
      </c>
      <c r="O846" t="str">
        <f t="shared" si="78"/>
        <v>23/09/2024</v>
      </c>
      <c r="P846">
        <f t="shared" si="79"/>
        <v>2024</v>
      </c>
      <c r="Q846">
        <f t="shared" si="80"/>
        <v>9</v>
      </c>
      <c r="R846" t="str">
        <f t="shared" si="81"/>
        <v>September</v>
      </c>
      <c r="S846" t="str">
        <f t="shared" si="82"/>
        <v>High</v>
      </c>
      <c r="T846" s="1">
        <f t="shared" si="83"/>
        <v>0.21104899843306654</v>
      </c>
      <c r="U846">
        <f>SUM($I$2:I846)</f>
        <v>3000230.58</v>
      </c>
      <c r="V846" s="1">
        <f>Table1[[#This Row],[Running total ]]/SUM(I:I)</f>
        <v>0.86575371143321056</v>
      </c>
    </row>
    <row r="847" spans="1:22" x14ac:dyDescent="0.3">
      <c r="A847" t="s">
        <v>1633</v>
      </c>
      <c r="B847" t="s">
        <v>1634</v>
      </c>
      <c r="C847" t="s">
        <v>556</v>
      </c>
      <c r="D847" t="s">
        <v>17</v>
      </c>
      <c r="E847" t="s">
        <v>54</v>
      </c>
      <c r="F847" t="s">
        <v>19</v>
      </c>
      <c r="G847" t="s">
        <v>29</v>
      </c>
      <c r="H847" t="s">
        <v>199</v>
      </c>
      <c r="I847">
        <v>1241.8399999999999</v>
      </c>
      <c r="J847">
        <v>8</v>
      </c>
      <c r="K847" s="1">
        <v>0</v>
      </c>
      <c r="L847">
        <v>353.57</v>
      </c>
      <c r="M847" t="s">
        <v>87</v>
      </c>
      <c r="N847" t="s">
        <v>39</v>
      </c>
      <c r="O847" t="str">
        <f t="shared" si="78"/>
        <v>09/05/2024</v>
      </c>
      <c r="P847">
        <f t="shared" si="79"/>
        <v>2024</v>
      </c>
      <c r="Q847">
        <f t="shared" si="80"/>
        <v>5</v>
      </c>
      <c r="R847" t="str">
        <f t="shared" si="81"/>
        <v>May</v>
      </c>
      <c r="S847" t="str">
        <f t="shared" si="82"/>
        <v>No Discount</v>
      </c>
      <c r="T847" s="1">
        <f t="shared" si="83"/>
        <v>0.28471461701990597</v>
      </c>
      <c r="U847">
        <f>SUM($I$2:I847)</f>
        <v>3001472.42</v>
      </c>
      <c r="V847" s="1">
        <f>Table1[[#This Row],[Running total ]]/SUM(I:I)</f>
        <v>0.86611205975356065</v>
      </c>
    </row>
    <row r="848" spans="1:22" x14ac:dyDescent="0.3">
      <c r="A848" t="s">
        <v>1635</v>
      </c>
      <c r="B848" t="s">
        <v>1636</v>
      </c>
      <c r="C848" t="s">
        <v>491</v>
      </c>
      <c r="D848" t="s">
        <v>27</v>
      </c>
      <c r="E848" t="s">
        <v>61</v>
      </c>
      <c r="F848" t="s">
        <v>19</v>
      </c>
      <c r="G848" t="s">
        <v>29</v>
      </c>
      <c r="H848" t="s">
        <v>50</v>
      </c>
      <c r="I848">
        <v>1029.92</v>
      </c>
      <c r="J848">
        <v>4</v>
      </c>
      <c r="K848" s="1">
        <v>0.25</v>
      </c>
      <c r="L848">
        <v>78.48</v>
      </c>
      <c r="M848" t="s">
        <v>31</v>
      </c>
      <c r="N848" t="s">
        <v>23</v>
      </c>
      <c r="O848" t="str">
        <f t="shared" si="78"/>
        <v>05/08/2024</v>
      </c>
      <c r="P848">
        <f t="shared" si="79"/>
        <v>2024</v>
      </c>
      <c r="Q848">
        <f t="shared" si="80"/>
        <v>8</v>
      </c>
      <c r="R848" t="str">
        <f t="shared" si="81"/>
        <v>August</v>
      </c>
      <c r="S848" t="str">
        <f t="shared" si="82"/>
        <v>Low</v>
      </c>
      <c r="T848" s="1">
        <f t="shared" si="83"/>
        <v>7.6200093211123199E-2</v>
      </c>
      <c r="U848">
        <f>SUM($I$2:I848)</f>
        <v>3002502.34</v>
      </c>
      <c r="V848" s="1">
        <f>Table1[[#This Row],[Running total ]]/SUM(I:I)</f>
        <v>0.86640925593188878</v>
      </c>
    </row>
    <row r="849" spans="1:22" x14ac:dyDescent="0.3">
      <c r="A849" t="s">
        <v>1637</v>
      </c>
      <c r="B849" t="s">
        <v>1030</v>
      </c>
      <c r="C849" t="s">
        <v>450</v>
      </c>
      <c r="D849" t="s">
        <v>17</v>
      </c>
      <c r="E849" t="s">
        <v>54</v>
      </c>
      <c r="F849" t="s">
        <v>19</v>
      </c>
      <c r="G849" t="s">
        <v>36</v>
      </c>
      <c r="H849" t="s">
        <v>222</v>
      </c>
      <c r="I849">
        <v>8183.9</v>
      </c>
      <c r="J849">
        <v>10</v>
      </c>
      <c r="K849" s="1">
        <v>0.2</v>
      </c>
      <c r="L849">
        <v>813.93</v>
      </c>
      <c r="M849" t="s">
        <v>44</v>
      </c>
      <c r="N849" t="s">
        <v>76</v>
      </c>
      <c r="O849" t="str">
        <f t="shared" si="78"/>
        <v>30/01/2024</v>
      </c>
      <c r="P849">
        <f t="shared" si="79"/>
        <v>2024</v>
      </c>
      <c r="Q849">
        <f t="shared" si="80"/>
        <v>1</v>
      </c>
      <c r="R849" t="str">
        <f t="shared" si="81"/>
        <v>January</v>
      </c>
      <c r="S849" t="str">
        <f t="shared" si="82"/>
        <v>Low</v>
      </c>
      <c r="T849" s="1">
        <f t="shared" si="83"/>
        <v>9.9455027554100128E-2</v>
      </c>
      <c r="U849">
        <f>SUM($I$2:I849)</f>
        <v>3010686.2399999998</v>
      </c>
      <c r="V849" s="1">
        <f>Table1[[#This Row],[Running total ]]/SUM(I:I)</f>
        <v>0.86877082168827746</v>
      </c>
    </row>
    <row r="850" spans="1:22" x14ac:dyDescent="0.3">
      <c r="A850" t="s">
        <v>1638</v>
      </c>
      <c r="B850" t="s">
        <v>1639</v>
      </c>
      <c r="C850" t="s">
        <v>294</v>
      </c>
      <c r="D850" t="s">
        <v>137</v>
      </c>
      <c r="E850" t="s">
        <v>242</v>
      </c>
      <c r="F850" t="s">
        <v>55</v>
      </c>
      <c r="G850" t="s">
        <v>56</v>
      </c>
      <c r="H850" t="s">
        <v>62</v>
      </c>
      <c r="I850">
        <v>197.6</v>
      </c>
      <c r="J850">
        <v>5</v>
      </c>
      <c r="K850" s="1">
        <v>0.15</v>
      </c>
      <c r="L850">
        <v>13.35</v>
      </c>
      <c r="M850" t="s">
        <v>87</v>
      </c>
      <c r="N850" t="s">
        <v>76</v>
      </c>
      <c r="O850" t="str">
        <f t="shared" si="78"/>
        <v>22/01/2024</v>
      </c>
      <c r="P850">
        <f t="shared" si="79"/>
        <v>2024</v>
      </c>
      <c r="Q850">
        <f t="shared" si="80"/>
        <v>1</v>
      </c>
      <c r="R850" t="str">
        <f t="shared" si="81"/>
        <v>January</v>
      </c>
      <c r="S850" t="str">
        <f t="shared" si="82"/>
        <v>Low</v>
      </c>
      <c r="T850" s="1">
        <f t="shared" si="83"/>
        <v>6.7560728744939277E-2</v>
      </c>
      <c r="U850">
        <f>SUM($I$2:I850)</f>
        <v>3010883.84</v>
      </c>
      <c r="V850" s="1">
        <f>Table1[[#This Row],[Running total ]]/SUM(I:I)</f>
        <v>0.86882784161685223</v>
      </c>
    </row>
    <row r="851" spans="1:22" x14ac:dyDescent="0.3">
      <c r="A851" t="s">
        <v>1640</v>
      </c>
      <c r="B851" t="s">
        <v>729</v>
      </c>
      <c r="C851" t="s">
        <v>498</v>
      </c>
      <c r="D851" t="s">
        <v>137</v>
      </c>
      <c r="E851" t="s">
        <v>142</v>
      </c>
      <c r="F851" t="s">
        <v>55</v>
      </c>
      <c r="G851" t="s">
        <v>56</v>
      </c>
      <c r="H851" t="s">
        <v>57</v>
      </c>
      <c r="I851">
        <v>7506.2</v>
      </c>
      <c r="J851">
        <v>10</v>
      </c>
      <c r="K851" s="1">
        <v>0.05</v>
      </c>
      <c r="L851">
        <v>2725.17</v>
      </c>
      <c r="M851" t="s">
        <v>195</v>
      </c>
      <c r="N851" t="s">
        <v>39</v>
      </c>
      <c r="O851" t="str">
        <f t="shared" si="78"/>
        <v>20/01/2025</v>
      </c>
      <c r="P851">
        <f t="shared" si="79"/>
        <v>2025</v>
      </c>
      <c r="Q851">
        <f t="shared" si="80"/>
        <v>1</v>
      </c>
      <c r="R851" t="str">
        <f t="shared" si="81"/>
        <v>January</v>
      </c>
      <c r="S851" t="str">
        <f t="shared" si="82"/>
        <v>High</v>
      </c>
      <c r="T851" s="1">
        <f t="shared" si="83"/>
        <v>0.36305587381098292</v>
      </c>
      <c r="U851">
        <f>SUM($I$2:I851)</f>
        <v>3018390.04</v>
      </c>
      <c r="V851" s="1">
        <f>Table1[[#This Row],[Running total ]]/SUM(I:I)</f>
        <v>0.87099384864047236</v>
      </c>
    </row>
    <row r="852" spans="1:22" x14ac:dyDescent="0.3">
      <c r="A852" t="s">
        <v>1641</v>
      </c>
      <c r="B852" t="s">
        <v>410</v>
      </c>
      <c r="C852" t="s">
        <v>252</v>
      </c>
      <c r="D852" t="s">
        <v>137</v>
      </c>
      <c r="E852" t="s">
        <v>138</v>
      </c>
      <c r="F852" t="s">
        <v>67</v>
      </c>
      <c r="G852" t="s">
        <v>85</v>
      </c>
      <c r="H852" t="s">
        <v>125</v>
      </c>
      <c r="I852">
        <v>3743.2</v>
      </c>
      <c r="J852">
        <v>8</v>
      </c>
      <c r="K852" s="1">
        <v>0</v>
      </c>
      <c r="L852">
        <v>309.26</v>
      </c>
      <c r="M852" t="s">
        <v>31</v>
      </c>
      <c r="N852" t="s">
        <v>76</v>
      </c>
      <c r="O852" t="str">
        <f t="shared" si="78"/>
        <v>24/05/2024</v>
      </c>
      <c r="P852">
        <f t="shared" si="79"/>
        <v>2024</v>
      </c>
      <c r="Q852">
        <f t="shared" si="80"/>
        <v>5</v>
      </c>
      <c r="R852" t="str">
        <f t="shared" si="81"/>
        <v>May</v>
      </c>
      <c r="S852" t="str">
        <f t="shared" si="82"/>
        <v>No Discount</v>
      </c>
      <c r="T852" s="1">
        <f t="shared" si="83"/>
        <v>8.2619149390895485E-2</v>
      </c>
      <c r="U852">
        <f>SUM($I$2:I852)</f>
        <v>3022133.24</v>
      </c>
      <c r="V852" s="1">
        <f>Table1[[#This Row],[Running total ]]/SUM(I:I)</f>
        <v>0.87207399538460595</v>
      </c>
    </row>
    <row r="853" spans="1:22" x14ac:dyDescent="0.3">
      <c r="A853" t="s">
        <v>1642</v>
      </c>
      <c r="B853" t="s">
        <v>270</v>
      </c>
      <c r="C853" t="s">
        <v>186</v>
      </c>
      <c r="D853" t="s">
        <v>27</v>
      </c>
      <c r="E853" t="s">
        <v>124</v>
      </c>
      <c r="F853" t="s">
        <v>67</v>
      </c>
      <c r="G853" t="s">
        <v>68</v>
      </c>
      <c r="H853" t="s">
        <v>103</v>
      </c>
      <c r="I853">
        <v>98.85</v>
      </c>
      <c r="J853">
        <v>1</v>
      </c>
      <c r="K853" s="1">
        <v>0.1</v>
      </c>
      <c r="L853">
        <v>5.58</v>
      </c>
      <c r="M853" t="s">
        <v>143</v>
      </c>
      <c r="N853" t="s">
        <v>23</v>
      </c>
      <c r="O853" t="str">
        <f t="shared" si="78"/>
        <v>18/02/2025</v>
      </c>
      <c r="P853">
        <f t="shared" si="79"/>
        <v>2025</v>
      </c>
      <c r="Q853">
        <f t="shared" si="80"/>
        <v>2</v>
      </c>
      <c r="R853" t="str">
        <f t="shared" si="81"/>
        <v>February</v>
      </c>
      <c r="S853" t="str">
        <f t="shared" si="82"/>
        <v>Low</v>
      </c>
      <c r="T853" s="1">
        <f t="shared" si="83"/>
        <v>5.6449165402124434E-2</v>
      </c>
      <c r="U853">
        <f>SUM($I$2:I853)</f>
        <v>3022232.0900000003</v>
      </c>
      <c r="V853" s="1">
        <f>Table1[[#This Row],[Running total ]]/SUM(I:I)</f>
        <v>0.87210251977701292</v>
      </c>
    </row>
    <row r="854" spans="1:22" x14ac:dyDescent="0.3">
      <c r="A854" t="s">
        <v>1643</v>
      </c>
      <c r="B854" t="s">
        <v>1644</v>
      </c>
      <c r="C854" t="s">
        <v>421</v>
      </c>
      <c r="D854" t="s">
        <v>27</v>
      </c>
      <c r="E854" t="s">
        <v>61</v>
      </c>
      <c r="F854" t="s">
        <v>55</v>
      </c>
      <c r="G854" t="s">
        <v>98</v>
      </c>
      <c r="H854" t="s">
        <v>154</v>
      </c>
      <c r="I854">
        <v>957.84</v>
      </c>
      <c r="J854">
        <v>4</v>
      </c>
      <c r="K854" s="1">
        <v>0</v>
      </c>
      <c r="L854">
        <v>410.47</v>
      </c>
      <c r="M854" t="s">
        <v>31</v>
      </c>
      <c r="N854" t="s">
        <v>32</v>
      </c>
      <c r="O854" t="str">
        <f t="shared" si="78"/>
        <v>21/02/2025</v>
      </c>
      <c r="P854">
        <f t="shared" si="79"/>
        <v>2025</v>
      </c>
      <c r="Q854">
        <f t="shared" si="80"/>
        <v>2</v>
      </c>
      <c r="R854" t="str">
        <f t="shared" si="81"/>
        <v>February</v>
      </c>
      <c r="S854" t="str">
        <f t="shared" si="82"/>
        <v>No Discount</v>
      </c>
      <c r="T854" s="1">
        <f t="shared" si="83"/>
        <v>0.42853712519836301</v>
      </c>
      <c r="U854">
        <f>SUM($I$2:I854)</f>
        <v>3023189.93</v>
      </c>
      <c r="V854" s="1">
        <f>Table1[[#This Row],[Running total ]]/SUM(I:I)</f>
        <v>0.87237891637815645</v>
      </c>
    </row>
    <row r="855" spans="1:22" x14ac:dyDescent="0.3">
      <c r="A855" t="s">
        <v>1645</v>
      </c>
      <c r="B855" t="s">
        <v>1629</v>
      </c>
      <c r="C855" t="s">
        <v>1646</v>
      </c>
      <c r="D855" t="s">
        <v>27</v>
      </c>
      <c r="E855" t="s">
        <v>43</v>
      </c>
      <c r="F855" t="s">
        <v>67</v>
      </c>
      <c r="G855" t="s">
        <v>115</v>
      </c>
      <c r="H855" t="s">
        <v>116</v>
      </c>
      <c r="I855">
        <v>2248.88</v>
      </c>
      <c r="J855">
        <v>4</v>
      </c>
      <c r="K855" s="1">
        <v>0.3</v>
      </c>
      <c r="L855">
        <v>275.36</v>
      </c>
      <c r="M855" t="s">
        <v>38</v>
      </c>
      <c r="N855" t="s">
        <v>32</v>
      </c>
      <c r="O855" t="str">
        <f t="shared" si="78"/>
        <v>07/04/2024</v>
      </c>
      <c r="P855">
        <f t="shared" si="79"/>
        <v>2024</v>
      </c>
      <c r="Q855">
        <f t="shared" si="80"/>
        <v>4</v>
      </c>
      <c r="R855" t="str">
        <f t="shared" si="81"/>
        <v>April</v>
      </c>
      <c r="S855" t="str">
        <f t="shared" si="82"/>
        <v>Low</v>
      </c>
      <c r="T855" s="1">
        <f t="shared" si="83"/>
        <v>0.12244317171214116</v>
      </c>
      <c r="U855">
        <f>SUM($I$2:I855)</f>
        <v>3025438.81</v>
      </c>
      <c r="V855" s="1">
        <f>Table1[[#This Row],[Running total ]]/SUM(I:I)</f>
        <v>0.87302785856931564</v>
      </c>
    </row>
    <row r="856" spans="1:22" x14ac:dyDescent="0.3">
      <c r="A856" t="s">
        <v>1647</v>
      </c>
      <c r="B856" t="s">
        <v>274</v>
      </c>
      <c r="C856" t="s">
        <v>1101</v>
      </c>
      <c r="D856" t="s">
        <v>137</v>
      </c>
      <c r="E856" t="s">
        <v>142</v>
      </c>
      <c r="F856" t="s">
        <v>55</v>
      </c>
      <c r="G856" t="s">
        <v>98</v>
      </c>
      <c r="H856" t="s">
        <v>154</v>
      </c>
      <c r="I856">
        <v>5842.53</v>
      </c>
      <c r="J856">
        <v>9</v>
      </c>
      <c r="K856" s="1">
        <v>0.2</v>
      </c>
      <c r="L856">
        <v>1263.68</v>
      </c>
      <c r="M856" t="s">
        <v>22</v>
      </c>
      <c r="N856" t="s">
        <v>32</v>
      </c>
      <c r="O856" t="str">
        <f t="shared" si="78"/>
        <v>09/11/2024</v>
      </c>
      <c r="P856">
        <f t="shared" si="79"/>
        <v>2024</v>
      </c>
      <c r="Q856">
        <f t="shared" si="80"/>
        <v>11</v>
      </c>
      <c r="R856" t="str">
        <f t="shared" si="81"/>
        <v>November</v>
      </c>
      <c r="S856" t="str">
        <f t="shared" si="82"/>
        <v>Low</v>
      </c>
      <c r="T856" s="1">
        <f t="shared" si="83"/>
        <v>0.21628986072814349</v>
      </c>
      <c r="U856">
        <f>SUM($I$2:I856)</f>
        <v>3031281.34</v>
      </c>
      <c r="V856" s="1">
        <f>Table1[[#This Row],[Running total ]]/SUM(I:I)</f>
        <v>0.87471379299894858</v>
      </c>
    </row>
    <row r="857" spans="1:22" x14ac:dyDescent="0.3">
      <c r="A857" t="s">
        <v>1648</v>
      </c>
      <c r="B857" t="s">
        <v>1644</v>
      </c>
      <c r="C857" t="s">
        <v>153</v>
      </c>
      <c r="D857" t="s">
        <v>137</v>
      </c>
      <c r="E857" t="s">
        <v>160</v>
      </c>
      <c r="F857" t="s">
        <v>55</v>
      </c>
      <c r="G857" t="s">
        <v>98</v>
      </c>
      <c r="H857" t="s">
        <v>154</v>
      </c>
      <c r="I857">
        <v>1157.72</v>
      </c>
      <c r="J857">
        <v>2</v>
      </c>
      <c r="K857" s="1">
        <v>0.1</v>
      </c>
      <c r="L857">
        <v>9.83</v>
      </c>
      <c r="M857" t="s">
        <v>63</v>
      </c>
      <c r="N857" t="s">
        <v>23</v>
      </c>
      <c r="O857" t="str">
        <f t="shared" si="78"/>
        <v>21/02/2025</v>
      </c>
      <c r="P857">
        <f t="shared" si="79"/>
        <v>2025</v>
      </c>
      <c r="Q857">
        <f t="shared" si="80"/>
        <v>2</v>
      </c>
      <c r="R857" t="str">
        <f t="shared" si="81"/>
        <v>February</v>
      </c>
      <c r="S857" t="str">
        <f t="shared" si="82"/>
        <v>Low</v>
      </c>
      <c r="T857" s="1">
        <f t="shared" si="83"/>
        <v>8.4908267974985307E-3</v>
      </c>
      <c r="U857">
        <f>SUM($I$2:I857)</f>
        <v>3032439.06</v>
      </c>
      <c r="V857" s="1">
        <f>Table1[[#This Row],[Running total ]]/SUM(I:I)</f>
        <v>0.87504786745091978</v>
      </c>
    </row>
    <row r="858" spans="1:22" x14ac:dyDescent="0.3">
      <c r="A858" t="s">
        <v>1649</v>
      </c>
      <c r="B858" t="s">
        <v>1650</v>
      </c>
      <c r="C858" t="s">
        <v>289</v>
      </c>
      <c r="D858" t="s">
        <v>137</v>
      </c>
      <c r="E858" t="s">
        <v>160</v>
      </c>
      <c r="F858" t="s">
        <v>55</v>
      </c>
      <c r="G858" t="s">
        <v>74</v>
      </c>
      <c r="H858" t="s">
        <v>75</v>
      </c>
      <c r="I858">
        <v>1275.8800000000001</v>
      </c>
      <c r="J858">
        <v>4</v>
      </c>
      <c r="K858" s="1">
        <v>0.25</v>
      </c>
      <c r="L858">
        <v>4.3899999999999997</v>
      </c>
      <c r="M858" t="s">
        <v>107</v>
      </c>
      <c r="N858" t="s">
        <v>39</v>
      </c>
      <c r="O858" t="str">
        <f t="shared" si="78"/>
        <v>14/02/2025</v>
      </c>
      <c r="P858">
        <f t="shared" si="79"/>
        <v>2025</v>
      </c>
      <c r="Q858">
        <f t="shared" si="80"/>
        <v>2</v>
      </c>
      <c r="R858" t="str">
        <f t="shared" si="81"/>
        <v>February</v>
      </c>
      <c r="S858" t="str">
        <f t="shared" si="82"/>
        <v>Low</v>
      </c>
      <c r="T858" s="1">
        <f t="shared" si="83"/>
        <v>3.4407624541492924E-3</v>
      </c>
      <c r="U858">
        <f>SUM($I$2:I858)</f>
        <v>3033714.94</v>
      </c>
      <c r="V858" s="1">
        <f>Table1[[#This Row],[Running total ]]/SUM(I:I)</f>
        <v>0.87541603843507898</v>
      </c>
    </row>
    <row r="859" spans="1:22" x14ac:dyDescent="0.3">
      <c r="A859" t="s">
        <v>1651</v>
      </c>
      <c r="B859" t="s">
        <v>1280</v>
      </c>
      <c r="C859" t="s">
        <v>215</v>
      </c>
      <c r="D859" t="s">
        <v>48</v>
      </c>
      <c r="E859" t="s">
        <v>84</v>
      </c>
      <c r="F859" t="s">
        <v>19</v>
      </c>
      <c r="G859" t="s">
        <v>36</v>
      </c>
      <c r="H859" t="s">
        <v>37</v>
      </c>
      <c r="I859">
        <v>647.45000000000005</v>
      </c>
      <c r="J859">
        <v>5</v>
      </c>
      <c r="K859" s="1">
        <v>0.1</v>
      </c>
      <c r="L859">
        <v>108.02</v>
      </c>
      <c r="M859" t="s">
        <v>87</v>
      </c>
      <c r="N859" t="s">
        <v>23</v>
      </c>
      <c r="O859" t="str">
        <f t="shared" si="78"/>
        <v>01/05/2025</v>
      </c>
      <c r="P859">
        <f t="shared" si="79"/>
        <v>2025</v>
      </c>
      <c r="Q859">
        <f t="shared" si="80"/>
        <v>5</v>
      </c>
      <c r="R859" t="str">
        <f t="shared" si="81"/>
        <v>May</v>
      </c>
      <c r="S859" t="str">
        <f t="shared" si="82"/>
        <v>Low</v>
      </c>
      <c r="T859" s="1">
        <f t="shared" si="83"/>
        <v>0.16683913815738666</v>
      </c>
      <c r="U859">
        <f>SUM($I$2:I859)</f>
        <v>3034362.39</v>
      </c>
      <c r="V859" s="1">
        <f>Table1[[#This Row],[Running total ]]/SUM(I:I)</f>
        <v>0.87560286815550259</v>
      </c>
    </row>
    <row r="860" spans="1:22" x14ac:dyDescent="0.3">
      <c r="A860" t="s">
        <v>1652</v>
      </c>
      <c r="B860" t="s">
        <v>1653</v>
      </c>
      <c r="C860" t="s">
        <v>60</v>
      </c>
      <c r="D860" t="s">
        <v>17</v>
      </c>
      <c r="E860" t="s">
        <v>97</v>
      </c>
      <c r="F860" t="s">
        <v>55</v>
      </c>
      <c r="G860" t="s">
        <v>74</v>
      </c>
      <c r="H860" t="s">
        <v>133</v>
      </c>
      <c r="I860">
        <v>2813.64</v>
      </c>
      <c r="J860">
        <v>3</v>
      </c>
      <c r="K860" s="1">
        <v>0.15</v>
      </c>
      <c r="L860">
        <v>755.31</v>
      </c>
      <c r="M860" t="s">
        <v>143</v>
      </c>
      <c r="N860" t="s">
        <v>23</v>
      </c>
      <c r="O860" t="str">
        <f t="shared" si="78"/>
        <v>08/06/2025</v>
      </c>
      <c r="P860">
        <f t="shared" si="79"/>
        <v>2025</v>
      </c>
      <c r="Q860">
        <f t="shared" si="80"/>
        <v>6</v>
      </c>
      <c r="R860" t="str">
        <f t="shared" si="81"/>
        <v>June</v>
      </c>
      <c r="S860" t="str">
        <f t="shared" si="82"/>
        <v>Low</v>
      </c>
      <c r="T860" s="1">
        <f t="shared" si="83"/>
        <v>0.2684458566127863</v>
      </c>
      <c r="U860">
        <f>SUM($I$2:I860)</f>
        <v>3037176.0300000003</v>
      </c>
      <c r="V860" s="1">
        <f>Table1[[#This Row],[Running total ]]/SUM(I:I)</f>
        <v>0.87641477884292618</v>
      </c>
    </row>
    <row r="861" spans="1:22" x14ac:dyDescent="0.3">
      <c r="A861" t="s">
        <v>1654</v>
      </c>
      <c r="B861" t="s">
        <v>570</v>
      </c>
      <c r="C861" t="s">
        <v>966</v>
      </c>
      <c r="D861" t="s">
        <v>48</v>
      </c>
      <c r="E861" t="s">
        <v>110</v>
      </c>
      <c r="F861" t="s">
        <v>19</v>
      </c>
      <c r="G861" t="s">
        <v>29</v>
      </c>
      <c r="H861" t="s">
        <v>199</v>
      </c>
      <c r="I861">
        <v>4077.64</v>
      </c>
      <c r="J861">
        <v>4</v>
      </c>
      <c r="K861" s="1">
        <v>0.3</v>
      </c>
      <c r="L861">
        <v>300.8</v>
      </c>
      <c r="M861" t="s">
        <v>63</v>
      </c>
      <c r="N861" t="s">
        <v>39</v>
      </c>
      <c r="O861" t="str">
        <f t="shared" si="78"/>
        <v>09/03/2025</v>
      </c>
      <c r="P861">
        <f t="shared" si="79"/>
        <v>2025</v>
      </c>
      <c r="Q861">
        <f t="shared" si="80"/>
        <v>3</v>
      </c>
      <c r="R861" t="str">
        <f t="shared" si="81"/>
        <v>March</v>
      </c>
      <c r="S861" t="str">
        <f t="shared" si="82"/>
        <v>Low</v>
      </c>
      <c r="T861" s="1">
        <f t="shared" si="83"/>
        <v>7.3768160014125825E-2</v>
      </c>
      <c r="U861">
        <f>SUM($I$2:I861)</f>
        <v>3041253.6700000004</v>
      </c>
      <c r="V861" s="1">
        <f>Table1[[#This Row],[Running total ]]/SUM(I:I)</f>
        <v>0.87759143239329718</v>
      </c>
    </row>
    <row r="862" spans="1:22" x14ac:dyDescent="0.3">
      <c r="A862" t="s">
        <v>1655</v>
      </c>
      <c r="B862" t="s">
        <v>454</v>
      </c>
      <c r="C862" t="s">
        <v>225</v>
      </c>
      <c r="D862" t="s">
        <v>27</v>
      </c>
      <c r="E862" t="s">
        <v>124</v>
      </c>
      <c r="F862" t="s">
        <v>55</v>
      </c>
      <c r="G862" t="s">
        <v>98</v>
      </c>
      <c r="H862" t="s">
        <v>154</v>
      </c>
      <c r="I862">
        <v>257.16000000000003</v>
      </c>
      <c r="J862">
        <v>2</v>
      </c>
      <c r="K862" s="1">
        <v>0.25</v>
      </c>
      <c r="L862">
        <v>34.380000000000003</v>
      </c>
      <c r="M862" t="s">
        <v>44</v>
      </c>
      <c r="N862" t="s">
        <v>39</v>
      </c>
      <c r="O862" t="str">
        <f t="shared" si="78"/>
        <v>21/06/2025</v>
      </c>
      <c r="P862">
        <f t="shared" si="79"/>
        <v>2025</v>
      </c>
      <c r="Q862">
        <f t="shared" si="80"/>
        <v>6</v>
      </c>
      <c r="R862" t="str">
        <f t="shared" si="81"/>
        <v>June</v>
      </c>
      <c r="S862" t="str">
        <f t="shared" si="82"/>
        <v>Low</v>
      </c>
      <c r="T862" s="1">
        <f t="shared" si="83"/>
        <v>0.13369108726084927</v>
      </c>
      <c r="U862">
        <f>SUM($I$2:I862)</f>
        <v>3041510.8300000005</v>
      </c>
      <c r="V862" s="1">
        <f>Table1[[#This Row],[Running total ]]/SUM(I:I)</f>
        <v>0.87766563909791395</v>
      </c>
    </row>
    <row r="863" spans="1:22" x14ac:dyDescent="0.3">
      <c r="A863" t="s">
        <v>1656</v>
      </c>
      <c r="B863" t="s">
        <v>1657</v>
      </c>
      <c r="C863" t="s">
        <v>652</v>
      </c>
      <c r="D863" t="s">
        <v>17</v>
      </c>
      <c r="E863" t="s">
        <v>18</v>
      </c>
      <c r="F863" t="s">
        <v>19</v>
      </c>
      <c r="G863" t="s">
        <v>36</v>
      </c>
      <c r="H863" t="s">
        <v>111</v>
      </c>
      <c r="I863">
        <v>2612.6799999999998</v>
      </c>
      <c r="J863">
        <v>7</v>
      </c>
      <c r="K863" s="1">
        <v>0.05</v>
      </c>
      <c r="L863">
        <v>644.63</v>
      </c>
      <c r="M863" t="s">
        <v>87</v>
      </c>
      <c r="N863" t="s">
        <v>39</v>
      </c>
      <c r="O863" t="str">
        <f t="shared" si="78"/>
        <v>02/04/2024</v>
      </c>
      <c r="P863">
        <f t="shared" si="79"/>
        <v>2024</v>
      </c>
      <c r="Q863">
        <f t="shared" si="80"/>
        <v>4</v>
      </c>
      <c r="R863" t="str">
        <f t="shared" si="81"/>
        <v>April</v>
      </c>
      <c r="S863" t="str">
        <f t="shared" si="82"/>
        <v>High</v>
      </c>
      <c r="T863" s="1">
        <f t="shared" si="83"/>
        <v>0.24673132568856501</v>
      </c>
      <c r="U863">
        <f>SUM($I$2:I863)</f>
        <v>3044123.5100000007</v>
      </c>
      <c r="V863" s="1">
        <f>Table1[[#This Row],[Running total ]]/SUM(I:I)</f>
        <v>0.8784195602871272</v>
      </c>
    </row>
    <row r="864" spans="1:22" x14ac:dyDescent="0.3">
      <c r="A864" t="s">
        <v>1658</v>
      </c>
      <c r="B864" t="s">
        <v>1659</v>
      </c>
      <c r="C864" t="s">
        <v>289</v>
      </c>
      <c r="D864" t="s">
        <v>48</v>
      </c>
      <c r="E864" t="s">
        <v>84</v>
      </c>
      <c r="F864" t="s">
        <v>55</v>
      </c>
      <c r="G864" t="s">
        <v>56</v>
      </c>
      <c r="H864" t="s">
        <v>62</v>
      </c>
      <c r="I864">
        <v>7800.03</v>
      </c>
      <c r="J864">
        <v>9</v>
      </c>
      <c r="K864" s="1">
        <v>0.2</v>
      </c>
      <c r="L864">
        <v>779.98</v>
      </c>
      <c r="M864" t="s">
        <v>107</v>
      </c>
      <c r="N864" t="s">
        <v>32</v>
      </c>
      <c r="O864" t="str">
        <f t="shared" si="78"/>
        <v>29/10/2025</v>
      </c>
      <c r="P864">
        <f t="shared" si="79"/>
        <v>2025</v>
      </c>
      <c r="Q864">
        <f t="shared" si="80"/>
        <v>10</v>
      </c>
      <c r="R864" t="str">
        <f t="shared" si="81"/>
        <v>October</v>
      </c>
      <c r="S864" t="str">
        <f t="shared" si="82"/>
        <v>Low</v>
      </c>
      <c r="T864" s="1">
        <f t="shared" si="83"/>
        <v>9.9997051293392467E-2</v>
      </c>
      <c r="U864">
        <f>SUM($I$2:I864)</f>
        <v>3051923.5400000005</v>
      </c>
      <c r="V864" s="1">
        <f>Table1[[#This Row],[Running total ]]/SUM(I:I)</f>
        <v>0.8806703555982629</v>
      </c>
    </row>
    <row r="865" spans="1:22" x14ac:dyDescent="0.3">
      <c r="A865" t="s">
        <v>1660</v>
      </c>
      <c r="B865" t="s">
        <v>1168</v>
      </c>
      <c r="C865" t="s">
        <v>128</v>
      </c>
      <c r="D865" t="s">
        <v>137</v>
      </c>
      <c r="E865" t="s">
        <v>138</v>
      </c>
      <c r="F865" t="s">
        <v>67</v>
      </c>
      <c r="G865" t="s">
        <v>68</v>
      </c>
      <c r="H865" t="s">
        <v>69</v>
      </c>
      <c r="I865">
        <v>4922.75</v>
      </c>
      <c r="J865">
        <v>7</v>
      </c>
      <c r="K865" s="1">
        <v>0.05</v>
      </c>
      <c r="L865">
        <v>795.79</v>
      </c>
      <c r="M865" t="s">
        <v>31</v>
      </c>
      <c r="N865" t="s">
        <v>76</v>
      </c>
      <c r="O865" t="str">
        <f t="shared" si="78"/>
        <v>15/03/2025</v>
      </c>
      <c r="P865">
        <f t="shared" si="79"/>
        <v>2025</v>
      </c>
      <c r="Q865">
        <f t="shared" si="80"/>
        <v>3</v>
      </c>
      <c r="R865" t="str">
        <f t="shared" si="81"/>
        <v>March</v>
      </c>
      <c r="S865" t="str">
        <f t="shared" si="82"/>
        <v>High</v>
      </c>
      <c r="T865" s="1">
        <f t="shared" si="83"/>
        <v>0.16165557869077243</v>
      </c>
      <c r="U865">
        <f>SUM($I$2:I865)</f>
        <v>3056846.2900000005</v>
      </c>
      <c r="V865" s="1">
        <f>Table1[[#This Row],[Running total ]]/SUM(I:I)</f>
        <v>0.8820908761113756</v>
      </c>
    </row>
    <row r="866" spans="1:22" x14ac:dyDescent="0.3">
      <c r="A866" t="s">
        <v>1661</v>
      </c>
      <c r="B866" t="s">
        <v>329</v>
      </c>
      <c r="C866" t="s">
        <v>281</v>
      </c>
      <c r="D866" t="s">
        <v>137</v>
      </c>
      <c r="E866" t="s">
        <v>142</v>
      </c>
      <c r="F866" t="s">
        <v>19</v>
      </c>
      <c r="G866" t="s">
        <v>20</v>
      </c>
      <c r="H866" t="s">
        <v>239</v>
      </c>
      <c r="I866">
        <v>4187.3599999999997</v>
      </c>
      <c r="J866">
        <v>8</v>
      </c>
      <c r="K866" s="1">
        <v>0.2</v>
      </c>
      <c r="L866">
        <v>-152.51</v>
      </c>
      <c r="M866" t="s">
        <v>31</v>
      </c>
      <c r="N866" t="s">
        <v>23</v>
      </c>
      <c r="O866" t="str">
        <f t="shared" si="78"/>
        <v>31/12/2024</v>
      </c>
      <c r="P866">
        <f t="shared" si="79"/>
        <v>2024</v>
      </c>
      <c r="Q866">
        <f t="shared" si="80"/>
        <v>12</v>
      </c>
      <c r="R866" t="str">
        <f t="shared" si="81"/>
        <v>December</v>
      </c>
      <c r="S866" t="str">
        <f t="shared" si="82"/>
        <v>Low</v>
      </c>
      <c r="T866" s="1">
        <f t="shared" si="83"/>
        <v>-3.6421516182033549E-2</v>
      </c>
      <c r="U866">
        <f>SUM($I$2:I866)</f>
        <v>3061033.6500000004</v>
      </c>
      <c r="V866" s="1">
        <f>Table1[[#This Row],[Running total ]]/SUM(I:I)</f>
        <v>0.88329919072734986</v>
      </c>
    </row>
    <row r="867" spans="1:22" x14ac:dyDescent="0.3">
      <c r="A867" t="s">
        <v>1662</v>
      </c>
      <c r="B867" t="s">
        <v>1427</v>
      </c>
      <c r="C867" t="s">
        <v>169</v>
      </c>
      <c r="D867" t="s">
        <v>137</v>
      </c>
      <c r="E867" t="s">
        <v>142</v>
      </c>
      <c r="F867" t="s">
        <v>55</v>
      </c>
      <c r="G867" t="s">
        <v>98</v>
      </c>
      <c r="H867" t="s">
        <v>154</v>
      </c>
      <c r="I867">
        <v>11826.8</v>
      </c>
      <c r="J867">
        <v>10</v>
      </c>
      <c r="K867" s="1">
        <v>0.3</v>
      </c>
      <c r="L867">
        <v>-2132.44</v>
      </c>
      <c r="M867" t="s">
        <v>143</v>
      </c>
      <c r="N867" t="s">
        <v>39</v>
      </c>
      <c r="O867" t="str">
        <f t="shared" si="78"/>
        <v>19/06/2024</v>
      </c>
      <c r="P867">
        <f t="shared" si="79"/>
        <v>2024</v>
      </c>
      <c r="Q867">
        <f t="shared" si="80"/>
        <v>6</v>
      </c>
      <c r="R867" t="str">
        <f t="shared" si="81"/>
        <v>June</v>
      </c>
      <c r="S867" t="str">
        <f t="shared" si="82"/>
        <v>Low</v>
      </c>
      <c r="T867" s="1">
        <f t="shared" si="83"/>
        <v>-0.18030574627118073</v>
      </c>
      <c r="U867">
        <f>SUM($I$2:I867)</f>
        <v>3072860.45</v>
      </c>
      <c r="V867" s="1">
        <f>Table1[[#This Row],[Running total ]]/SUM(I:I)</f>
        <v>0.88671196041999734</v>
      </c>
    </row>
    <row r="868" spans="1:22" x14ac:dyDescent="0.3">
      <c r="A868" t="s">
        <v>1663</v>
      </c>
      <c r="B868" t="s">
        <v>1653</v>
      </c>
      <c r="C868" t="s">
        <v>768</v>
      </c>
      <c r="D868" t="s">
        <v>48</v>
      </c>
      <c r="E868" t="s">
        <v>110</v>
      </c>
      <c r="F868" t="s">
        <v>55</v>
      </c>
      <c r="G868" t="s">
        <v>98</v>
      </c>
      <c r="H868" t="s">
        <v>150</v>
      </c>
      <c r="I868">
        <v>4250.24</v>
      </c>
      <c r="J868">
        <v>4</v>
      </c>
      <c r="K868" s="1">
        <v>0.3</v>
      </c>
      <c r="L868">
        <v>-891.01</v>
      </c>
      <c r="M868" t="s">
        <v>22</v>
      </c>
      <c r="N868" t="s">
        <v>39</v>
      </c>
      <c r="O868" t="str">
        <f t="shared" si="78"/>
        <v>08/06/2025</v>
      </c>
      <c r="P868">
        <f t="shared" si="79"/>
        <v>2025</v>
      </c>
      <c r="Q868">
        <f t="shared" si="80"/>
        <v>6</v>
      </c>
      <c r="R868" t="str">
        <f t="shared" si="81"/>
        <v>June</v>
      </c>
      <c r="S868" t="str">
        <f t="shared" si="82"/>
        <v>Low</v>
      </c>
      <c r="T868" s="1">
        <f t="shared" si="83"/>
        <v>-0.20963757340761935</v>
      </c>
      <c r="U868">
        <f>SUM($I$2:I868)</f>
        <v>3077110.6900000004</v>
      </c>
      <c r="V868" s="1">
        <f>Table1[[#This Row],[Running total ]]/SUM(I:I)</f>
        <v>0.88793841983915367</v>
      </c>
    </row>
    <row r="869" spans="1:22" x14ac:dyDescent="0.3">
      <c r="A869" t="s">
        <v>1664</v>
      </c>
      <c r="B869" t="s">
        <v>1665</v>
      </c>
      <c r="C869" t="s">
        <v>346</v>
      </c>
      <c r="D869" t="s">
        <v>17</v>
      </c>
      <c r="E869" t="s">
        <v>97</v>
      </c>
      <c r="F869" t="s">
        <v>67</v>
      </c>
      <c r="G869" t="s">
        <v>85</v>
      </c>
      <c r="H869" t="s">
        <v>86</v>
      </c>
      <c r="I869">
        <v>5868.35</v>
      </c>
      <c r="J869">
        <v>5</v>
      </c>
      <c r="K869" s="1">
        <v>0.2</v>
      </c>
      <c r="L869">
        <v>-695.64</v>
      </c>
      <c r="M869" t="s">
        <v>31</v>
      </c>
      <c r="N869" t="s">
        <v>23</v>
      </c>
      <c r="O869" t="str">
        <f t="shared" si="78"/>
        <v>01/09/2025</v>
      </c>
      <c r="P869">
        <f t="shared" si="79"/>
        <v>2025</v>
      </c>
      <c r="Q869">
        <f t="shared" si="80"/>
        <v>9</v>
      </c>
      <c r="R869" t="str">
        <f t="shared" si="81"/>
        <v>September</v>
      </c>
      <c r="S869" t="str">
        <f t="shared" si="82"/>
        <v>Low</v>
      </c>
      <c r="T869" s="1">
        <f t="shared" si="83"/>
        <v>-0.11854098681912291</v>
      </c>
      <c r="U869">
        <f>SUM($I$2:I869)</f>
        <v>3082979.0400000005</v>
      </c>
      <c r="V869" s="1">
        <f>Table1[[#This Row],[Running total ]]/SUM(I:I)</f>
        <v>0.88963180494973715</v>
      </c>
    </row>
    <row r="870" spans="1:22" x14ac:dyDescent="0.3">
      <c r="A870" t="s">
        <v>1666</v>
      </c>
      <c r="B870" t="s">
        <v>444</v>
      </c>
      <c r="C870" t="s">
        <v>942</v>
      </c>
      <c r="D870" t="s">
        <v>48</v>
      </c>
      <c r="E870" t="s">
        <v>110</v>
      </c>
      <c r="F870" t="s">
        <v>55</v>
      </c>
      <c r="G870" t="s">
        <v>56</v>
      </c>
      <c r="H870" t="s">
        <v>62</v>
      </c>
      <c r="I870">
        <v>4112.46</v>
      </c>
      <c r="J870">
        <v>6</v>
      </c>
      <c r="K870" s="1">
        <v>0</v>
      </c>
      <c r="L870">
        <v>967.66</v>
      </c>
      <c r="M870" t="s">
        <v>44</v>
      </c>
      <c r="N870" t="s">
        <v>23</v>
      </c>
      <c r="O870" t="str">
        <f t="shared" si="78"/>
        <v>06/12/2025</v>
      </c>
      <c r="P870">
        <f t="shared" si="79"/>
        <v>2025</v>
      </c>
      <c r="Q870">
        <f t="shared" si="80"/>
        <v>12</v>
      </c>
      <c r="R870" t="str">
        <f t="shared" si="81"/>
        <v>December</v>
      </c>
      <c r="S870" t="str">
        <f t="shared" si="82"/>
        <v>No Discount</v>
      </c>
      <c r="T870" s="1">
        <f t="shared" si="83"/>
        <v>0.23529955306556172</v>
      </c>
      <c r="U870">
        <f>SUM($I$2:I870)</f>
        <v>3087091.5000000005</v>
      </c>
      <c r="V870" s="1">
        <f>Table1[[#This Row],[Running total ]]/SUM(I:I)</f>
        <v>0.89081850624258263</v>
      </c>
    </row>
    <row r="871" spans="1:22" x14ac:dyDescent="0.3">
      <c r="A871" t="s">
        <v>1667</v>
      </c>
      <c r="B871" t="s">
        <v>1304</v>
      </c>
      <c r="C871" t="s">
        <v>1234</v>
      </c>
      <c r="D871" t="s">
        <v>137</v>
      </c>
      <c r="E871" t="s">
        <v>138</v>
      </c>
      <c r="F871" t="s">
        <v>55</v>
      </c>
      <c r="G871" t="s">
        <v>74</v>
      </c>
      <c r="H871" t="s">
        <v>133</v>
      </c>
      <c r="I871">
        <v>4872.42</v>
      </c>
      <c r="J871">
        <v>7</v>
      </c>
      <c r="K871" s="1">
        <v>0.3</v>
      </c>
      <c r="L871">
        <v>114.29</v>
      </c>
      <c r="M871" t="s">
        <v>117</v>
      </c>
      <c r="N871" t="s">
        <v>23</v>
      </c>
      <c r="O871" t="str">
        <f t="shared" si="78"/>
        <v>23/05/2025</v>
      </c>
      <c r="P871">
        <f t="shared" si="79"/>
        <v>2025</v>
      </c>
      <c r="Q871">
        <f t="shared" si="80"/>
        <v>5</v>
      </c>
      <c r="R871" t="str">
        <f t="shared" si="81"/>
        <v>May</v>
      </c>
      <c r="S871" t="str">
        <f t="shared" si="82"/>
        <v>Low</v>
      </c>
      <c r="T871" s="1">
        <f t="shared" si="83"/>
        <v>2.3456516474359763E-2</v>
      </c>
      <c r="U871">
        <f>SUM($I$2:I871)</f>
        <v>3091963.9200000004</v>
      </c>
      <c r="V871" s="1">
        <f>Table1[[#This Row],[Running total ]]/SUM(I:I)</f>
        <v>0.89222450341052739</v>
      </c>
    </row>
    <row r="872" spans="1:22" x14ac:dyDescent="0.3">
      <c r="A872" t="s">
        <v>1668</v>
      </c>
      <c r="B872" t="s">
        <v>1669</v>
      </c>
      <c r="C872" t="s">
        <v>480</v>
      </c>
      <c r="D872" t="s">
        <v>17</v>
      </c>
      <c r="E872" t="s">
        <v>54</v>
      </c>
      <c r="F872" t="s">
        <v>19</v>
      </c>
      <c r="G872" t="s">
        <v>36</v>
      </c>
      <c r="H872" t="s">
        <v>37</v>
      </c>
      <c r="I872">
        <v>464.24</v>
      </c>
      <c r="J872">
        <v>7</v>
      </c>
      <c r="K872" s="1">
        <v>0.05</v>
      </c>
      <c r="L872">
        <v>25.4</v>
      </c>
      <c r="M872" t="s">
        <v>31</v>
      </c>
      <c r="N872" t="s">
        <v>23</v>
      </c>
      <c r="O872" t="str">
        <f t="shared" si="78"/>
        <v>13/10/2025</v>
      </c>
      <c r="P872">
        <f t="shared" si="79"/>
        <v>2025</v>
      </c>
      <c r="Q872">
        <f t="shared" si="80"/>
        <v>10</v>
      </c>
      <c r="R872" t="str">
        <f t="shared" si="81"/>
        <v>October</v>
      </c>
      <c r="S872" t="str">
        <f t="shared" si="82"/>
        <v>High</v>
      </c>
      <c r="T872" s="1">
        <f t="shared" si="83"/>
        <v>5.4713079441668096E-2</v>
      </c>
      <c r="U872">
        <f>SUM($I$2:I872)</f>
        <v>3092428.1600000006</v>
      </c>
      <c r="V872" s="1">
        <f>Table1[[#This Row],[Running total ]]/SUM(I:I)</f>
        <v>0.89235846561519105</v>
      </c>
    </row>
    <row r="873" spans="1:22" x14ac:dyDescent="0.3">
      <c r="A873" t="s">
        <v>1670</v>
      </c>
      <c r="B873" t="s">
        <v>413</v>
      </c>
      <c r="C873" t="s">
        <v>66</v>
      </c>
      <c r="D873" t="s">
        <v>137</v>
      </c>
      <c r="E873" t="s">
        <v>242</v>
      </c>
      <c r="F873" t="s">
        <v>67</v>
      </c>
      <c r="G873" t="s">
        <v>115</v>
      </c>
      <c r="H873" t="s">
        <v>212</v>
      </c>
      <c r="I873">
        <v>840.92</v>
      </c>
      <c r="J873">
        <v>1</v>
      </c>
      <c r="K873" s="1">
        <v>0.25</v>
      </c>
      <c r="L873">
        <v>125.42</v>
      </c>
      <c r="M873" t="s">
        <v>195</v>
      </c>
      <c r="N873" t="s">
        <v>32</v>
      </c>
      <c r="O873" t="str">
        <f t="shared" si="78"/>
        <v>14/01/2025</v>
      </c>
      <c r="P873">
        <f t="shared" si="79"/>
        <v>2025</v>
      </c>
      <c r="Q873">
        <f t="shared" si="80"/>
        <v>1</v>
      </c>
      <c r="R873" t="str">
        <f t="shared" si="81"/>
        <v>January</v>
      </c>
      <c r="S873" t="str">
        <f t="shared" si="82"/>
        <v>Low</v>
      </c>
      <c r="T873" s="1">
        <f t="shared" si="83"/>
        <v>0.14914617323883367</v>
      </c>
      <c r="U873">
        <f>SUM($I$2:I873)</f>
        <v>3093269.0800000005</v>
      </c>
      <c r="V873" s="1">
        <f>Table1[[#This Row],[Running total ]]/SUM(I:I)</f>
        <v>0.89260112350151199</v>
      </c>
    </row>
    <row r="874" spans="1:22" x14ac:dyDescent="0.3">
      <c r="A874" t="s">
        <v>1671</v>
      </c>
      <c r="B874" t="s">
        <v>1160</v>
      </c>
      <c r="C874" t="s">
        <v>906</v>
      </c>
      <c r="D874" t="s">
        <v>17</v>
      </c>
      <c r="E874" t="s">
        <v>97</v>
      </c>
      <c r="F874" t="s">
        <v>55</v>
      </c>
      <c r="G874" t="s">
        <v>56</v>
      </c>
      <c r="H874" t="s">
        <v>57</v>
      </c>
      <c r="I874">
        <v>5299.5</v>
      </c>
      <c r="J874">
        <v>5</v>
      </c>
      <c r="K874" s="1">
        <v>0.05</v>
      </c>
      <c r="L874">
        <v>68.33</v>
      </c>
      <c r="M874" t="s">
        <v>63</v>
      </c>
      <c r="N874" t="s">
        <v>23</v>
      </c>
      <c r="O874" t="str">
        <f t="shared" si="78"/>
        <v>27/12/2024</v>
      </c>
      <c r="P874">
        <f t="shared" si="79"/>
        <v>2024</v>
      </c>
      <c r="Q874">
        <f t="shared" si="80"/>
        <v>12</v>
      </c>
      <c r="R874" t="str">
        <f t="shared" si="81"/>
        <v>December</v>
      </c>
      <c r="S874" t="str">
        <f t="shared" si="82"/>
        <v>High</v>
      </c>
      <c r="T874" s="1">
        <f t="shared" si="83"/>
        <v>1.28936692140768E-2</v>
      </c>
      <c r="U874">
        <f>SUM($I$2:I874)</f>
        <v>3098568.5800000005</v>
      </c>
      <c r="V874" s="1">
        <f>Table1[[#This Row],[Running total ]]/SUM(I:I)</f>
        <v>0.89413035989564948</v>
      </c>
    </row>
    <row r="875" spans="1:22" x14ac:dyDescent="0.3">
      <c r="A875" t="s">
        <v>1672</v>
      </c>
      <c r="B875" t="s">
        <v>558</v>
      </c>
      <c r="C875" t="s">
        <v>90</v>
      </c>
      <c r="D875" t="s">
        <v>137</v>
      </c>
      <c r="E875" t="s">
        <v>160</v>
      </c>
      <c r="F875" t="s">
        <v>55</v>
      </c>
      <c r="G875" t="s">
        <v>74</v>
      </c>
      <c r="H875" t="s">
        <v>272</v>
      </c>
      <c r="I875">
        <v>672.42</v>
      </c>
      <c r="J875">
        <v>7</v>
      </c>
      <c r="K875" s="1">
        <v>0</v>
      </c>
      <c r="L875">
        <v>113.86</v>
      </c>
      <c r="M875" t="s">
        <v>31</v>
      </c>
      <c r="N875" t="s">
        <v>23</v>
      </c>
      <c r="O875" t="str">
        <f t="shared" si="78"/>
        <v>21/03/2025</v>
      </c>
      <c r="P875">
        <f t="shared" si="79"/>
        <v>2025</v>
      </c>
      <c r="Q875">
        <f t="shared" si="80"/>
        <v>3</v>
      </c>
      <c r="R875" t="str">
        <f t="shared" si="81"/>
        <v>March</v>
      </c>
      <c r="S875" t="str">
        <f t="shared" si="82"/>
        <v>No Discount</v>
      </c>
      <c r="T875" s="1">
        <f t="shared" si="83"/>
        <v>0.16932869337616371</v>
      </c>
      <c r="U875">
        <f>SUM($I$2:I875)</f>
        <v>3099241.0000000005</v>
      </c>
      <c r="V875" s="1">
        <f>Table1[[#This Row],[Running total ]]/SUM(I:I)</f>
        <v>0.89432439501899053</v>
      </c>
    </row>
    <row r="876" spans="1:22" x14ac:dyDescent="0.3">
      <c r="A876" t="s">
        <v>1673</v>
      </c>
      <c r="B876" t="s">
        <v>1374</v>
      </c>
      <c r="C876" t="s">
        <v>687</v>
      </c>
      <c r="D876" t="s">
        <v>137</v>
      </c>
      <c r="E876" t="s">
        <v>160</v>
      </c>
      <c r="F876" t="s">
        <v>67</v>
      </c>
      <c r="G876" t="s">
        <v>115</v>
      </c>
      <c r="H876" t="s">
        <v>116</v>
      </c>
      <c r="I876">
        <v>2904.18</v>
      </c>
      <c r="J876">
        <v>6</v>
      </c>
      <c r="K876" s="1">
        <v>0.25</v>
      </c>
      <c r="L876">
        <v>-265.52999999999997</v>
      </c>
      <c r="M876" t="s">
        <v>63</v>
      </c>
      <c r="N876" t="s">
        <v>39</v>
      </c>
      <c r="O876" t="str">
        <f t="shared" si="78"/>
        <v>15/10/2025</v>
      </c>
      <c r="P876">
        <f t="shared" si="79"/>
        <v>2025</v>
      </c>
      <c r="Q876">
        <f t="shared" si="80"/>
        <v>10</v>
      </c>
      <c r="R876" t="str">
        <f t="shared" si="81"/>
        <v>October</v>
      </c>
      <c r="S876" t="str">
        <f t="shared" si="82"/>
        <v>Low</v>
      </c>
      <c r="T876" s="1">
        <f t="shared" si="83"/>
        <v>-9.1430283246906177E-2</v>
      </c>
      <c r="U876">
        <f>SUM($I$2:I876)</f>
        <v>3102145.1800000006</v>
      </c>
      <c r="V876" s="1">
        <f>Table1[[#This Row],[Running total ]]/SUM(I:I)</f>
        <v>0.89516243214534708</v>
      </c>
    </row>
    <row r="877" spans="1:22" x14ac:dyDescent="0.3">
      <c r="A877" t="s">
        <v>1674</v>
      </c>
      <c r="B877" t="s">
        <v>924</v>
      </c>
      <c r="C877" t="s">
        <v>1675</v>
      </c>
      <c r="D877" t="s">
        <v>27</v>
      </c>
      <c r="E877" t="s">
        <v>28</v>
      </c>
      <c r="F877" t="s">
        <v>55</v>
      </c>
      <c r="G877" t="s">
        <v>98</v>
      </c>
      <c r="H877" t="s">
        <v>150</v>
      </c>
      <c r="I877">
        <v>2887.41</v>
      </c>
      <c r="J877">
        <v>3</v>
      </c>
      <c r="K877" s="1">
        <v>0.2</v>
      </c>
      <c r="L877">
        <v>326.52999999999997</v>
      </c>
      <c r="M877" t="s">
        <v>195</v>
      </c>
      <c r="N877" t="s">
        <v>32</v>
      </c>
      <c r="O877" t="str">
        <f t="shared" si="78"/>
        <v>29/11/2025</v>
      </c>
      <c r="P877">
        <f t="shared" si="79"/>
        <v>2025</v>
      </c>
      <c r="Q877">
        <f t="shared" si="80"/>
        <v>11</v>
      </c>
      <c r="R877" t="str">
        <f t="shared" si="81"/>
        <v>November</v>
      </c>
      <c r="S877" t="str">
        <f t="shared" si="82"/>
        <v>Low</v>
      </c>
      <c r="T877" s="1">
        <f t="shared" si="83"/>
        <v>0.11308750748941092</v>
      </c>
      <c r="U877">
        <f>SUM($I$2:I877)</f>
        <v>3105032.5900000008</v>
      </c>
      <c r="V877" s="1">
        <f>Table1[[#This Row],[Running total ]]/SUM(I:I)</f>
        <v>0.89599563008039695</v>
      </c>
    </row>
    <row r="878" spans="1:22" x14ac:dyDescent="0.3">
      <c r="A878" t="s">
        <v>1676</v>
      </c>
      <c r="B878" t="s">
        <v>833</v>
      </c>
      <c r="C878" t="s">
        <v>225</v>
      </c>
      <c r="D878" t="s">
        <v>27</v>
      </c>
      <c r="E878" t="s">
        <v>28</v>
      </c>
      <c r="F878" t="s">
        <v>19</v>
      </c>
      <c r="G878" t="s">
        <v>29</v>
      </c>
      <c r="H878" t="s">
        <v>30</v>
      </c>
      <c r="I878">
        <v>561.34</v>
      </c>
      <c r="J878">
        <v>2</v>
      </c>
      <c r="K878" s="1">
        <v>0.3</v>
      </c>
      <c r="L878">
        <v>-112.57</v>
      </c>
      <c r="M878" t="s">
        <v>44</v>
      </c>
      <c r="N878" t="s">
        <v>23</v>
      </c>
      <c r="O878" t="str">
        <f t="shared" si="78"/>
        <v>16/09/2025</v>
      </c>
      <c r="P878">
        <f t="shared" si="79"/>
        <v>2025</v>
      </c>
      <c r="Q878">
        <f t="shared" si="80"/>
        <v>9</v>
      </c>
      <c r="R878" t="str">
        <f t="shared" si="81"/>
        <v>September</v>
      </c>
      <c r="S878" t="str">
        <f t="shared" si="82"/>
        <v>Low</v>
      </c>
      <c r="T878" s="1">
        <f t="shared" si="83"/>
        <v>-0.20053799836106456</v>
      </c>
      <c r="U878">
        <f>SUM($I$2:I878)</f>
        <v>3105593.9300000006</v>
      </c>
      <c r="V878" s="1">
        <f>Table1[[#This Row],[Running total ]]/SUM(I:I)</f>
        <v>0.89615761169328212</v>
      </c>
    </row>
    <row r="879" spans="1:22" x14ac:dyDescent="0.3">
      <c r="A879" t="s">
        <v>1677</v>
      </c>
      <c r="B879" t="s">
        <v>431</v>
      </c>
      <c r="C879" t="s">
        <v>841</v>
      </c>
      <c r="D879" t="s">
        <v>27</v>
      </c>
      <c r="E879" t="s">
        <v>124</v>
      </c>
      <c r="F879" t="s">
        <v>19</v>
      </c>
      <c r="G879" t="s">
        <v>20</v>
      </c>
      <c r="H879" t="s">
        <v>21</v>
      </c>
      <c r="I879">
        <v>277.62</v>
      </c>
      <c r="J879">
        <v>3</v>
      </c>
      <c r="K879" s="1">
        <v>0.1</v>
      </c>
      <c r="L879">
        <v>34.159999999999997</v>
      </c>
      <c r="M879" t="s">
        <v>63</v>
      </c>
      <c r="N879" t="s">
        <v>32</v>
      </c>
      <c r="O879" t="str">
        <f t="shared" si="78"/>
        <v>05/04/2025</v>
      </c>
      <c r="P879">
        <f t="shared" si="79"/>
        <v>2025</v>
      </c>
      <c r="Q879">
        <f t="shared" si="80"/>
        <v>4</v>
      </c>
      <c r="R879" t="str">
        <f t="shared" si="81"/>
        <v>April</v>
      </c>
      <c r="S879" t="str">
        <f t="shared" si="82"/>
        <v>Low</v>
      </c>
      <c r="T879" s="1">
        <f t="shared" si="83"/>
        <v>0.12304589006555722</v>
      </c>
      <c r="U879">
        <f>SUM($I$2:I879)</f>
        <v>3105871.5500000007</v>
      </c>
      <c r="V879" s="1">
        <f>Table1[[#This Row],[Running total ]]/SUM(I:I)</f>
        <v>0.89623772238443045</v>
      </c>
    </row>
    <row r="880" spans="1:22" x14ac:dyDescent="0.3">
      <c r="A880" t="s">
        <v>1678</v>
      </c>
      <c r="B880" t="s">
        <v>1679</v>
      </c>
      <c r="C880" t="s">
        <v>911</v>
      </c>
      <c r="D880" t="s">
        <v>48</v>
      </c>
      <c r="E880" t="s">
        <v>73</v>
      </c>
      <c r="F880" t="s">
        <v>55</v>
      </c>
      <c r="G880" t="s">
        <v>56</v>
      </c>
      <c r="H880" t="s">
        <v>129</v>
      </c>
      <c r="I880">
        <v>1220.8800000000001</v>
      </c>
      <c r="J880">
        <v>8</v>
      </c>
      <c r="K880" s="1">
        <v>0.15</v>
      </c>
      <c r="L880">
        <v>-13.28</v>
      </c>
      <c r="M880" t="s">
        <v>143</v>
      </c>
      <c r="N880" t="s">
        <v>32</v>
      </c>
      <c r="O880" t="str">
        <f t="shared" si="78"/>
        <v>28/08/2025</v>
      </c>
      <c r="P880">
        <f t="shared" si="79"/>
        <v>2025</v>
      </c>
      <c r="Q880">
        <f t="shared" si="80"/>
        <v>8</v>
      </c>
      <c r="R880" t="str">
        <f t="shared" si="81"/>
        <v>August</v>
      </c>
      <c r="S880" t="str">
        <f t="shared" si="82"/>
        <v>Low</v>
      </c>
      <c r="T880" s="1">
        <f t="shared" si="83"/>
        <v>-1.0877399908262891E-2</v>
      </c>
      <c r="U880">
        <f>SUM($I$2:I880)</f>
        <v>3107092.4300000006</v>
      </c>
      <c r="V880" s="1">
        <f>Table1[[#This Row],[Running total ]]/SUM(I:I)</f>
        <v>0.89659002243705321</v>
      </c>
    </row>
    <row r="881" spans="1:22" x14ac:dyDescent="0.3">
      <c r="A881" t="s">
        <v>1680</v>
      </c>
      <c r="B881" t="s">
        <v>1681</v>
      </c>
      <c r="C881" t="s">
        <v>421</v>
      </c>
      <c r="D881" t="s">
        <v>17</v>
      </c>
      <c r="E881" t="s">
        <v>54</v>
      </c>
      <c r="F881" t="s">
        <v>67</v>
      </c>
      <c r="G881" t="s">
        <v>68</v>
      </c>
      <c r="H881" t="s">
        <v>103</v>
      </c>
      <c r="I881">
        <v>2188.98</v>
      </c>
      <c r="J881">
        <v>3</v>
      </c>
      <c r="K881" s="1">
        <v>0.3</v>
      </c>
      <c r="L881">
        <v>-543.54</v>
      </c>
      <c r="M881" t="s">
        <v>107</v>
      </c>
      <c r="N881" t="s">
        <v>76</v>
      </c>
      <c r="O881" t="str">
        <f t="shared" si="78"/>
        <v>19/05/2024</v>
      </c>
      <c r="P881">
        <f t="shared" si="79"/>
        <v>2024</v>
      </c>
      <c r="Q881">
        <f t="shared" si="80"/>
        <v>5</v>
      </c>
      <c r="R881" t="str">
        <f t="shared" si="81"/>
        <v>May</v>
      </c>
      <c r="S881" t="str">
        <f t="shared" si="82"/>
        <v>Low</v>
      </c>
      <c r="T881" s="1">
        <f t="shared" si="83"/>
        <v>-0.24830743085820792</v>
      </c>
      <c r="U881">
        <f>SUM($I$2:I881)</f>
        <v>3109281.4100000006</v>
      </c>
      <c r="V881" s="1">
        <f>Table1[[#This Row],[Running total ]]/SUM(I:I)</f>
        <v>0.89722167974095723</v>
      </c>
    </row>
    <row r="882" spans="1:22" x14ac:dyDescent="0.3">
      <c r="A882" t="s">
        <v>1682</v>
      </c>
      <c r="B882" t="s">
        <v>1683</v>
      </c>
      <c r="C882" t="s">
        <v>452</v>
      </c>
      <c r="D882" t="s">
        <v>48</v>
      </c>
      <c r="E882" t="s">
        <v>84</v>
      </c>
      <c r="F882" t="s">
        <v>67</v>
      </c>
      <c r="G882" t="s">
        <v>68</v>
      </c>
      <c r="H882" t="s">
        <v>382</v>
      </c>
      <c r="I882">
        <v>7802.96</v>
      </c>
      <c r="J882">
        <v>8</v>
      </c>
      <c r="K882" s="1">
        <v>0</v>
      </c>
      <c r="L882">
        <v>2932.53</v>
      </c>
      <c r="M882" t="s">
        <v>38</v>
      </c>
      <c r="N882" t="s">
        <v>32</v>
      </c>
      <c r="O882" t="str">
        <f t="shared" si="78"/>
        <v>07/11/2025</v>
      </c>
      <c r="P882">
        <f t="shared" si="79"/>
        <v>2025</v>
      </c>
      <c r="Q882">
        <f t="shared" si="80"/>
        <v>11</v>
      </c>
      <c r="R882" t="str">
        <f t="shared" si="81"/>
        <v>November</v>
      </c>
      <c r="S882" t="str">
        <f t="shared" si="82"/>
        <v>No Discount</v>
      </c>
      <c r="T882" s="1">
        <f t="shared" si="83"/>
        <v>0.37582276469442366</v>
      </c>
      <c r="U882">
        <f>SUM($I$2:I882)</f>
        <v>3117084.3700000006</v>
      </c>
      <c r="V882" s="1">
        <f>Table1[[#This Row],[Running total ]]/SUM(I:I)</f>
        <v>0.89947332053990037</v>
      </c>
    </row>
    <row r="883" spans="1:22" x14ac:dyDescent="0.3">
      <c r="A883" t="s">
        <v>1684</v>
      </c>
      <c r="B883" t="s">
        <v>1685</v>
      </c>
      <c r="C883" t="s">
        <v>221</v>
      </c>
      <c r="D883" t="s">
        <v>27</v>
      </c>
      <c r="E883" t="s">
        <v>28</v>
      </c>
      <c r="F883" t="s">
        <v>19</v>
      </c>
      <c r="G883" t="s">
        <v>20</v>
      </c>
      <c r="H883" t="s">
        <v>347</v>
      </c>
      <c r="I883">
        <v>5300.05</v>
      </c>
      <c r="J883">
        <v>7</v>
      </c>
      <c r="K883" s="1">
        <v>0.25</v>
      </c>
      <c r="L883">
        <v>355.71</v>
      </c>
      <c r="M883" t="s">
        <v>63</v>
      </c>
      <c r="N883" t="s">
        <v>39</v>
      </c>
      <c r="O883" t="str">
        <f t="shared" si="78"/>
        <v>10/10/2025</v>
      </c>
      <c r="P883">
        <f t="shared" si="79"/>
        <v>2025</v>
      </c>
      <c r="Q883">
        <f t="shared" si="80"/>
        <v>10</v>
      </c>
      <c r="R883" t="str">
        <f t="shared" si="81"/>
        <v>October</v>
      </c>
      <c r="S883" t="str">
        <f t="shared" si="82"/>
        <v>Low</v>
      </c>
      <c r="T883" s="1">
        <f t="shared" si="83"/>
        <v>6.7114461184328442E-2</v>
      </c>
      <c r="U883">
        <f>SUM($I$2:I883)</f>
        <v>3122384.4200000004</v>
      </c>
      <c r="V883" s="1">
        <f>Table1[[#This Row],[Running total ]]/SUM(I:I)</f>
        <v>0.90100271564335321</v>
      </c>
    </row>
    <row r="884" spans="1:22" x14ac:dyDescent="0.3">
      <c r="A884" t="s">
        <v>1686</v>
      </c>
      <c r="B884" t="s">
        <v>326</v>
      </c>
      <c r="C884" t="s">
        <v>792</v>
      </c>
      <c r="D884" t="s">
        <v>27</v>
      </c>
      <c r="E884" t="s">
        <v>61</v>
      </c>
      <c r="F884" t="s">
        <v>19</v>
      </c>
      <c r="G884" t="s">
        <v>29</v>
      </c>
      <c r="H884" t="s">
        <v>30</v>
      </c>
      <c r="I884">
        <v>205.65</v>
      </c>
      <c r="J884">
        <v>3</v>
      </c>
      <c r="K884" s="1">
        <v>0.1</v>
      </c>
      <c r="L884">
        <v>-7.67</v>
      </c>
      <c r="M884" t="s">
        <v>44</v>
      </c>
      <c r="N884" t="s">
        <v>39</v>
      </c>
      <c r="O884" t="str">
        <f t="shared" si="78"/>
        <v>15/05/2024</v>
      </c>
      <c r="P884">
        <f t="shared" si="79"/>
        <v>2024</v>
      </c>
      <c r="Q884">
        <f t="shared" si="80"/>
        <v>5</v>
      </c>
      <c r="R884" t="str">
        <f t="shared" si="81"/>
        <v>May</v>
      </c>
      <c r="S884" t="str">
        <f t="shared" si="82"/>
        <v>Low</v>
      </c>
      <c r="T884" s="1">
        <f t="shared" si="83"/>
        <v>-3.7296377340141018E-2</v>
      </c>
      <c r="U884">
        <f>SUM($I$2:I884)</f>
        <v>3122590.0700000003</v>
      </c>
      <c r="V884" s="1">
        <f>Table1[[#This Row],[Running total ]]/SUM(I:I)</f>
        <v>0.90106205849917997</v>
      </c>
    </row>
    <row r="885" spans="1:22" x14ac:dyDescent="0.3">
      <c r="A885" t="s">
        <v>1687</v>
      </c>
      <c r="B885" t="s">
        <v>372</v>
      </c>
      <c r="C885" t="s">
        <v>83</v>
      </c>
      <c r="D885" t="s">
        <v>17</v>
      </c>
      <c r="E885" t="s">
        <v>18</v>
      </c>
      <c r="F885" t="s">
        <v>19</v>
      </c>
      <c r="G885" t="s">
        <v>36</v>
      </c>
      <c r="H885" t="s">
        <v>222</v>
      </c>
      <c r="I885">
        <v>5595.39</v>
      </c>
      <c r="J885">
        <v>9</v>
      </c>
      <c r="K885" s="1">
        <v>0.3</v>
      </c>
      <c r="L885">
        <v>-755.91</v>
      </c>
      <c r="M885" t="s">
        <v>117</v>
      </c>
      <c r="N885" t="s">
        <v>23</v>
      </c>
      <c r="O885" t="str">
        <f t="shared" si="78"/>
        <v>28/07/2024</v>
      </c>
      <c r="P885">
        <f t="shared" si="79"/>
        <v>2024</v>
      </c>
      <c r="Q885">
        <f t="shared" si="80"/>
        <v>7</v>
      </c>
      <c r="R885" t="str">
        <f t="shared" si="81"/>
        <v>July</v>
      </c>
      <c r="S885" t="str">
        <f t="shared" si="82"/>
        <v>Low</v>
      </c>
      <c r="T885" s="1">
        <f t="shared" si="83"/>
        <v>-0.13509514082128321</v>
      </c>
      <c r="U885">
        <f>SUM($I$2:I885)</f>
        <v>3128185.4600000004</v>
      </c>
      <c r="V885" s="1">
        <f>Table1[[#This Row],[Running total ]]/SUM(I:I)</f>
        <v>0.90267667761935988</v>
      </c>
    </row>
    <row r="886" spans="1:22" x14ac:dyDescent="0.3">
      <c r="A886" t="s">
        <v>1688</v>
      </c>
      <c r="B886" t="s">
        <v>1689</v>
      </c>
      <c r="C886" t="s">
        <v>123</v>
      </c>
      <c r="D886" t="s">
        <v>137</v>
      </c>
      <c r="E886" t="s">
        <v>160</v>
      </c>
      <c r="F886" t="s">
        <v>55</v>
      </c>
      <c r="G886" t="s">
        <v>56</v>
      </c>
      <c r="H886" t="s">
        <v>129</v>
      </c>
      <c r="I886">
        <v>1745.04</v>
      </c>
      <c r="J886">
        <v>3</v>
      </c>
      <c r="K886" s="1">
        <v>0.25</v>
      </c>
      <c r="L886">
        <v>17.13</v>
      </c>
      <c r="M886" t="s">
        <v>63</v>
      </c>
      <c r="N886" t="s">
        <v>76</v>
      </c>
      <c r="O886" t="str">
        <f t="shared" si="78"/>
        <v>19/08/2024</v>
      </c>
      <c r="P886">
        <f t="shared" si="79"/>
        <v>2024</v>
      </c>
      <c r="Q886">
        <f t="shared" si="80"/>
        <v>8</v>
      </c>
      <c r="R886" t="str">
        <f t="shared" si="81"/>
        <v>August</v>
      </c>
      <c r="S886" t="str">
        <f t="shared" si="82"/>
        <v>Low</v>
      </c>
      <c r="T886" s="1">
        <f t="shared" si="83"/>
        <v>9.8163938935497182E-3</v>
      </c>
      <c r="U886">
        <f>SUM($I$2:I886)</f>
        <v>3129930.5000000005</v>
      </c>
      <c r="V886" s="1">
        <f>Table1[[#This Row],[Running total ]]/SUM(I:I)</f>
        <v>0.90318023053514929</v>
      </c>
    </row>
    <row r="887" spans="1:22" x14ac:dyDescent="0.3">
      <c r="A887" t="s">
        <v>1690</v>
      </c>
      <c r="B887" t="s">
        <v>1691</v>
      </c>
      <c r="C887" t="s">
        <v>262</v>
      </c>
      <c r="D887" t="s">
        <v>48</v>
      </c>
      <c r="E887" t="s">
        <v>84</v>
      </c>
      <c r="F887" t="s">
        <v>55</v>
      </c>
      <c r="G887" t="s">
        <v>56</v>
      </c>
      <c r="H887" t="s">
        <v>62</v>
      </c>
      <c r="I887">
        <v>1794.85</v>
      </c>
      <c r="J887">
        <v>5</v>
      </c>
      <c r="K887" s="1">
        <v>0.1</v>
      </c>
      <c r="L887">
        <v>491.3</v>
      </c>
      <c r="M887" t="s">
        <v>117</v>
      </c>
      <c r="N887" t="s">
        <v>32</v>
      </c>
      <c r="O887" t="str">
        <f t="shared" si="78"/>
        <v>02/06/2024</v>
      </c>
      <c r="P887">
        <f t="shared" si="79"/>
        <v>2024</v>
      </c>
      <c r="Q887">
        <f t="shared" si="80"/>
        <v>6</v>
      </c>
      <c r="R887" t="str">
        <f t="shared" si="81"/>
        <v>June</v>
      </c>
      <c r="S887" t="str">
        <f t="shared" si="82"/>
        <v>Low</v>
      </c>
      <c r="T887" s="1">
        <f t="shared" si="83"/>
        <v>0.27372760954954456</v>
      </c>
      <c r="U887">
        <f>SUM($I$2:I887)</f>
        <v>3131725.3500000006</v>
      </c>
      <c r="V887" s="1">
        <f>Table1[[#This Row],[Running total ]]/SUM(I:I)</f>
        <v>0.90369815674366294</v>
      </c>
    </row>
    <row r="888" spans="1:22" x14ac:dyDescent="0.3">
      <c r="A888" t="s">
        <v>1692</v>
      </c>
      <c r="B888" t="s">
        <v>695</v>
      </c>
      <c r="C888" t="s">
        <v>128</v>
      </c>
      <c r="D888" t="s">
        <v>137</v>
      </c>
      <c r="E888" t="s">
        <v>142</v>
      </c>
      <c r="F888" t="s">
        <v>67</v>
      </c>
      <c r="G888" t="s">
        <v>115</v>
      </c>
      <c r="H888" t="s">
        <v>212</v>
      </c>
      <c r="I888">
        <v>2128.94</v>
      </c>
      <c r="J888">
        <v>2</v>
      </c>
      <c r="K888" s="1">
        <v>0.1</v>
      </c>
      <c r="L888">
        <v>596.98</v>
      </c>
      <c r="M888" t="s">
        <v>143</v>
      </c>
      <c r="N888" t="s">
        <v>32</v>
      </c>
      <c r="O888" t="str">
        <f t="shared" si="78"/>
        <v>13/07/2025</v>
      </c>
      <c r="P888">
        <f t="shared" si="79"/>
        <v>2025</v>
      </c>
      <c r="Q888">
        <f t="shared" si="80"/>
        <v>7</v>
      </c>
      <c r="R888" t="str">
        <f t="shared" si="81"/>
        <v>July</v>
      </c>
      <c r="S888" t="str">
        <f t="shared" si="82"/>
        <v>Low</v>
      </c>
      <c r="T888" s="1">
        <f t="shared" si="83"/>
        <v>0.28041184814978348</v>
      </c>
      <c r="U888">
        <f>SUM($I$2:I888)</f>
        <v>3133854.2900000005</v>
      </c>
      <c r="V888" s="1">
        <f>Table1[[#This Row],[Running total ]]/SUM(I:I)</f>
        <v>0.90431248876157688</v>
      </c>
    </row>
    <row r="889" spans="1:22" x14ac:dyDescent="0.3">
      <c r="A889" t="s">
        <v>1693</v>
      </c>
      <c r="B889" t="s">
        <v>629</v>
      </c>
      <c r="C889" t="s">
        <v>218</v>
      </c>
      <c r="D889" t="s">
        <v>27</v>
      </c>
      <c r="E889" t="s">
        <v>124</v>
      </c>
      <c r="F889" t="s">
        <v>55</v>
      </c>
      <c r="G889" t="s">
        <v>56</v>
      </c>
      <c r="H889" t="s">
        <v>62</v>
      </c>
      <c r="I889">
        <v>3720</v>
      </c>
      <c r="J889">
        <v>4</v>
      </c>
      <c r="K889" s="1">
        <v>0.25</v>
      </c>
      <c r="L889">
        <v>-679.23</v>
      </c>
      <c r="M889" t="s">
        <v>143</v>
      </c>
      <c r="N889" t="s">
        <v>39</v>
      </c>
      <c r="O889" t="str">
        <f t="shared" si="78"/>
        <v>03/09/2024</v>
      </c>
      <c r="P889">
        <f t="shared" si="79"/>
        <v>2024</v>
      </c>
      <c r="Q889">
        <f t="shared" si="80"/>
        <v>9</v>
      </c>
      <c r="R889" t="str">
        <f t="shared" si="81"/>
        <v>September</v>
      </c>
      <c r="S889" t="str">
        <f t="shared" si="82"/>
        <v>Low</v>
      </c>
      <c r="T889" s="1">
        <f t="shared" si="83"/>
        <v>-0.18258870967741936</v>
      </c>
      <c r="U889">
        <f>SUM($I$2:I889)</f>
        <v>3137574.2900000005</v>
      </c>
      <c r="V889" s="1">
        <f>Table1[[#This Row],[Running total ]]/SUM(I:I)</f>
        <v>0.90538594085822588</v>
      </c>
    </row>
    <row r="890" spans="1:22" x14ac:dyDescent="0.3">
      <c r="A890" t="s">
        <v>1694</v>
      </c>
      <c r="B890" t="s">
        <v>1695</v>
      </c>
      <c r="C890" t="s">
        <v>136</v>
      </c>
      <c r="D890" t="s">
        <v>17</v>
      </c>
      <c r="E890" t="s">
        <v>18</v>
      </c>
      <c r="F890" t="s">
        <v>55</v>
      </c>
      <c r="G890" t="s">
        <v>98</v>
      </c>
      <c r="H890" t="s">
        <v>150</v>
      </c>
      <c r="I890">
        <v>344.3</v>
      </c>
      <c r="J890">
        <v>1</v>
      </c>
      <c r="K890" s="1">
        <v>0.05</v>
      </c>
      <c r="L890">
        <v>32.299999999999997</v>
      </c>
      <c r="M890" t="s">
        <v>63</v>
      </c>
      <c r="N890" t="s">
        <v>23</v>
      </c>
      <c r="O890" t="str">
        <f t="shared" si="78"/>
        <v>25/11/2024</v>
      </c>
      <c r="P890">
        <f t="shared" si="79"/>
        <v>2024</v>
      </c>
      <c r="Q890">
        <f t="shared" si="80"/>
        <v>11</v>
      </c>
      <c r="R890" t="str">
        <f t="shared" si="81"/>
        <v>November</v>
      </c>
      <c r="S890" t="str">
        <f t="shared" si="82"/>
        <v>High</v>
      </c>
      <c r="T890" s="1">
        <f t="shared" si="83"/>
        <v>9.3813534708103385E-2</v>
      </c>
      <c r="U890">
        <f>SUM($I$2:I890)</f>
        <v>3137918.5900000003</v>
      </c>
      <c r="V890" s="1">
        <f>Table1[[#This Row],[Running total ]]/SUM(I:I)</f>
        <v>0.90548529288964419</v>
      </c>
    </row>
    <row r="891" spans="1:22" x14ac:dyDescent="0.3">
      <c r="A891" t="s">
        <v>1696</v>
      </c>
      <c r="B891" t="s">
        <v>545</v>
      </c>
      <c r="C891" t="s">
        <v>235</v>
      </c>
      <c r="D891" t="s">
        <v>27</v>
      </c>
      <c r="E891" t="s">
        <v>43</v>
      </c>
      <c r="F891" t="s">
        <v>67</v>
      </c>
      <c r="G891" t="s">
        <v>85</v>
      </c>
      <c r="H891" t="s">
        <v>253</v>
      </c>
      <c r="I891">
        <v>399.65</v>
      </c>
      <c r="J891">
        <v>1</v>
      </c>
      <c r="K891" s="1">
        <v>0.3</v>
      </c>
      <c r="L891">
        <v>-51.74</v>
      </c>
      <c r="M891" t="s">
        <v>31</v>
      </c>
      <c r="N891" t="s">
        <v>23</v>
      </c>
      <c r="O891" t="str">
        <f t="shared" si="78"/>
        <v>16/04/2025</v>
      </c>
      <c r="P891">
        <f t="shared" si="79"/>
        <v>2025</v>
      </c>
      <c r="Q891">
        <f t="shared" si="80"/>
        <v>4</v>
      </c>
      <c r="R891" t="str">
        <f t="shared" si="81"/>
        <v>April</v>
      </c>
      <c r="S891" t="str">
        <f t="shared" si="82"/>
        <v>Low</v>
      </c>
      <c r="T891" s="1">
        <f t="shared" si="83"/>
        <v>-0.12946328037032404</v>
      </c>
      <c r="U891">
        <f>SUM($I$2:I891)</f>
        <v>3138318.24</v>
      </c>
      <c r="V891" s="1">
        <f>Table1[[#This Row],[Running total ]]/SUM(I:I)</f>
        <v>0.90560061684943605</v>
      </c>
    </row>
    <row r="892" spans="1:22" x14ac:dyDescent="0.3">
      <c r="A892" t="s">
        <v>1697</v>
      </c>
      <c r="B892" t="s">
        <v>1617</v>
      </c>
      <c r="C892" t="s">
        <v>661</v>
      </c>
      <c r="D892" t="s">
        <v>48</v>
      </c>
      <c r="E892" t="s">
        <v>110</v>
      </c>
      <c r="F892" t="s">
        <v>19</v>
      </c>
      <c r="G892" t="s">
        <v>29</v>
      </c>
      <c r="H892" t="s">
        <v>30</v>
      </c>
      <c r="I892">
        <v>4089.6</v>
      </c>
      <c r="J892">
        <v>5</v>
      </c>
      <c r="K892" s="1">
        <v>0.05</v>
      </c>
      <c r="L892">
        <v>921.94</v>
      </c>
      <c r="M892" t="s">
        <v>22</v>
      </c>
      <c r="N892" t="s">
        <v>76</v>
      </c>
      <c r="O892" t="str">
        <f t="shared" si="78"/>
        <v>08/04/2024</v>
      </c>
      <c r="P892">
        <f t="shared" si="79"/>
        <v>2024</v>
      </c>
      <c r="Q892">
        <f t="shared" si="80"/>
        <v>4</v>
      </c>
      <c r="R892" t="str">
        <f t="shared" si="81"/>
        <v>April</v>
      </c>
      <c r="S892" t="str">
        <f t="shared" si="82"/>
        <v>High</v>
      </c>
      <c r="T892" s="1">
        <f t="shared" si="83"/>
        <v>0.22543525039123632</v>
      </c>
      <c r="U892">
        <f>SUM($I$2:I892)</f>
        <v>3142407.8400000003</v>
      </c>
      <c r="V892" s="1">
        <f>Table1[[#This Row],[Running total ]]/SUM(I:I)</f>
        <v>0.9067807216060102</v>
      </c>
    </row>
    <row r="893" spans="1:22" x14ac:dyDescent="0.3">
      <c r="A893" t="s">
        <v>1698</v>
      </c>
      <c r="B893" t="s">
        <v>1544</v>
      </c>
      <c r="C893" t="s">
        <v>281</v>
      </c>
      <c r="D893" t="s">
        <v>137</v>
      </c>
      <c r="E893" t="s">
        <v>142</v>
      </c>
      <c r="F893" t="s">
        <v>19</v>
      </c>
      <c r="G893" t="s">
        <v>36</v>
      </c>
      <c r="H893" t="s">
        <v>222</v>
      </c>
      <c r="I893">
        <v>1123.58</v>
      </c>
      <c r="J893">
        <v>2</v>
      </c>
      <c r="K893" s="1">
        <v>0.05</v>
      </c>
      <c r="L893">
        <v>180.07</v>
      </c>
      <c r="M893" t="s">
        <v>117</v>
      </c>
      <c r="N893" t="s">
        <v>23</v>
      </c>
      <c r="O893" t="str">
        <f t="shared" si="78"/>
        <v>17/06/2024</v>
      </c>
      <c r="P893">
        <f t="shared" si="79"/>
        <v>2024</v>
      </c>
      <c r="Q893">
        <f t="shared" si="80"/>
        <v>6</v>
      </c>
      <c r="R893" t="str">
        <f t="shared" si="81"/>
        <v>June</v>
      </c>
      <c r="S893" t="str">
        <f t="shared" si="82"/>
        <v>High</v>
      </c>
      <c r="T893" s="1">
        <f t="shared" si="83"/>
        <v>0.16026451165026079</v>
      </c>
      <c r="U893">
        <f>SUM($I$2:I893)</f>
        <v>3143531.4200000004</v>
      </c>
      <c r="V893" s="1">
        <f>Table1[[#This Row],[Running total ]]/SUM(I:I)</f>
        <v>0.90710494453793311</v>
      </c>
    </row>
    <row r="894" spans="1:22" x14ac:dyDescent="0.3">
      <c r="A894" t="s">
        <v>1699</v>
      </c>
      <c r="B894" t="s">
        <v>131</v>
      </c>
      <c r="C894" t="s">
        <v>450</v>
      </c>
      <c r="D894" t="s">
        <v>48</v>
      </c>
      <c r="E894" t="s">
        <v>49</v>
      </c>
      <c r="F894" t="s">
        <v>19</v>
      </c>
      <c r="G894" t="s">
        <v>20</v>
      </c>
      <c r="H894" t="s">
        <v>347</v>
      </c>
      <c r="I894">
        <v>841.24</v>
      </c>
      <c r="J894">
        <v>1</v>
      </c>
      <c r="K894" s="1">
        <v>0.25</v>
      </c>
      <c r="L894">
        <v>107.46</v>
      </c>
      <c r="M894" t="s">
        <v>195</v>
      </c>
      <c r="N894" t="s">
        <v>32</v>
      </c>
      <c r="O894" t="str">
        <f t="shared" si="78"/>
        <v>14/01/2024</v>
      </c>
      <c r="P894">
        <f t="shared" si="79"/>
        <v>2024</v>
      </c>
      <c r="Q894">
        <f t="shared" si="80"/>
        <v>1</v>
      </c>
      <c r="R894" t="str">
        <f t="shared" si="81"/>
        <v>January</v>
      </c>
      <c r="S894" t="str">
        <f t="shared" si="82"/>
        <v>Low</v>
      </c>
      <c r="T894" s="1">
        <f t="shared" si="83"/>
        <v>0.12774000285293138</v>
      </c>
      <c r="U894">
        <f>SUM($I$2:I894)</f>
        <v>3144372.6600000006</v>
      </c>
      <c r="V894" s="1">
        <f>Table1[[#This Row],[Running total ]]/SUM(I:I)</f>
        <v>0.90734769476421939</v>
      </c>
    </row>
    <row r="895" spans="1:22" x14ac:dyDescent="0.3">
      <c r="A895" t="s">
        <v>1700</v>
      </c>
      <c r="B895" t="s">
        <v>1250</v>
      </c>
      <c r="C895" t="s">
        <v>146</v>
      </c>
      <c r="D895" t="s">
        <v>48</v>
      </c>
      <c r="E895" t="s">
        <v>49</v>
      </c>
      <c r="F895" t="s">
        <v>19</v>
      </c>
      <c r="G895" t="s">
        <v>36</v>
      </c>
      <c r="H895" t="s">
        <v>37</v>
      </c>
      <c r="I895">
        <v>8588.52</v>
      </c>
      <c r="J895">
        <v>9</v>
      </c>
      <c r="K895" s="1">
        <v>0</v>
      </c>
      <c r="L895">
        <v>1035.8399999999999</v>
      </c>
      <c r="M895" t="s">
        <v>87</v>
      </c>
      <c r="N895" t="s">
        <v>39</v>
      </c>
      <c r="O895" t="str">
        <f t="shared" si="78"/>
        <v>15/07/2024</v>
      </c>
      <c r="P895">
        <f t="shared" si="79"/>
        <v>2024</v>
      </c>
      <c r="Q895">
        <f t="shared" si="80"/>
        <v>7</v>
      </c>
      <c r="R895" t="str">
        <f t="shared" si="81"/>
        <v>July</v>
      </c>
      <c r="S895" t="str">
        <f t="shared" si="82"/>
        <v>No Discount</v>
      </c>
      <c r="T895" s="1">
        <f t="shared" si="83"/>
        <v>0.12060750862779616</v>
      </c>
      <c r="U895">
        <f>SUM($I$2:I895)</f>
        <v>3152961.1800000006</v>
      </c>
      <c r="V895" s="1">
        <f>Table1[[#This Row],[Running total ]]/SUM(I:I)</f>
        <v>0.90982601863548618</v>
      </c>
    </row>
    <row r="896" spans="1:22" x14ac:dyDescent="0.3">
      <c r="A896" t="s">
        <v>1701</v>
      </c>
      <c r="B896" t="s">
        <v>246</v>
      </c>
      <c r="C896" t="s">
        <v>42</v>
      </c>
      <c r="D896" t="s">
        <v>17</v>
      </c>
      <c r="E896" t="s">
        <v>97</v>
      </c>
      <c r="F896" t="s">
        <v>19</v>
      </c>
      <c r="G896" t="s">
        <v>36</v>
      </c>
      <c r="H896" t="s">
        <v>111</v>
      </c>
      <c r="I896">
        <v>1822.56</v>
      </c>
      <c r="J896">
        <v>6</v>
      </c>
      <c r="K896" s="1">
        <v>0.3</v>
      </c>
      <c r="L896">
        <v>-191.41</v>
      </c>
      <c r="M896" t="s">
        <v>31</v>
      </c>
      <c r="N896" t="s">
        <v>23</v>
      </c>
      <c r="O896" t="str">
        <f t="shared" si="78"/>
        <v>21/08/2025</v>
      </c>
      <c r="P896">
        <f t="shared" si="79"/>
        <v>2025</v>
      </c>
      <c r="Q896">
        <f t="shared" si="80"/>
        <v>8</v>
      </c>
      <c r="R896" t="str">
        <f t="shared" si="81"/>
        <v>August</v>
      </c>
      <c r="S896" t="str">
        <f t="shared" si="82"/>
        <v>Low</v>
      </c>
      <c r="T896" s="1">
        <f t="shared" si="83"/>
        <v>-0.10502260556579757</v>
      </c>
      <c r="U896">
        <f>SUM($I$2:I896)</f>
        <v>3154783.7400000007</v>
      </c>
      <c r="V896" s="1">
        <f>Table1[[#This Row],[Running total ]]/SUM(I:I)</f>
        <v>0.91035194090787019</v>
      </c>
    </row>
    <row r="897" spans="1:22" x14ac:dyDescent="0.3">
      <c r="A897" t="s">
        <v>1702</v>
      </c>
      <c r="B897" t="s">
        <v>665</v>
      </c>
      <c r="C897" t="s">
        <v>324</v>
      </c>
      <c r="D897" t="s">
        <v>17</v>
      </c>
      <c r="E897" t="s">
        <v>54</v>
      </c>
      <c r="F897" t="s">
        <v>19</v>
      </c>
      <c r="G897" t="s">
        <v>36</v>
      </c>
      <c r="H897" t="s">
        <v>111</v>
      </c>
      <c r="I897">
        <v>3777.34</v>
      </c>
      <c r="J897">
        <v>7</v>
      </c>
      <c r="K897" s="1">
        <v>0.15</v>
      </c>
      <c r="L897">
        <v>44.88</v>
      </c>
      <c r="M897" t="s">
        <v>63</v>
      </c>
      <c r="N897" t="s">
        <v>23</v>
      </c>
      <c r="O897" t="str">
        <f t="shared" si="78"/>
        <v>18/07/2024</v>
      </c>
      <c r="P897">
        <f t="shared" si="79"/>
        <v>2024</v>
      </c>
      <c r="Q897">
        <f t="shared" si="80"/>
        <v>7</v>
      </c>
      <c r="R897" t="str">
        <f t="shared" si="81"/>
        <v>July</v>
      </c>
      <c r="S897" t="str">
        <f t="shared" si="82"/>
        <v>Low</v>
      </c>
      <c r="T897" s="1">
        <f t="shared" si="83"/>
        <v>1.1881376841904621E-2</v>
      </c>
      <c r="U897">
        <f>SUM($I$2:I897)</f>
        <v>3158561.0800000005</v>
      </c>
      <c r="V897" s="1">
        <f>Table1[[#This Row],[Running total ]]/SUM(I:I)</f>
        <v>0.91144193917205196</v>
      </c>
    </row>
    <row r="898" spans="1:22" x14ac:dyDescent="0.3">
      <c r="A898" t="s">
        <v>1703</v>
      </c>
      <c r="B898" t="s">
        <v>686</v>
      </c>
      <c r="C898" t="s">
        <v>532</v>
      </c>
      <c r="D898" t="s">
        <v>137</v>
      </c>
      <c r="E898" t="s">
        <v>160</v>
      </c>
      <c r="F898" t="s">
        <v>67</v>
      </c>
      <c r="G898" t="s">
        <v>85</v>
      </c>
      <c r="H898" t="s">
        <v>86</v>
      </c>
      <c r="I898">
        <v>6902.46</v>
      </c>
      <c r="J898">
        <v>9</v>
      </c>
      <c r="K898" s="1">
        <v>0.1</v>
      </c>
      <c r="L898">
        <v>1300.07</v>
      </c>
      <c r="M898" t="s">
        <v>38</v>
      </c>
      <c r="N898" t="s">
        <v>23</v>
      </c>
      <c r="O898" t="str">
        <f t="shared" si="78"/>
        <v>05/03/2025</v>
      </c>
      <c r="P898">
        <f t="shared" si="79"/>
        <v>2025</v>
      </c>
      <c r="Q898">
        <f t="shared" si="80"/>
        <v>3</v>
      </c>
      <c r="R898" t="str">
        <f t="shared" si="81"/>
        <v>March</v>
      </c>
      <c r="S898" t="str">
        <f t="shared" si="82"/>
        <v>Low</v>
      </c>
      <c r="T898" s="1">
        <f t="shared" si="83"/>
        <v>0.18834879159024462</v>
      </c>
      <c r="U898">
        <f>SUM($I$2:I898)</f>
        <v>3165463.5400000005</v>
      </c>
      <c r="V898" s="1">
        <f>Table1[[#This Row],[Running total ]]/SUM(I:I)</f>
        <v>0.91343372953738422</v>
      </c>
    </row>
    <row r="899" spans="1:22" x14ac:dyDescent="0.3">
      <c r="A899" t="s">
        <v>1704</v>
      </c>
      <c r="B899" t="s">
        <v>1705</v>
      </c>
      <c r="C899" t="s">
        <v>1101</v>
      </c>
      <c r="D899" t="s">
        <v>137</v>
      </c>
      <c r="E899" t="s">
        <v>160</v>
      </c>
      <c r="F899" t="s">
        <v>19</v>
      </c>
      <c r="G899" t="s">
        <v>36</v>
      </c>
      <c r="H899" t="s">
        <v>222</v>
      </c>
      <c r="I899">
        <v>10217.5</v>
      </c>
      <c r="J899">
        <v>10</v>
      </c>
      <c r="K899" s="1">
        <v>0.3</v>
      </c>
      <c r="L899">
        <v>-75.92</v>
      </c>
      <c r="M899" t="s">
        <v>44</v>
      </c>
      <c r="N899" t="s">
        <v>76</v>
      </c>
      <c r="O899" t="str">
        <f t="shared" ref="O899:O962" si="84">TEXT(B899,"dd/mm/yyyy")</f>
        <v>10/03/2024</v>
      </c>
      <c r="P899">
        <f t="shared" ref="P899:P962" si="85">YEAR(O899)</f>
        <v>2024</v>
      </c>
      <c r="Q899">
        <f t="shared" ref="Q899:Q962" si="86">MONTH(O899)</f>
        <v>3</v>
      </c>
      <c r="R899" t="str">
        <f t="shared" ref="R899:R962" si="87">TEXT(O899,"mmmm")</f>
        <v>March</v>
      </c>
      <c r="S899" t="str">
        <f t="shared" ref="S899:S962" si="88">IF(K899=0,"No Discount",IF(K899&gt;=0.1,"Low",IF(K899&gt;=0.2,"Medium","High")))</f>
        <v>Low</v>
      </c>
      <c r="T899" s="1">
        <f t="shared" ref="T899:T962" si="89">SUM(L899)/SUM(I899)</f>
        <v>-7.4303890384144851E-3</v>
      </c>
      <c r="U899">
        <f>SUM($I$2:I899)</f>
        <v>3175681.0400000005</v>
      </c>
      <c r="V899" s="1">
        <f>Table1[[#This Row],[Running total ]]/SUM(I:I)</f>
        <v>0.91638211577327444</v>
      </c>
    </row>
    <row r="900" spans="1:22" x14ac:dyDescent="0.3">
      <c r="A900" t="s">
        <v>1706</v>
      </c>
      <c r="B900" t="s">
        <v>689</v>
      </c>
      <c r="C900" t="s">
        <v>159</v>
      </c>
      <c r="D900" t="s">
        <v>137</v>
      </c>
      <c r="E900" t="s">
        <v>142</v>
      </c>
      <c r="F900" t="s">
        <v>55</v>
      </c>
      <c r="G900" t="s">
        <v>74</v>
      </c>
      <c r="H900" t="s">
        <v>272</v>
      </c>
      <c r="I900">
        <v>1391.95</v>
      </c>
      <c r="J900">
        <v>7</v>
      </c>
      <c r="K900" s="1">
        <v>0.15</v>
      </c>
      <c r="L900">
        <v>-54.01</v>
      </c>
      <c r="M900" t="s">
        <v>195</v>
      </c>
      <c r="N900" t="s">
        <v>39</v>
      </c>
      <c r="O900" t="str">
        <f t="shared" si="84"/>
        <v>09/05/2025</v>
      </c>
      <c r="P900">
        <f t="shared" si="85"/>
        <v>2025</v>
      </c>
      <c r="Q900">
        <f t="shared" si="86"/>
        <v>5</v>
      </c>
      <c r="R900" t="str">
        <f t="shared" si="87"/>
        <v>May</v>
      </c>
      <c r="S900" t="str">
        <f t="shared" si="88"/>
        <v>Low</v>
      </c>
      <c r="T900" s="1">
        <f t="shared" si="89"/>
        <v>-3.8801681094866911E-2</v>
      </c>
      <c r="U900">
        <f>SUM($I$2:I900)</f>
        <v>3177072.9900000007</v>
      </c>
      <c r="V900" s="1">
        <f>Table1[[#This Row],[Running total ]]/SUM(I:I)</f>
        <v>0.91678378019422357</v>
      </c>
    </row>
    <row r="901" spans="1:22" x14ac:dyDescent="0.3">
      <c r="A901" t="s">
        <v>1707</v>
      </c>
      <c r="B901" t="s">
        <v>1064</v>
      </c>
      <c r="C901" t="s">
        <v>439</v>
      </c>
      <c r="D901" t="s">
        <v>17</v>
      </c>
      <c r="E901" t="s">
        <v>54</v>
      </c>
      <c r="F901" t="s">
        <v>55</v>
      </c>
      <c r="G901" t="s">
        <v>56</v>
      </c>
      <c r="H901" t="s">
        <v>57</v>
      </c>
      <c r="I901">
        <v>758.08</v>
      </c>
      <c r="J901">
        <v>8</v>
      </c>
      <c r="K901" s="1">
        <v>0</v>
      </c>
      <c r="L901">
        <v>282.02999999999997</v>
      </c>
      <c r="M901" t="s">
        <v>195</v>
      </c>
      <c r="N901" t="s">
        <v>39</v>
      </c>
      <c r="O901" t="str">
        <f t="shared" si="84"/>
        <v>18/08/2024</v>
      </c>
      <c r="P901">
        <f t="shared" si="85"/>
        <v>2024</v>
      </c>
      <c r="Q901">
        <f t="shared" si="86"/>
        <v>8</v>
      </c>
      <c r="R901" t="str">
        <f t="shared" si="87"/>
        <v>August</v>
      </c>
      <c r="S901" t="str">
        <f t="shared" si="88"/>
        <v>No Discount</v>
      </c>
      <c r="T901" s="1">
        <f t="shared" si="89"/>
        <v>0.37203197551709577</v>
      </c>
      <c r="U901">
        <f>SUM($I$2:I901)</f>
        <v>3177831.0700000008</v>
      </c>
      <c r="V901" s="1">
        <f>Table1[[#This Row],[Running total ]]/SUM(I:I)</f>
        <v>0.91700253357202677</v>
      </c>
    </row>
    <row r="902" spans="1:22" x14ac:dyDescent="0.3">
      <c r="A902" t="s">
        <v>1708</v>
      </c>
      <c r="B902" t="s">
        <v>902</v>
      </c>
      <c r="C902" t="s">
        <v>249</v>
      </c>
      <c r="D902" t="s">
        <v>48</v>
      </c>
      <c r="E902" t="s">
        <v>110</v>
      </c>
      <c r="F902" t="s">
        <v>55</v>
      </c>
      <c r="G902" t="s">
        <v>56</v>
      </c>
      <c r="H902" t="s">
        <v>62</v>
      </c>
      <c r="I902">
        <v>2687.2</v>
      </c>
      <c r="J902">
        <v>10</v>
      </c>
      <c r="K902" s="1">
        <v>0.25</v>
      </c>
      <c r="L902">
        <v>-455.95</v>
      </c>
      <c r="M902" t="s">
        <v>31</v>
      </c>
      <c r="N902" t="s">
        <v>76</v>
      </c>
      <c r="O902" t="str">
        <f t="shared" si="84"/>
        <v>07/06/2025</v>
      </c>
      <c r="P902">
        <f t="shared" si="85"/>
        <v>2025</v>
      </c>
      <c r="Q902">
        <f t="shared" si="86"/>
        <v>6</v>
      </c>
      <c r="R902" t="str">
        <f t="shared" si="87"/>
        <v>June</v>
      </c>
      <c r="S902" t="str">
        <f t="shared" si="88"/>
        <v>Low</v>
      </c>
      <c r="T902" s="1">
        <f t="shared" si="89"/>
        <v>-0.16967475439118787</v>
      </c>
      <c r="U902">
        <f>SUM($I$2:I902)</f>
        <v>3180518.2700000009</v>
      </c>
      <c r="V902" s="1">
        <f>Table1[[#This Row],[Running total ]]/SUM(I:I)</f>
        <v>0.9177779584306599</v>
      </c>
    </row>
    <row r="903" spans="1:22" x14ac:dyDescent="0.3">
      <c r="A903" t="s">
        <v>1709</v>
      </c>
      <c r="B903" t="s">
        <v>884</v>
      </c>
      <c r="C903" t="s">
        <v>771</v>
      </c>
      <c r="D903" t="s">
        <v>48</v>
      </c>
      <c r="E903" t="s">
        <v>110</v>
      </c>
      <c r="F903" t="s">
        <v>19</v>
      </c>
      <c r="G903" t="s">
        <v>36</v>
      </c>
      <c r="H903" t="s">
        <v>111</v>
      </c>
      <c r="I903">
        <v>3398.48</v>
      </c>
      <c r="J903">
        <v>8</v>
      </c>
      <c r="K903" s="1">
        <v>0.05</v>
      </c>
      <c r="L903">
        <v>814.32</v>
      </c>
      <c r="M903" t="s">
        <v>63</v>
      </c>
      <c r="N903" t="s">
        <v>32</v>
      </c>
      <c r="O903" t="str">
        <f t="shared" si="84"/>
        <v>19/01/2024</v>
      </c>
      <c r="P903">
        <f t="shared" si="85"/>
        <v>2024</v>
      </c>
      <c r="Q903">
        <f t="shared" si="86"/>
        <v>1</v>
      </c>
      <c r="R903" t="str">
        <f t="shared" si="87"/>
        <v>January</v>
      </c>
      <c r="S903" t="str">
        <f t="shared" si="88"/>
        <v>High</v>
      </c>
      <c r="T903" s="1">
        <f t="shared" si="89"/>
        <v>0.23961300346037054</v>
      </c>
      <c r="U903">
        <f>SUM($I$2:I903)</f>
        <v>3183916.7500000009</v>
      </c>
      <c r="V903" s="1">
        <f>Table1[[#This Row],[Running total ]]/SUM(I:I)</f>
        <v>0.91875863194717056</v>
      </c>
    </row>
    <row r="904" spans="1:22" x14ac:dyDescent="0.3">
      <c r="A904" t="s">
        <v>1710</v>
      </c>
      <c r="B904" t="s">
        <v>600</v>
      </c>
      <c r="C904" t="s">
        <v>159</v>
      </c>
      <c r="D904" t="s">
        <v>27</v>
      </c>
      <c r="E904" t="s">
        <v>28</v>
      </c>
      <c r="F904" t="s">
        <v>67</v>
      </c>
      <c r="G904" t="s">
        <v>85</v>
      </c>
      <c r="H904" t="s">
        <v>125</v>
      </c>
      <c r="I904">
        <v>7301</v>
      </c>
      <c r="J904">
        <v>7</v>
      </c>
      <c r="K904" s="1">
        <v>0.1</v>
      </c>
      <c r="L904">
        <v>1530.11</v>
      </c>
      <c r="M904" t="s">
        <v>38</v>
      </c>
      <c r="N904" t="s">
        <v>23</v>
      </c>
      <c r="O904" t="str">
        <f t="shared" si="84"/>
        <v>27/10/2025</v>
      </c>
      <c r="P904">
        <f t="shared" si="85"/>
        <v>2025</v>
      </c>
      <c r="Q904">
        <f t="shared" si="86"/>
        <v>10</v>
      </c>
      <c r="R904" t="str">
        <f t="shared" si="87"/>
        <v>October</v>
      </c>
      <c r="S904" t="str">
        <f t="shared" si="88"/>
        <v>Low</v>
      </c>
      <c r="T904" s="1">
        <f t="shared" si="89"/>
        <v>0.20957540063005067</v>
      </c>
      <c r="U904">
        <f>SUM($I$2:I904)</f>
        <v>3191217.7500000009</v>
      </c>
      <c r="V904" s="1">
        <f>Table1[[#This Row],[Running total ]]/SUM(I:I)</f>
        <v>0.92086542596804011</v>
      </c>
    </row>
    <row r="905" spans="1:22" x14ac:dyDescent="0.3">
      <c r="A905" t="s">
        <v>1711</v>
      </c>
      <c r="B905" t="s">
        <v>352</v>
      </c>
      <c r="C905" t="s">
        <v>153</v>
      </c>
      <c r="D905" t="s">
        <v>48</v>
      </c>
      <c r="E905" t="s">
        <v>73</v>
      </c>
      <c r="F905" t="s">
        <v>55</v>
      </c>
      <c r="G905" t="s">
        <v>74</v>
      </c>
      <c r="H905" t="s">
        <v>272</v>
      </c>
      <c r="I905">
        <v>3380.31</v>
      </c>
      <c r="J905">
        <v>9</v>
      </c>
      <c r="K905" s="1">
        <v>0.05</v>
      </c>
      <c r="L905">
        <v>126.61</v>
      </c>
      <c r="M905" t="s">
        <v>22</v>
      </c>
      <c r="N905" t="s">
        <v>76</v>
      </c>
      <c r="O905" t="str">
        <f t="shared" si="84"/>
        <v>15/12/2025</v>
      </c>
      <c r="P905">
        <f t="shared" si="85"/>
        <v>2025</v>
      </c>
      <c r="Q905">
        <f t="shared" si="86"/>
        <v>12</v>
      </c>
      <c r="R905" t="str">
        <f t="shared" si="87"/>
        <v>December</v>
      </c>
      <c r="S905" t="str">
        <f t="shared" si="88"/>
        <v>High</v>
      </c>
      <c r="T905" s="1">
        <f t="shared" si="89"/>
        <v>3.7455144646496921E-2</v>
      </c>
      <c r="U905">
        <f>SUM($I$2:I905)</f>
        <v>3194598.060000001</v>
      </c>
      <c r="V905" s="1">
        <f>Table1[[#This Row],[Running total ]]/SUM(I:I)</f>
        <v>0.92184085630589596</v>
      </c>
    </row>
    <row r="906" spans="1:22" x14ac:dyDescent="0.3">
      <c r="A906" t="s">
        <v>1712</v>
      </c>
      <c r="B906" t="s">
        <v>603</v>
      </c>
      <c r="C906" t="s">
        <v>169</v>
      </c>
      <c r="D906" t="s">
        <v>17</v>
      </c>
      <c r="E906" t="s">
        <v>97</v>
      </c>
      <c r="F906" t="s">
        <v>55</v>
      </c>
      <c r="G906" t="s">
        <v>56</v>
      </c>
      <c r="H906" t="s">
        <v>57</v>
      </c>
      <c r="I906">
        <v>148.59</v>
      </c>
      <c r="J906">
        <v>1</v>
      </c>
      <c r="K906" s="1">
        <v>0.3</v>
      </c>
      <c r="L906">
        <v>-1.57</v>
      </c>
      <c r="M906" t="s">
        <v>107</v>
      </c>
      <c r="N906" t="s">
        <v>39</v>
      </c>
      <c r="O906" t="str">
        <f t="shared" si="84"/>
        <v>02/01/2025</v>
      </c>
      <c r="P906">
        <f t="shared" si="85"/>
        <v>2025</v>
      </c>
      <c r="Q906">
        <f t="shared" si="86"/>
        <v>1</v>
      </c>
      <c r="R906" t="str">
        <f t="shared" si="87"/>
        <v>January</v>
      </c>
      <c r="S906" t="str">
        <f t="shared" si="88"/>
        <v>Low</v>
      </c>
      <c r="T906" s="1">
        <f t="shared" si="89"/>
        <v>-1.05659869439397E-2</v>
      </c>
      <c r="U906">
        <f>SUM($I$2:I906)</f>
        <v>3194746.6500000008</v>
      </c>
      <c r="V906" s="1">
        <f>Table1[[#This Row],[Running total ]]/SUM(I:I)</f>
        <v>0.92188373379165967</v>
      </c>
    </row>
    <row r="907" spans="1:22" x14ac:dyDescent="0.3">
      <c r="A907" t="s">
        <v>1713</v>
      </c>
      <c r="B907" t="s">
        <v>417</v>
      </c>
      <c r="C907" t="s">
        <v>275</v>
      </c>
      <c r="D907" t="s">
        <v>137</v>
      </c>
      <c r="E907" t="s">
        <v>142</v>
      </c>
      <c r="F907" t="s">
        <v>55</v>
      </c>
      <c r="G907" t="s">
        <v>98</v>
      </c>
      <c r="H907" t="s">
        <v>99</v>
      </c>
      <c r="I907">
        <v>6047.02</v>
      </c>
      <c r="J907">
        <v>7</v>
      </c>
      <c r="K907" s="1">
        <v>0.3</v>
      </c>
      <c r="L907">
        <v>119.04</v>
      </c>
      <c r="M907" t="s">
        <v>38</v>
      </c>
      <c r="N907" t="s">
        <v>32</v>
      </c>
      <c r="O907" t="str">
        <f t="shared" si="84"/>
        <v>01/03/2024</v>
      </c>
      <c r="P907">
        <f t="shared" si="85"/>
        <v>2024</v>
      </c>
      <c r="Q907">
        <f t="shared" si="86"/>
        <v>3</v>
      </c>
      <c r="R907" t="str">
        <f t="shared" si="87"/>
        <v>March</v>
      </c>
      <c r="S907" t="str">
        <f t="shared" si="88"/>
        <v>Low</v>
      </c>
      <c r="T907" s="1">
        <f t="shared" si="89"/>
        <v>1.9685729499819747E-2</v>
      </c>
      <c r="U907">
        <f>SUM($I$2:I907)</f>
        <v>3200793.6700000009</v>
      </c>
      <c r="V907" s="1">
        <f>Table1[[#This Row],[Running total ]]/SUM(I:I)</f>
        <v>0.92362867634474533</v>
      </c>
    </row>
    <row r="908" spans="1:22" x14ac:dyDescent="0.3">
      <c r="A908" t="s">
        <v>1714</v>
      </c>
      <c r="B908" t="s">
        <v>1153</v>
      </c>
      <c r="C908" t="s">
        <v>1294</v>
      </c>
      <c r="D908" t="s">
        <v>137</v>
      </c>
      <c r="E908" t="s">
        <v>242</v>
      </c>
      <c r="F908" t="s">
        <v>67</v>
      </c>
      <c r="G908" t="s">
        <v>68</v>
      </c>
      <c r="H908" t="s">
        <v>103</v>
      </c>
      <c r="I908">
        <v>288.44</v>
      </c>
      <c r="J908">
        <v>1</v>
      </c>
      <c r="K908" s="1">
        <v>0</v>
      </c>
      <c r="L908">
        <v>110.8</v>
      </c>
      <c r="M908" t="s">
        <v>44</v>
      </c>
      <c r="N908" t="s">
        <v>76</v>
      </c>
      <c r="O908" t="str">
        <f t="shared" si="84"/>
        <v>10/06/2024</v>
      </c>
      <c r="P908">
        <f t="shared" si="85"/>
        <v>2024</v>
      </c>
      <c r="Q908">
        <f t="shared" si="86"/>
        <v>6</v>
      </c>
      <c r="R908" t="str">
        <f t="shared" si="87"/>
        <v>June</v>
      </c>
      <c r="S908" t="str">
        <f t="shared" si="88"/>
        <v>No Discount</v>
      </c>
      <c r="T908" s="1">
        <f t="shared" si="89"/>
        <v>0.38413534877270833</v>
      </c>
      <c r="U908">
        <f>SUM($I$2:I908)</f>
        <v>3201082.1100000008</v>
      </c>
      <c r="V908" s="1">
        <f>Table1[[#This Row],[Running total ]]/SUM(I:I)</f>
        <v>0.92371190928097047</v>
      </c>
    </row>
    <row r="909" spans="1:22" x14ac:dyDescent="0.3">
      <c r="A909" t="s">
        <v>1715</v>
      </c>
      <c r="B909" t="s">
        <v>105</v>
      </c>
      <c r="C909" t="s">
        <v>335</v>
      </c>
      <c r="D909" t="s">
        <v>137</v>
      </c>
      <c r="E909" t="s">
        <v>160</v>
      </c>
      <c r="F909" t="s">
        <v>67</v>
      </c>
      <c r="G909" t="s">
        <v>115</v>
      </c>
      <c r="H909" t="s">
        <v>116</v>
      </c>
      <c r="I909">
        <v>651.67999999999995</v>
      </c>
      <c r="J909">
        <v>2</v>
      </c>
      <c r="K909" s="1">
        <v>0.1</v>
      </c>
      <c r="L909">
        <v>81.260000000000005</v>
      </c>
      <c r="M909" t="s">
        <v>117</v>
      </c>
      <c r="N909" t="s">
        <v>23</v>
      </c>
      <c r="O909" t="str">
        <f t="shared" si="84"/>
        <v>27/03/2025</v>
      </c>
      <c r="P909">
        <f t="shared" si="85"/>
        <v>2025</v>
      </c>
      <c r="Q909">
        <f t="shared" si="86"/>
        <v>3</v>
      </c>
      <c r="R909" t="str">
        <f t="shared" si="87"/>
        <v>March</v>
      </c>
      <c r="S909" t="str">
        <f t="shared" si="88"/>
        <v>Low</v>
      </c>
      <c r="T909" s="1">
        <f t="shared" si="89"/>
        <v>0.12469310090842133</v>
      </c>
      <c r="U909">
        <f>SUM($I$2:I909)</f>
        <v>3201733.790000001</v>
      </c>
      <c r="V909" s="1">
        <f>Table1[[#This Row],[Running total ]]/SUM(I:I)</f>
        <v>0.92389995962031035</v>
      </c>
    </row>
    <row r="910" spans="1:22" x14ac:dyDescent="0.3">
      <c r="A910" t="s">
        <v>1716</v>
      </c>
      <c r="B910" t="s">
        <v>1717</v>
      </c>
      <c r="C910" t="s">
        <v>346</v>
      </c>
      <c r="D910" t="s">
        <v>27</v>
      </c>
      <c r="E910" t="s">
        <v>28</v>
      </c>
      <c r="F910" t="s">
        <v>55</v>
      </c>
      <c r="G910" t="s">
        <v>74</v>
      </c>
      <c r="H910" t="s">
        <v>75</v>
      </c>
      <c r="I910">
        <v>2612.94</v>
      </c>
      <c r="J910">
        <v>6</v>
      </c>
      <c r="K910" s="1">
        <v>0.15</v>
      </c>
      <c r="L910">
        <v>589.05999999999995</v>
      </c>
      <c r="M910" t="s">
        <v>63</v>
      </c>
      <c r="N910" t="s">
        <v>39</v>
      </c>
      <c r="O910" t="str">
        <f t="shared" si="84"/>
        <v>16/08/2024</v>
      </c>
      <c r="P910">
        <f t="shared" si="85"/>
        <v>2024</v>
      </c>
      <c r="Q910">
        <f t="shared" si="86"/>
        <v>8</v>
      </c>
      <c r="R910" t="str">
        <f t="shared" si="87"/>
        <v>August</v>
      </c>
      <c r="S910" t="str">
        <f t="shared" si="88"/>
        <v>Low</v>
      </c>
      <c r="T910" s="1">
        <f t="shared" si="89"/>
        <v>0.22543954319655252</v>
      </c>
      <c r="U910">
        <f>SUM($I$2:I910)</f>
        <v>3204346.7300000009</v>
      </c>
      <c r="V910" s="1">
        <f>Table1[[#This Row],[Running total ]]/SUM(I:I)</f>
        <v>0.92465395583574528</v>
      </c>
    </row>
    <row r="911" spans="1:22" x14ac:dyDescent="0.3">
      <c r="A911" t="s">
        <v>1718</v>
      </c>
      <c r="B911" t="s">
        <v>497</v>
      </c>
      <c r="C911" t="s">
        <v>265</v>
      </c>
      <c r="D911" t="s">
        <v>48</v>
      </c>
      <c r="E911" t="s">
        <v>73</v>
      </c>
      <c r="F911" t="s">
        <v>19</v>
      </c>
      <c r="G911" t="s">
        <v>20</v>
      </c>
      <c r="H911" t="s">
        <v>21</v>
      </c>
      <c r="I911">
        <v>1774.28</v>
      </c>
      <c r="J911">
        <v>2</v>
      </c>
      <c r="K911" s="1">
        <v>0.05</v>
      </c>
      <c r="L911">
        <v>260.43</v>
      </c>
      <c r="M911" t="s">
        <v>38</v>
      </c>
      <c r="N911" t="s">
        <v>23</v>
      </c>
      <c r="O911" t="str">
        <f t="shared" si="84"/>
        <v>17/12/2025</v>
      </c>
      <c r="P911">
        <f t="shared" si="85"/>
        <v>2025</v>
      </c>
      <c r="Q911">
        <f t="shared" si="86"/>
        <v>12</v>
      </c>
      <c r="R911" t="str">
        <f t="shared" si="87"/>
        <v>December</v>
      </c>
      <c r="S911" t="str">
        <f t="shared" si="88"/>
        <v>High</v>
      </c>
      <c r="T911" s="1">
        <f t="shared" si="89"/>
        <v>0.14678066596027686</v>
      </c>
      <c r="U911">
        <f>SUM($I$2:I911)</f>
        <v>3206121.0100000007</v>
      </c>
      <c r="V911" s="1">
        <f>Table1[[#This Row],[Running total ]]/SUM(I:I)</f>
        <v>0.92516594631586413</v>
      </c>
    </row>
    <row r="912" spans="1:22" x14ac:dyDescent="0.3">
      <c r="A912" t="s">
        <v>1719</v>
      </c>
      <c r="B912" t="s">
        <v>1720</v>
      </c>
      <c r="C912" t="s">
        <v>618</v>
      </c>
      <c r="D912" t="s">
        <v>27</v>
      </c>
      <c r="E912" t="s">
        <v>124</v>
      </c>
      <c r="F912" t="s">
        <v>19</v>
      </c>
      <c r="G912" t="s">
        <v>20</v>
      </c>
      <c r="H912" t="s">
        <v>347</v>
      </c>
      <c r="I912">
        <v>4639.95</v>
      </c>
      <c r="J912">
        <v>9</v>
      </c>
      <c r="K912" s="1">
        <v>0.25</v>
      </c>
      <c r="L912">
        <v>-505.14</v>
      </c>
      <c r="M912" t="s">
        <v>107</v>
      </c>
      <c r="N912" t="s">
        <v>76</v>
      </c>
      <c r="O912" t="str">
        <f t="shared" si="84"/>
        <v>26/11/2024</v>
      </c>
      <c r="P912">
        <f t="shared" si="85"/>
        <v>2024</v>
      </c>
      <c r="Q912">
        <f t="shared" si="86"/>
        <v>11</v>
      </c>
      <c r="R912" t="str">
        <f t="shared" si="87"/>
        <v>November</v>
      </c>
      <c r="S912" t="str">
        <f t="shared" si="88"/>
        <v>Low</v>
      </c>
      <c r="T912" s="1">
        <f t="shared" si="89"/>
        <v>-0.10886755245207384</v>
      </c>
      <c r="U912">
        <f>SUM($I$2:I912)</f>
        <v>3210760.9600000009</v>
      </c>
      <c r="V912" s="1">
        <f>Table1[[#This Row],[Running total ]]/SUM(I:I)</f>
        <v>0.92650486138464017</v>
      </c>
    </row>
    <row r="913" spans="1:22" x14ac:dyDescent="0.3">
      <c r="A913" t="s">
        <v>1721</v>
      </c>
      <c r="B913" t="s">
        <v>1722</v>
      </c>
      <c r="C913" t="s">
        <v>640</v>
      </c>
      <c r="D913" t="s">
        <v>137</v>
      </c>
      <c r="E913" t="s">
        <v>160</v>
      </c>
      <c r="F913" t="s">
        <v>67</v>
      </c>
      <c r="G913" t="s">
        <v>68</v>
      </c>
      <c r="H913" t="s">
        <v>382</v>
      </c>
      <c r="I913">
        <v>1648.02</v>
      </c>
      <c r="J913">
        <v>2</v>
      </c>
      <c r="K913" s="1">
        <v>0.15</v>
      </c>
      <c r="L913">
        <v>68.25</v>
      </c>
      <c r="M913" t="s">
        <v>22</v>
      </c>
      <c r="N913" t="s">
        <v>23</v>
      </c>
      <c r="O913" t="str">
        <f t="shared" si="84"/>
        <v>23/02/2025</v>
      </c>
      <c r="P913">
        <f t="shared" si="85"/>
        <v>2025</v>
      </c>
      <c r="Q913">
        <f t="shared" si="86"/>
        <v>2</v>
      </c>
      <c r="R913" t="str">
        <f t="shared" si="87"/>
        <v>February</v>
      </c>
      <c r="S913" t="str">
        <f t="shared" si="88"/>
        <v>Low</v>
      </c>
      <c r="T913" s="1">
        <f t="shared" si="89"/>
        <v>4.1413332362471328E-2</v>
      </c>
      <c r="U913">
        <f>SUM($I$2:I913)</f>
        <v>3212408.9800000009</v>
      </c>
      <c r="V913" s="1">
        <f>Table1[[#This Row],[Running total ]]/SUM(I:I)</f>
        <v>0.92698041797719921</v>
      </c>
    </row>
    <row r="914" spans="1:22" x14ac:dyDescent="0.3">
      <c r="A914" t="s">
        <v>1723</v>
      </c>
      <c r="B914" t="s">
        <v>171</v>
      </c>
      <c r="C914" t="s">
        <v>693</v>
      </c>
      <c r="D914" t="s">
        <v>17</v>
      </c>
      <c r="E914" t="s">
        <v>54</v>
      </c>
      <c r="F914" t="s">
        <v>55</v>
      </c>
      <c r="G914" t="s">
        <v>56</v>
      </c>
      <c r="H914" t="s">
        <v>62</v>
      </c>
      <c r="I914">
        <v>571.32000000000005</v>
      </c>
      <c r="J914">
        <v>9</v>
      </c>
      <c r="K914" s="1">
        <v>0.05</v>
      </c>
      <c r="L914">
        <v>15.96</v>
      </c>
      <c r="M914" t="s">
        <v>38</v>
      </c>
      <c r="N914" t="s">
        <v>39</v>
      </c>
      <c r="O914" t="str">
        <f t="shared" si="84"/>
        <v>10/07/2024</v>
      </c>
      <c r="P914">
        <f t="shared" si="85"/>
        <v>2024</v>
      </c>
      <c r="Q914">
        <f t="shared" si="86"/>
        <v>7</v>
      </c>
      <c r="R914" t="str">
        <f t="shared" si="87"/>
        <v>July</v>
      </c>
      <c r="S914" t="str">
        <f t="shared" si="88"/>
        <v>High</v>
      </c>
      <c r="T914" s="1">
        <f t="shared" si="89"/>
        <v>2.7935307708464606E-2</v>
      </c>
      <c r="U914">
        <f>SUM($I$2:I914)</f>
        <v>3212980.3000000007</v>
      </c>
      <c r="V914" s="1">
        <f>Table1[[#This Row],[Running total ]]/SUM(I:I)</f>
        <v>0.92714527944275227</v>
      </c>
    </row>
    <row r="915" spans="1:22" x14ac:dyDescent="0.3">
      <c r="A915" t="s">
        <v>1724</v>
      </c>
      <c r="B915" t="s">
        <v>1090</v>
      </c>
      <c r="C915" t="s">
        <v>319</v>
      </c>
      <c r="D915" t="s">
        <v>137</v>
      </c>
      <c r="E915" t="s">
        <v>242</v>
      </c>
      <c r="F915" t="s">
        <v>55</v>
      </c>
      <c r="G915" t="s">
        <v>74</v>
      </c>
      <c r="H915" t="s">
        <v>133</v>
      </c>
      <c r="I915">
        <v>5467.49</v>
      </c>
      <c r="J915">
        <v>7</v>
      </c>
      <c r="K915" s="1">
        <v>0.2</v>
      </c>
      <c r="L915">
        <v>1046.26</v>
      </c>
      <c r="M915" t="s">
        <v>22</v>
      </c>
      <c r="N915" t="s">
        <v>32</v>
      </c>
      <c r="O915" t="str">
        <f t="shared" si="84"/>
        <v>29/10/2024</v>
      </c>
      <c r="P915">
        <f t="shared" si="85"/>
        <v>2024</v>
      </c>
      <c r="Q915">
        <f t="shared" si="86"/>
        <v>10</v>
      </c>
      <c r="R915" t="str">
        <f t="shared" si="87"/>
        <v>October</v>
      </c>
      <c r="S915" t="str">
        <f t="shared" si="88"/>
        <v>Low</v>
      </c>
      <c r="T915" s="1">
        <f t="shared" si="89"/>
        <v>0.19136020367664139</v>
      </c>
      <c r="U915">
        <f>SUM($I$2:I915)</f>
        <v>3218447.790000001</v>
      </c>
      <c r="V915" s="1">
        <f>Table1[[#This Row],[Running total ]]/SUM(I:I)</f>
        <v>0.92872299143305004</v>
      </c>
    </row>
    <row r="916" spans="1:22" x14ac:dyDescent="0.3">
      <c r="A916" t="s">
        <v>1725</v>
      </c>
      <c r="B916" t="s">
        <v>612</v>
      </c>
      <c r="C916" t="s">
        <v>959</v>
      </c>
      <c r="D916" t="s">
        <v>17</v>
      </c>
      <c r="E916" t="s">
        <v>80</v>
      </c>
      <c r="F916" t="s">
        <v>55</v>
      </c>
      <c r="G916" t="s">
        <v>74</v>
      </c>
      <c r="H916" t="s">
        <v>75</v>
      </c>
      <c r="I916">
        <v>701.82</v>
      </c>
      <c r="J916">
        <v>1</v>
      </c>
      <c r="K916" s="1">
        <v>0.05</v>
      </c>
      <c r="L916">
        <v>279.10000000000002</v>
      </c>
      <c r="M916" t="s">
        <v>117</v>
      </c>
      <c r="N916" t="s">
        <v>32</v>
      </c>
      <c r="O916" t="str">
        <f t="shared" si="84"/>
        <v>11/11/2025</v>
      </c>
      <c r="P916">
        <f t="shared" si="85"/>
        <v>2025</v>
      </c>
      <c r="Q916">
        <f t="shared" si="86"/>
        <v>11</v>
      </c>
      <c r="R916" t="str">
        <f t="shared" si="87"/>
        <v>November</v>
      </c>
      <c r="S916" t="str">
        <f t="shared" si="88"/>
        <v>High</v>
      </c>
      <c r="T916" s="1">
        <f t="shared" si="89"/>
        <v>0.39768031689037076</v>
      </c>
      <c r="U916">
        <f>SUM($I$2:I916)</f>
        <v>3219149.6100000008</v>
      </c>
      <c r="V916" s="1">
        <f>Table1[[#This Row],[Running total ]]/SUM(I:I)</f>
        <v>0.92892551029070336</v>
      </c>
    </row>
    <row r="917" spans="1:22" x14ac:dyDescent="0.3">
      <c r="A917" t="s">
        <v>1726</v>
      </c>
      <c r="B917" t="s">
        <v>255</v>
      </c>
      <c r="C917" t="s">
        <v>843</v>
      </c>
      <c r="D917" t="s">
        <v>27</v>
      </c>
      <c r="E917" t="s">
        <v>43</v>
      </c>
      <c r="F917" t="s">
        <v>55</v>
      </c>
      <c r="G917" t="s">
        <v>98</v>
      </c>
      <c r="H917" t="s">
        <v>150</v>
      </c>
      <c r="I917">
        <v>1064.96</v>
      </c>
      <c r="J917">
        <v>1</v>
      </c>
      <c r="K917" s="1">
        <v>0</v>
      </c>
      <c r="L917">
        <v>476.95</v>
      </c>
      <c r="M917" t="s">
        <v>63</v>
      </c>
      <c r="N917" t="s">
        <v>39</v>
      </c>
      <c r="O917" t="str">
        <f t="shared" si="84"/>
        <v>29/04/2024</v>
      </c>
      <c r="P917">
        <f t="shared" si="85"/>
        <v>2024</v>
      </c>
      <c r="Q917">
        <f t="shared" si="86"/>
        <v>4</v>
      </c>
      <c r="R917" t="str">
        <f t="shared" si="87"/>
        <v>April</v>
      </c>
      <c r="S917" t="str">
        <f t="shared" si="88"/>
        <v>No Discount</v>
      </c>
      <c r="T917" s="1">
        <f t="shared" si="89"/>
        <v>0.44785719651442307</v>
      </c>
      <c r="U917">
        <f>SUM($I$2:I917)</f>
        <v>3220214.5700000008</v>
      </c>
      <c r="V917" s="1">
        <f>Table1[[#This Row],[Running total ]]/SUM(I:I)</f>
        <v>0.92923281769523214</v>
      </c>
    </row>
    <row r="918" spans="1:22" x14ac:dyDescent="0.3">
      <c r="A918" t="s">
        <v>1727</v>
      </c>
      <c r="B918" t="s">
        <v>1728</v>
      </c>
      <c r="C918" t="s">
        <v>678</v>
      </c>
      <c r="D918" t="s">
        <v>27</v>
      </c>
      <c r="E918" t="s">
        <v>28</v>
      </c>
      <c r="F918" t="s">
        <v>19</v>
      </c>
      <c r="G918" t="s">
        <v>29</v>
      </c>
      <c r="H918" t="s">
        <v>199</v>
      </c>
      <c r="I918">
        <v>2673.86</v>
      </c>
      <c r="J918">
        <v>7</v>
      </c>
      <c r="K918" s="1">
        <v>0.1</v>
      </c>
      <c r="L918">
        <v>-7.05</v>
      </c>
      <c r="M918" t="s">
        <v>38</v>
      </c>
      <c r="N918" t="s">
        <v>23</v>
      </c>
      <c r="O918" t="str">
        <f t="shared" si="84"/>
        <v>18/04/2025</v>
      </c>
      <c r="P918">
        <f t="shared" si="85"/>
        <v>2025</v>
      </c>
      <c r="Q918">
        <f t="shared" si="86"/>
        <v>4</v>
      </c>
      <c r="R918" t="str">
        <f t="shared" si="87"/>
        <v>April</v>
      </c>
      <c r="S918" t="str">
        <f t="shared" si="88"/>
        <v>Low</v>
      </c>
      <c r="T918" s="1">
        <f t="shared" si="89"/>
        <v>-2.6366376698854837E-3</v>
      </c>
      <c r="U918">
        <f>SUM($I$2:I918)</f>
        <v>3222888.4300000006</v>
      </c>
      <c r="V918" s="1">
        <f>Table1[[#This Row],[Running total ]]/SUM(I:I)</f>
        <v>0.93000439313156169</v>
      </c>
    </row>
    <row r="919" spans="1:22" x14ac:dyDescent="0.3">
      <c r="A919" t="s">
        <v>1729</v>
      </c>
      <c r="B919" t="s">
        <v>820</v>
      </c>
      <c r="C919" t="s">
        <v>358</v>
      </c>
      <c r="D919" t="s">
        <v>137</v>
      </c>
      <c r="E919" t="s">
        <v>242</v>
      </c>
      <c r="F919" t="s">
        <v>67</v>
      </c>
      <c r="G919" t="s">
        <v>85</v>
      </c>
      <c r="H919" t="s">
        <v>86</v>
      </c>
      <c r="I919">
        <v>2818.3</v>
      </c>
      <c r="J919">
        <v>5</v>
      </c>
      <c r="K919" s="1">
        <v>0.05</v>
      </c>
      <c r="L919">
        <v>1123.68</v>
      </c>
      <c r="M919" t="s">
        <v>195</v>
      </c>
      <c r="N919" t="s">
        <v>39</v>
      </c>
      <c r="O919" t="str">
        <f t="shared" si="84"/>
        <v>12/05/2025</v>
      </c>
      <c r="P919">
        <f t="shared" si="85"/>
        <v>2025</v>
      </c>
      <c r="Q919">
        <f t="shared" si="86"/>
        <v>5</v>
      </c>
      <c r="R919" t="str">
        <f t="shared" si="87"/>
        <v>May</v>
      </c>
      <c r="S919" t="str">
        <f t="shared" si="88"/>
        <v>High</v>
      </c>
      <c r="T919" s="1">
        <f t="shared" si="89"/>
        <v>0.39870844125891497</v>
      </c>
      <c r="U919">
        <f>SUM($I$2:I919)</f>
        <v>3225706.7300000004</v>
      </c>
      <c r="V919" s="1">
        <f>Table1[[#This Row],[Running total ]]/SUM(I:I)</f>
        <v>0.93081764851972992</v>
      </c>
    </row>
    <row r="920" spans="1:22" x14ac:dyDescent="0.3">
      <c r="A920" t="s">
        <v>1730</v>
      </c>
      <c r="B920" t="s">
        <v>1731</v>
      </c>
      <c r="C920" t="s">
        <v>1075</v>
      </c>
      <c r="D920" t="s">
        <v>17</v>
      </c>
      <c r="E920" t="s">
        <v>54</v>
      </c>
      <c r="F920" t="s">
        <v>55</v>
      </c>
      <c r="G920" t="s">
        <v>98</v>
      </c>
      <c r="H920" t="s">
        <v>99</v>
      </c>
      <c r="I920">
        <v>349.05</v>
      </c>
      <c r="J920">
        <v>3</v>
      </c>
      <c r="K920" s="1">
        <v>0.2</v>
      </c>
      <c r="L920">
        <v>73.260000000000005</v>
      </c>
      <c r="M920" t="s">
        <v>63</v>
      </c>
      <c r="N920" t="s">
        <v>76</v>
      </c>
      <c r="O920" t="str">
        <f t="shared" si="84"/>
        <v>10/05/2024</v>
      </c>
      <c r="P920">
        <f t="shared" si="85"/>
        <v>2024</v>
      </c>
      <c r="Q920">
        <f t="shared" si="86"/>
        <v>5</v>
      </c>
      <c r="R920" t="str">
        <f t="shared" si="87"/>
        <v>May</v>
      </c>
      <c r="S920" t="str">
        <f t="shared" si="88"/>
        <v>Low</v>
      </c>
      <c r="T920" s="1">
        <f t="shared" si="89"/>
        <v>0.20988397077782553</v>
      </c>
      <c r="U920">
        <f>SUM($I$2:I920)</f>
        <v>3226055.7800000003</v>
      </c>
      <c r="V920" s="1">
        <f>Table1[[#This Row],[Running total ]]/SUM(I:I)</f>
        <v>0.9309183712225082</v>
      </c>
    </row>
    <row r="921" spans="1:22" x14ac:dyDescent="0.3">
      <c r="A921" t="s">
        <v>1732</v>
      </c>
      <c r="B921" t="s">
        <v>665</v>
      </c>
      <c r="C921" t="s">
        <v>1234</v>
      </c>
      <c r="D921" t="s">
        <v>48</v>
      </c>
      <c r="E921" t="s">
        <v>110</v>
      </c>
      <c r="F921" t="s">
        <v>19</v>
      </c>
      <c r="G921" t="s">
        <v>36</v>
      </c>
      <c r="H921" t="s">
        <v>37</v>
      </c>
      <c r="I921">
        <v>1951.96</v>
      </c>
      <c r="J921">
        <v>4</v>
      </c>
      <c r="K921" s="1">
        <v>0.05</v>
      </c>
      <c r="L921">
        <v>502.24</v>
      </c>
      <c r="M921" t="s">
        <v>195</v>
      </c>
      <c r="N921" t="s">
        <v>23</v>
      </c>
      <c r="O921" t="str">
        <f t="shared" si="84"/>
        <v>18/07/2024</v>
      </c>
      <c r="P921">
        <f t="shared" si="85"/>
        <v>2024</v>
      </c>
      <c r="Q921">
        <f t="shared" si="86"/>
        <v>7</v>
      </c>
      <c r="R921" t="str">
        <f t="shared" si="87"/>
        <v>July</v>
      </c>
      <c r="S921" t="str">
        <f t="shared" si="88"/>
        <v>High</v>
      </c>
      <c r="T921" s="1">
        <f t="shared" si="89"/>
        <v>0.2573003545154614</v>
      </c>
      <c r="U921">
        <f>SUM($I$2:I921)</f>
        <v>3228007.74</v>
      </c>
      <c r="V921" s="1">
        <f>Table1[[#This Row],[Running total ]]/SUM(I:I)</f>
        <v>0.93148163346836166</v>
      </c>
    </row>
    <row r="922" spans="1:22" x14ac:dyDescent="0.3">
      <c r="A922" t="s">
        <v>1733</v>
      </c>
      <c r="B922" t="s">
        <v>592</v>
      </c>
      <c r="C922" t="s">
        <v>1474</v>
      </c>
      <c r="D922" t="s">
        <v>27</v>
      </c>
      <c r="E922" t="s">
        <v>28</v>
      </c>
      <c r="F922" t="s">
        <v>55</v>
      </c>
      <c r="G922" t="s">
        <v>98</v>
      </c>
      <c r="H922" t="s">
        <v>99</v>
      </c>
      <c r="I922">
        <v>2087.5</v>
      </c>
      <c r="J922">
        <v>10</v>
      </c>
      <c r="K922" s="1">
        <v>0.25</v>
      </c>
      <c r="L922">
        <v>73.41</v>
      </c>
      <c r="M922" t="s">
        <v>22</v>
      </c>
      <c r="N922" t="s">
        <v>32</v>
      </c>
      <c r="O922" t="str">
        <f t="shared" si="84"/>
        <v>31/08/2024</v>
      </c>
      <c r="P922">
        <f t="shared" si="85"/>
        <v>2024</v>
      </c>
      <c r="Q922">
        <f t="shared" si="86"/>
        <v>8</v>
      </c>
      <c r="R922" t="str">
        <f t="shared" si="87"/>
        <v>August</v>
      </c>
      <c r="S922" t="str">
        <f t="shared" si="88"/>
        <v>Low</v>
      </c>
      <c r="T922" s="1">
        <f t="shared" si="89"/>
        <v>3.5166467065868262E-2</v>
      </c>
      <c r="U922">
        <f>SUM($I$2:I922)</f>
        <v>3230095.24</v>
      </c>
      <c r="V922" s="1">
        <f>Table1[[#This Row],[Running total ]]/SUM(I:I)</f>
        <v>0.93208400746076892</v>
      </c>
    </row>
    <row r="923" spans="1:22" x14ac:dyDescent="0.3">
      <c r="A923" t="s">
        <v>1734</v>
      </c>
      <c r="B923" t="s">
        <v>1735</v>
      </c>
      <c r="C923" t="s">
        <v>60</v>
      </c>
      <c r="D923" t="s">
        <v>137</v>
      </c>
      <c r="E923" t="s">
        <v>138</v>
      </c>
      <c r="F923" t="s">
        <v>19</v>
      </c>
      <c r="G923" t="s">
        <v>20</v>
      </c>
      <c r="H923" t="s">
        <v>239</v>
      </c>
      <c r="I923">
        <v>8507.7999999999993</v>
      </c>
      <c r="J923">
        <v>10</v>
      </c>
      <c r="K923" s="1">
        <v>0.2</v>
      </c>
      <c r="L923">
        <v>1162.6500000000001</v>
      </c>
      <c r="M923" t="s">
        <v>31</v>
      </c>
      <c r="N923" t="s">
        <v>23</v>
      </c>
      <c r="O923" t="str">
        <f t="shared" si="84"/>
        <v>26/08/2025</v>
      </c>
      <c r="P923">
        <f t="shared" si="85"/>
        <v>2025</v>
      </c>
      <c r="Q923">
        <f t="shared" si="86"/>
        <v>8</v>
      </c>
      <c r="R923" t="str">
        <f t="shared" si="87"/>
        <v>August</v>
      </c>
      <c r="S923" t="str">
        <f t="shared" si="88"/>
        <v>Low</v>
      </c>
      <c r="T923" s="1">
        <f t="shared" si="89"/>
        <v>0.136656950092856</v>
      </c>
      <c r="U923">
        <f>SUM($I$2:I923)</f>
        <v>3238603.04</v>
      </c>
      <c r="V923" s="1">
        <f>Table1[[#This Row],[Running total ]]/SUM(I:I)</f>
        <v>0.93453903857578779</v>
      </c>
    </row>
    <row r="924" spans="1:22" x14ac:dyDescent="0.3">
      <c r="A924" t="s">
        <v>1736</v>
      </c>
      <c r="B924" t="s">
        <v>1000</v>
      </c>
      <c r="C924" t="s">
        <v>771</v>
      </c>
      <c r="D924" t="s">
        <v>48</v>
      </c>
      <c r="E924" t="s">
        <v>110</v>
      </c>
      <c r="F924" t="s">
        <v>55</v>
      </c>
      <c r="G924" t="s">
        <v>56</v>
      </c>
      <c r="H924" t="s">
        <v>62</v>
      </c>
      <c r="I924">
        <v>4218.3</v>
      </c>
      <c r="J924">
        <v>10</v>
      </c>
      <c r="K924" s="1">
        <v>0.3</v>
      </c>
      <c r="L924">
        <v>-617.20000000000005</v>
      </c>
      <c r="M924" t="s">
        <v>87</v>
      </c>
      <c r="N924" t="s">
        <v>23</v>
      </c>
      <c r="O924" t="str">
        <f t="shared" si="84"/>
        <v>22/12/2025</v>
      </c>
      <c r="P924">
        <f t="shared" si="85"/>
        <v>2025</v>
      </c>
      <c r="Q924">
        <f t="shared" si="86"/>
        <v>12</v>
      </c>
      <c r="R924" t="str">
        <f t="shared" si="87"/>
        <v>December</v>
      </c>
      <c r="S924" t="str">
        <f t="shared" si="88"/>
        <v>Low</v>
      </c>
      <c r="T924" s="1">
        <f t="shared" si="89"/>
        <v>-0.14631486617831829</v>
      </c>
      <c r="U924">
        <f>SUM($I$2:I924)</f>
        <v>3242821.34</v>
      </c>
      <c r="V924" s="1">
        <f>Table1[[#This Row],[Running total ]]/SUM(I:I)</f>
        <v>0.93575628131215727</v>
      </c>
    </row>
    <row r="925" spans="1:22" x14ac:dyDescent="0.3">
      <c r="A925" t="s">
        <v>1737</v>
      </c>
      <c r="B925" t="s">
        <v>1060</v>
      </c>
      <c r="C925" t="s">
        <v>818</v>
      </c>
      <c r="D925" t="s">
        <v>27</v>
      </c>
      <c r="E925" t="s">
        <v>43</v>
      </c>
      <c r="F925" t="s">
        <v>55</v>
      </c>
      <c r="G925" t="s">
        <v>56</v>
      </c>
      <c r="H925" t="s">
        <v>62</v>
      </c>
      <c r="I925">
        <v>1554.24</v>
      </c>
      <c r="J925">
        <v>3</v>
      </c>
      <c r="K925" s="1">
        <v>0.3</v>
      </c>
      <c r="L925">
        <v>-364.1</v>
      </c>
      <c r="M925" t="s">
        <v>143</v>
      </c>
      <c r="N925" t="s">
        <v>23</v>
      </c>
      <c r="O925" t="str">
        <f t="shared" si="84"/>
        <v>30/03/2024</v>
      </c>
      <c r="P925">
        <f t="shared" si="85"/>
        <v>2024</v>
      </c>
      <c r="Q925">
        <f t="shared" si="86"/>
        <v>3</v>
      </c>
      <c r="R925" t="str">
        <f t="shared" si="87"/>
        <v>March</v>
      </c>
      <c r="S925" t="str">
        <f t="shared" si="88"/>
        <v>Low</v>
      </c>
      <c r="T925" s="1">
        <f t="shared" si="89"/>
        <v>-0.23426240477661109</v>
      </c>
      <c r="U925">
        <f>SUM($I$2:I925)</f>
        <v>3244375.58</v>
      </c>
      <c r="V925" s="1">
        <f>Table1[[#This Row],[Running total ]]/SUM(I:I)</f>
        <v>0.93620477652363476</v>
      </c>
    </row>
    <row r="926" spans="1:22" x14ac:dyDescent="0.3">
      <c r="A926" t="s">
        <v>1738</v>
      </c>
      <c r="B926" t="s">
        <v>1160</v>
      </c>
      <c r="C926" t="s">
        <v>265</v>
      </c>
      <c r="D926" t="s">
        <v>137</v>
      </c>
      <c r="E926" t="s">
        <v>138</v>
      </c>
      <c r="F926" t="s">
        <v>19</v>
      </c>
      <c r="G926" t="s">
        <v>36</v>
      </c>
      <c r="H926" t="s">
        <v>37</v>
      </c>
      <c r="I926">
        <v>719.61</v>
      </c>
      <c r="J926">
        <v>3</v>
      </c>
      <c r="K926" s="1">
        <v>0.3</v>
      </c>
      <c r="L926">
        <v>12.75</v>
      </c>
      <c r="M926" t="s">
        <v>44</v>
      </c>
      <c r="N926" t="s">
        <v>23</v>
      </c>
      <c r="O926" t="str">
        <f t="shared" si="84"/>
        <v>27/12/2024</v>
      </c>
      <c r="P926">
        <f t="shared" si="85"/>
        <v>2024</v>
      </c>
      <c r="Q926">
        <f t="shared" si="86"/>
        <v>12</v>
      </c>
      <c r="R926" t="str">
        <f t="shared" si="87"/>
        <v>December</v>
      </c>
      <c r="S926" t="str">
        <f t="shared" si="88"/>
        <v>Low</v>
      </c>
      <c r="T926" s="1">
        <f t="shared" si="89"/>
        <v>1.771793054571226E-2</v>
      </c>
      <c r="U926">
        <f>SUM($I$2:I926)</f>
        <v>3245095.19</v>
      </c>
      <c r="V926" s="1">
        <f>Table1[[#This Row],[Running total ]]/SUM(I:I)</f>
        <v>0.936412428906234</v>
      </c>
    </row>
    <row r="927" spans="1:22" x14ac:dyDescent="0.3">
      <c r="A927" t="s">
        <v>1739</v>
      </c>
      <c r="B927" t="s">
        <v>1087</v>
      </c>
      <c r="C927" t="s">
        <v>157</v>
      </c>
      <c r="D927" t="s">
        <v>137</v>
      </c>
      <c r="E927" t="s">
        <v>142</v>
      </c>
      <c r="F927" t="s">
        <v>55</v>
      </c>
      <c r="G927" t="s">
        <v>56</v>
      </c>
      <c r="H927" t="s">
        <v>129</v>
      </c>
      <c r="I927">
        <v>491.46</v>
      </c>
      <c r="J927">
        <v>1</v>
      </c>
      <c r="K927" s="1">
        <v>0.3</v>
      </c>
      <c r="L927">
        <v>-36.65</v>
      </c>
      <c r="M927" t="s">
        <v>195</v>
      </c>
      <c r="N927" t="s">
        <v>32</v>
      </c>
      <c r="O927" t="str">
        <f t="shared" si="84"/>
        <v>18/03/2024</v>
      </c>
      <c r="P927">
        <f t="shared" si="85"/>
        <v>2024</v>
      </c>
      <c r="Q927">
        <f t="shared" si="86"/>
        <v>3</v>
      </c>
      <c r="R927" t="str">
        <f t="shared" si="87"/>
        <v>March</v>
      </c>
      <c r="S927" t="str">
        <f t="shared" si="88"/>
        <v>Low</v>
      </c>
      <c r="T927" s="1">
        <f t="shared" si="89"/>
        <v>-7.4573719122614249E-2</v>
      </c>
      <c r="U927">
        <f>SUM($I$2:I927)</f>
        <v>3245586.65</v>
      </c>
      <c r="V927" s="1">
        <f>Table1[[#This Row],[Running total ]]/SUM(I:I)</f>
        <v>0.93655424577919621</v>
      </c>
    </row>
    <row r="928" spans="1:22" x14ac:dyDescent="0.3">
      <c r="A928" t="s">
        <v>1740</v>
      </c>
      <c r="B928" t="s">
        <v>600</v>
      </c>
      <c r="C928" t="s">
        <v>859</v>
      </c>
      <c r="D928" t="s">
        <v>48</v>
      </c>
      <c r="E928" t="s">
        <v>49</v>
      </c>
      <c r="F928" t="s">
        <v>19</v>
      </c>
      <c r="G928" t="s">
        <v>29</v>
      </c>
      <c r="H928" t="s">
        <v>199</v>
      </c>
      <c r="I928">
        <v>497.46</v>
      </c>
      <c r="J928">
        <v>6</v>
      </c>
      <c r="K928" s="1">
        <v>0.05</v>
      </c>
      <c r="L928">
        <v>132.93</v>
      </c>
      <c r="M928" t="s">
        <v>44</v>
      </c>
      <c r="N928" t="s">
        <v>32</v>
      </c>
      <c r="O928" t="str">
        <f t="shared" si="84"/>
        <v>27/10/2025</v>
      </c>
      <c r="P928">
        <f t="shared" si="85"/>
        <v>2025</v>
      </c>
      <c r="Q928">
        <f t="shared" si="86"/>
        <v>10</v>
      </c>
      <c r="R928" t="str">
        <f t="shared" si="87"/>
        <v>October</v>
      </c>
      <c r="S928" t="str">
        <f t="shared" si="88"/>
        <v>High</v>
      </c>
      <c r="T928" s="1">
        <f t="shared" si="89"/>
        <v>0.26721746472078162</v>
      </c>
      <c r="U928">
        <f>SUM($I$2:I928)</f>
        <v>3246084.11</v>
      </c>
      <c r="V928" s="1">
        <f>Table1[[#This Row],[Running total ]]/SUM(I:I)</f>
        <v>0.93669779402650777</v>
      </c>
    </row>
    <row r="929" spans="1:22" x14ac:dyDescent="0.3">
      <c r="A929" t="s">
        <v>1741</v>
      </c>
      <c r="B929" t="s">
        <v>1742</v>
      </c>
      <c r="C929" t="s">
        <v>228</v>
      </c>
      <c r="D929" t="s">
        <v>27</v>
      </c>
      <c r="E929" t="s">
        <v>43</v>
      </c>
      <c r="F929" t="s">
        <v>67</v>
      </c>
      <c r="G929" t="s">
        <v>68</v>
      </c>
      <c r="H929" t="s">
        <v>103</v>
      </c>
      <c r="I929">
        <v>793.62</v>
      </c>
      <c r="J929">
        <v>2</v>
      </c>
      <c r="K929" s="1">
        <v>0.15</v>
      </c>
      <c r="L929">
        <v>14.12</v>
      </c>
      <c r="M929" t="s">
        <v>107</v>
      </c>
      <c r="N929" t="s">
        <v>32</v>
      </c>
      <c r="O929" t="str">
        <f t="shared" si="84"/>
        <v>16/11/2024</v>
      </c>
      <c r="P929">
        <f t="shared" si="85"/>
        <v>2024</v>
      </c>
      <c r="Q929">
        <f t="shared" si="86"/>
        <v>11</v>
      </c>
      <c r="R929" t="str">
        <f t="shared" si="87"/>
        <v>November</v>
      </c>
      <c r="S929" t="str">
        <f t="shared" si="88"/>
        <v>Low</v>
      </c>
      <c r="T929" s="1">
        <f t="shared" si="89"/>
        <v>1.7791890325344624E-2</v>
      </c>
      <c r="U929">
        <f>SUM($I$2:I929)</f>
        <v>3246877.73</v>
      </c>
      <c r="V929" s="1">
        <f>Table1[[#This Row],[Running total ]]/SUM(I:I)</f>
        <v>0.93692680291170738</v>
      </c>
    </row>
    <row r="930" spans="1:22" x14ac:dyDescent="0.3">
      <c r="A930" t="s">
        <v>1743</v>
      </c>
      <c r="B930" t="s">
        <v>407</v>
      </c>
      <c r="C930" t="s">
        <v>262</v>
      </c>
      <c r="D930" t="s">
        <v>17</v>
      </c>
      <c r="E930" t="s">
        <v>80</v>
      </c>
      <c r="F930" t="s">
        <v>19</v>
      </c>
      <c r="G930" t="s">
        <v>29</v>
      </c>
      <c r="H930" t="s">
        <v>30</v>
      </c>
      <c r="I930">
        <v>2120.12</v>
      </c>
      <c r="J930">
        <v>2</v>
      </c>
      <c r="K930" s="1">
        <v>0.15</v>
      </c>
      <c r="L930">
        <v>540.85</v>
      </c>
      <c r="M930" t="s">
        <v>87</v>
      </c>
      <c r="N930" t="s">
        <v>39</v>
      </c>
      <c r="O930" t="str">
        <f t="shared" si="84"/>
        <v>21/03/2024</v>
      </c>
      <c r="P930">
        <f t="shared" si="85"/>
        <v>2024</v>
      </c>
      <c r="Q930">
        <f t="shared" si="86"/>
        <v>3</v>
      </c>
      <c r="R930" t="str">
        <f t="shared" si="87"/>
        <v>March</v>
      </c>
      <c r="S930" t="str">
        <f t="shared" si="88"/>
        <v>Low</v>
      </c>
      <c r="T930" s="1">
        <f t="shared" si="89"/>
        <v>0.25510348470841276</v>
      </c>
      <c r="U930">
        <f>SUM($I$2:I930)</f>
        <v>3248997.85</v>
      </c>
      <c r="V930" s="1">
        <f>Table1[[#This Row],[Running total ]]/SUM(I:I)</f>
        <v>0.93753858980932769</v>
      </c>
    </row>
    <row r="931" spans="1:22" x14ac:dyDescent="0.3">
      <c r="A931" t="s">
        <v>1744</v>
      </c>
      <c r="B931" t="s">
        <v>1745</v>
      </c>
      <c r="C931" t="s">
        <v>271</v>
      </c>
      <c r="D931" t="s">
        <v>48</v>
      </c>
      <c r="E931" t="s">
        <v>49</v>
      </c>
      <c r="F931" t="s">
        <v>55</v>
      </c>
      <c r="G931" t="s">
        <v>98</v>
      </c>
      <c r="H931" t="s">
        <v>154</v>
      </c>
      <c r="I931">
        <v>3359.31</v>
      </c>
      <c r="J931">
        <v>3</v>
      </c>
      <c r="K931" s="1">
        <v>0.15</v>
      </c>
      <c r="L931">
        <v>782.62</v>
      </c>
      <c r="M931" t="s">
        <v>63</v>
      </c>
      <c r="N931" t="s">
        <v>76</v>
      </c>
      <c r="O931" t="str">
        <f t="shared" si="84"/>
        <v>24/03/2024</v>
      </c>
      <c r="P931">
        <f t="shared" si="85"/>
        <v>2024</v>
      </c>
      <c r="Q931">
        <f t="shared" si="86"/>
        <v>3</v>
      </c>
      <c r="R931" t="str">
        <f t="shared" si="87"/>
        <v>March</v>
      </c>
      <c r="S931" t="str">
        <f t="shared" si="88"/>
        <v>Low</v>
      </c>
      <c r="T931" s="1">
        <f t="shared" si="89"/>
        <v>0.23297046119590034</v>
      </c>
      <c r="U931">
        <f>SUM($I$2:I931)</f>
        <v>3252357.16</v>
      </c>
      <c r="V931" s="1">
        <f>Table1[[#This Row],[Running total ]]/SUM(I:I)</f>
        <v>0.93850796033696049</v>
      </c>
    </row>
    <row r="932" spans="1:22" x14ac:dyDescent="0.3">
      <c r="A932" t="s">
        <v>1746</v>
      </c>
      <c r="B932" t="s">
        <v>1013</v>
      </c>
      <c r="C932" t="s">
        <v>1205</v>
      </c>
      <c r="D932" t="s">
        <v>27</v>
      </c>
      <c r="E932" t="s">
        <v>43</v>
      </c>
      <c r="F932" t="s">
        <v>55</v>
      </c>
      <c r="G932" t="s">
        <v>56</v>
      </c>
      <c r="H932" t="s">
        <v>57</v>
      </c>
      <c r="I932">
        <v>309.42</v>
      </c>
      <c r="J932">
        <v>6</v>
      </c>
      <c r="K932" s="1">
        <v>0.25</v>
      </c>
      <c r="L932">
        <v>-12.68</v>
      </c>
      <c r="M932" t="s">
        <v>87</v>
      </c>
      <c r="N932" t="s">
        <v>39</v>
      </c>
      <c r="O932" t="str">
        <f t="shared" si="84"/>
        <v>18/09/2025</v>
      </c>
      <c r="P932">
        <f t="shared" si="85"/>
        <v>2025</v>
      </c>
      <c r="Q932">
        <f t="shared" si="86"/>
        <v>9</v>
      </c>
      <c r="R932" t="str">
        <f t="shared" si="87"/>
        <v>September</v>
      </c>
      <c r="S932" t="str">
        <f t="shared" si="88"/>
        <v>Low</v>
      </c>
      <c r="T932" s="1">
        <f t="shared" si="89"/>
        <v>-4.0979897873440627E-2</v>
      </c>
      <c r="U932">
        <f>SUM($I$2:I932)</f>
        <v>3252666.58</v>
      </c>
      <c r="V932" s="1">
        <f>Table1[[#This Row],[Running total ]]/SUM(I:I)</f>
        <v>0.93859724731216088</v>
      </c>
    </row>
    <row r="933" spans="1:22" x14ac:dyDescent="0.3">
      <c r="A933" t="s">
        <v>1747</v>
      </c>
      <c r="B933" t="s">
        <v>397</v>
      </c>
      <c r="C933" t="s">
        <v>93</v>
      </c>
      <c r="D933" t="s">
        <v>17</v>
      </c>
      <c r="E933" t="s">
        <v>18</v>
      </c>
      <c r="F933" t="s">
        <v>19</v>
      </c>
      <c r="G933" t="s">
        <v>29</v>
      </c>
      <c r="H933" t="s">
        <v>30</v>
      </c>
      <c r="I933">
        <v>3733</v>
      </c>
      <c r="J933">
        <v>5</v>
      </c>
      <c r="K933" s="1">
        <v>0.2</v>
      </c>
      <c r="L933">
        <v>397.78</v>
      </c>
      <c r="M933" t="s">
        <v>87</v>
      </c>
      <c r="N933" t="s">
        <v>76</v>
      </c>
      <c r="O933" t="str">
        <f t="shared" si="84"/>
        <v>28/07/2025</v>
      </c>
      <c r="P933">
        <f t="shared" si="85"/>
        <v>2025</v>
      </c>
      <c r="Q933">
        <f t="shared" si="86"/>
        <v>7</v>
      </c>
      <c r="R933" t="str">
        <f t="shared" si="87"/>
        <v>July</v>
      </c>
      <c r="S933" t="str">
        <f t="shared" si="88"/>
        <v>Low</v>
      </c>
      <c r="T933" s="1">
        <f t="shared" si="89"/>
        <v>0.10655772836860433</v>
      </c>
      <c r="U933">
        <f>SUM($I$2:I933)</f>
        <v>3256399.58</v>
      </c>
      <c r="V933" s="1">
        <f>Table1[[#This Row],[Running total ]]/SUM(I:I)</f>
        <v>0.9396744507199003</v>
      </c>
    </row>
    <row r="934" spans="1:22" x14ac:dyDescent="0.3">
      <c r="A934" t="s">
        <v>1748</v>
      </c>
      <c r="B934" t="s">
        <v>1272</v>
      </c>
      <c r="C934" t="s">
        <v>169</v>
      </c>
      <c r="D934" t="s">
        <v>48</v>
      </c>
      <c r="E934" t="s">
        <v>49</v>
      </c>
      <c r="F934" t="s">
        <v>67</v>
      </c>
      <c r="G934" t="s">
        <v>115</v>
      </c>
      <c r="H934" t="s">
        <v>178</v>
      </c>
      <c r="I934">
        <v>3694.4</v>
      </c>
      <c r="J934">
        <v>8</v>
      </c>
      <c r="K934" s="1">
        <v>0</v>
      </c>
      <c r="L934">
        <v>1105.31</v>
      </c>
      <c r="M934" t="s">
        <v>107</v>
      </c>
      <c r="N934" t="s">
        <v>39</v>
      </c>
      <c r="O934" t="str">
        <f t="shared" si="84"/>
        <v>22/07/2024</v>
      </c>
      <c r="P934">
        <f t="shared" si="85"/>
        <v>2024</v>
      </c>
      <c r="Q934">
        <f t="shared" si="86"/>
        <v>7</v>
      </c>
      <c r="R934" t="str">
        <f t="shared" si="87"/>
        <v>July</v>
      </c>
      <c r="S934" t="str">
        <f t="shared" si="88"/>
        <v>No Discount</v>
      </c>
      <c r="T934" s="1">
        <f t="shared" si="89"/>
        <v>0.29918525335643131</v>
      </c>
      <c r="U934">
        <f>SUM($I$2:I934)</f>
        <v>3260093.98</v>
      </c>
      <c r="V934" s="1">
        <f>Table1[[#This Row],[Running total ]]/SUM(I:I)</f>
        <v>0.94074051561932504</v>
      </c>
    </row>
    <row r="935" spans="1:22" x14ac:dyDescent="0.3">
      <c r="A935" t="s">
        <v>1749</v>
      </c>
      <c r="B935" t="s">
        <v>1750</v>
      </c>
      <c r="C935" t="s">
        <v>259</v>
      </c>
      <c r="D935" t="s">
        <v>27</v>
      </c>
      <c r="E935" t="s">
        <v>61</v>
      </c>
      <c r="F935" t="s">
        <v>19</v>
      </c>
      <c r="G935" t="s">
        <v>29</v>
      </c>
      <c r="H935" t="s">
        <v>199</v>
      </c>
      <c r="I935">
        <v>2061.9</v>
      </c>
      <c r="J935">
        <v>5</v>
      </c>
      <c r="K935" s="1">
        <v>0.1</v>
      </c>
      <c r="L935">
        <v>576.29</v>
      </c>
      <c r="M935" t="s">
        <v>63</v>
      </c>
      <c r="N935" t="s">
        <v>32</v>
      </c>
      <c r="O935" t="str">
        <f t="shared" si="84"/>
        <v>24/08/2024</v>
      </c>
      <c r="P935">
        <f t="shared" si="85"/>
        <v>2024</v>
      </c>
      <c r="Q935">
        <f t="shared" si="86"/>
        <v>8</v>
      </c>
      <c r="R935" t="str">
        <f t="shared" si="87"/>
        <v>August</v>
      </c>
      <c r="S935" t="str">
        <f t="shared" si="88"/>
        <v>Low</v>
      </c>
      <c r="T935" s="1">
        <f t="shared" si="89"/>
        <v>0.27949464086522136</v>
      </c>
      <c r="U935">
        <f>SUM($I$2:I935)</f>
        <v>3262155.88</v>
      </c>
      <c r="V935" s="1">
        <f>Table1[[#This Row],[Running total ]]/SUM(I:I)</f>
        <v>0.94133550241450803</v>
      </c>
    </row>
    <row r="936" spans="1:22" x14ac:dyDescent="0.3">
      <c r="A936" t="s">
        <v>1751</v>
      </c>
      <c r="B936" t="s">
        <v>224</v>
      </c>
      <c r="C936" t="s">
        <v>530</v>
      </c>
      <c r="D936" t="s">
        <v>27</v>
      </c>
      <c r="E936" t="s">
        <v>124</v>
      </c>
      <c r="F936" t="s">
        <v>19</v>
      </c>
      <c r="G936" t="s">
        <v>20</v>
      </c>
      <c r="H936" t="s">
        <v>239</v>
      </c>
      <c r="I936">
        <v>2628.09</v>
      </c>
      <c r="J936">
        <v>3</v>
      </c>
      <c r="K936" s="1">
        <v>0.15</v>
      </c>
      <c r="L936">
        <v>-148.6</v>
      </c>
      <c r="M936" t="s">
        <v>195</v>
      </c>
      <c r="N936" t="s">
        <v>76</v>
      </c>
      <c r="O936" t="str">
        <f t="shared" si="84"/>
        <v>14/05/2025</v>
      </c>
      <c r="P936">
        <f t="shared" si="85"/>
        <v>2025</v>
      </c>
      <c r="Q936">
        <f t="shared" si="86"/>
        <v>5</v>
      </c>
      <c r="R936" t="str">
        <f t="shared" si="87"/>
        <v>May</v>
      </c>
      <c r="S936" t="str">
        <f t="shared" si="88"/>
        <v>Low</v>
      </c>
      <c r="T936" s="1">
        <f t="shared" si="89"/>
        <v>-5.65429646625496E-2</v>
      </c>
      <c r="U936">
        <f>SUM($I$2:I936)</f>
        <v>3264783.9699999997</v>
      </c>
      <c r="V936" s="1">
        <f>Table1[[#This Row],[Running total ]]/SUM(I:I)</f>
        <v>0.94209387035017522</v>
      </c>
    </row>
    <row r="937" spans="1:22" x14ac:dyDescent="0.3">
      <c r="A937" t="s">
        <v>1752</v>
      </c>
      <c r="B937" t="s">
        <v>1750</v>
      </c>
      <c r="C937" t="s">
        <v>843</v>
      </c>
      <c r="D937" t="s">
        <v>137</v>
      </c>
      <c r="E937" t="s">
        <v>138</v>
      </c>
      <c r="F937" t="s">
        <v>55</v>
      </c>
      <c r="G937" t="s">
        <v>56</v>
      </c>
      <c r="H937" t="s">
        <v>57</v>
      </c>
      <c r="I937">
        <v>953.74</v>
      </c>
      <c r="J937">
        <v>1</v>
      </c>
      <c r="K937" s="1">
        <v>0.3</v>
      </c>
      <c r="L937">
        <v>65.680000000000007</v>
      </c>
      <c r="M937" t="s">
        <v>107</v>
      </c>
      <c r="N937" t="s">
        <v>32</v>
      </c>
      <c r="O937" t="str">
        <f t="shared" si="84"/>
        <v>24/08/2024</v>
      </c>
      <c r="P937">
        <f t="shared" si="85"/>
        <v>2024</v>
      </c>
      <c r="Q937">
        <f t="shared" si="86"/>
        <v>8</v>
      </c>
      <c r="R937" t="str">
        <f t="shared" si="87"/>
        <v>August</v>
      </c>
      <c r="S937" t="str">
        <f t="shared" si="88"/>
        <v>Low</v>
      </c>
      <c r="T937" s="1">
        <f t="shared" si="89"/>
        <v>6.8865728605280271E-2</v>
      </c>
      <c r="U937">
        <f>SUM($I$2:I937)</f>
        <v>3265737.71</v>
      </c>
      <c r="V937" s="1">
        <f>Table1[[#This Row],[Running total ]]/SUM(I:I)</f>
        <v>0.94236908384551354</v>
      </c>
    </row>
    <row r="938" spans="1:22" x14ac:dyDescent="0.3">
      <c r="A938" t="s">
        <v>1753</v>
      </c>
      <c r="B938" t="s">
        <v>1754</v>
      </c>
      <c r="C938" t="s">
        <v>53</v>
      </c>
      <c r="D938" t="s">
        <v>27</v>
      </c>
      <c r="E938" t="s">
        <v>61</v>
      </c>
      <c r="F938" t="s">
        <v>19</v>
      </c>
      <c r="G938" t="s">
        <v>36</v>
      </c>
      <c r="H938" t="s">
        <v>222</v>
      </c>
      <c r="I938">
        <v>189.62</v>
      </c>
      <c r="J938">
        <v>1</v>
      </c>
      <c r="K938" s="1">
        <v>0.15</v>
      </c>
      <c r="L938">
        <v>-1.1299999999999999</v>
      </c>
      <c r="M938" t="s">
        <v>63</v>
      </c>
      <c r="N938" t="s">
        <v>32</v>
      </c>
      <c r="O938" t="str">
        <f t="shared" si="84"/>
        <v>20/04/2024</v>
      </c>
      <c r="P938">
        <f t="shared" si="85"/>
        <v>2024</v>
      </c>
      <c r="Q938">
        <f t="shared" si="86"/>
        <v>4</v>
      </c>
      <c r="R938" t="str">
        <f t="shared" si="87"/>
        <v>April</v>
      </c>
      <c r="S938" t="str">
        <f t="shared" si="88"/>
        <v>Low</v>
      </c>
      <c r="T938" s="1">
        <f t="shared" si="89"/>
        <v>-5.959286995042716E-3</v>
      </c>
      <c r="U938">
        <f>SUM($I$2:I938)</f>
        <v>3265927.33</v>
      </c>
      <c r="V938" s="1">
        <f>Table1[[#This Row],[Running total ]]/SUM(I:I)</f>
        <v>0.94242380104620349</v>
      </c>
    </row>
    <row r="939" spans="1:22" x14ac:dyDescent="0.3">
      <c r="A939" t="s">
        <v>1755</v>
      </c>
      <c r="B939" t="s">
        <v>1383</v>
      </c>
      <c r="C939" t="s">
        <v>123</v>
      </c>
      <c r="D939" t="s">
        <v>137</v>
      </c>
      <c r="E939" t="s">
        <v>242</v>
      </c>
      <c r="F939" t="s">
        <v>19</v>
      </c>
      <c r="G939" t="s">
        <v>20</v>
      </c>
      <c r="H939" t="s">
        <v>347</v>
      </c>
      <c r="I939">
        <v>945.48</v>
      </c>
      <c r="J939">
        <v>1</v>
      </c>
      <c r="K939" s="1">
        <v>0</v>
      </c>
      <c r="L939">
        <v>352.03</v>
      </c>
      <c r="M939" t="s">
        <v>44</v>
      </c>
      <c r="N939" t="s">
        <v>32</v>
      </c>
      <c r="O939" t="str">
        <f t="shared" si="84"/>
        <v>25/04/2025</v>
      </c>
      <c r="P939">
        <f t="shared" si="85"/>
        <v>2025</v>
      </c>
      <c r="Q939">
        <f t="shared" si="86"/>
        <v>4</v>
      </c>
      <c r="R939" t="str">
        <f t="shared" si="87"/>
        <v>April</v>
      </c>
      <c r="S939" t="str">
        <f t="shared" si="88"/>
        <v>No Discount</v>
      </c>
      <c r="T939" s="1">
        <f t="shared" si="89"/>
        <v>0.37232939882387778</v>
      </c>
      <c r="U939">
        <f>SUM($I$2:I939)</f>
        <v>3266872.81</v>
      </c>
      <c r="V939" s="1">
        <f>Table1[[#This Row],[Running total ]]/SUM(I:I)</f>
        <v>0.94269663101618728</v>
      </c>
    </row>
    <row r="940" spans="1:22" x14ac:dyDescent="0.3">
      <c r="A940" t="s">
        <v>1756</v>
      </c>
      <c r="B940" t="s">
        <v>1483</v>
      </c>
      <c r="C940" t="s">
        <v>1010</v>
      </c>
      <c r="D940" t="s">
        <v>137</v>
      </c>
      <c r="E940" t="s">
        <v>142</v>
      </c>
      <c r="F940" t="s">
        <v>55</v>
      </c>
      <c r="G940" t="s">
        <v>74</v>
      </c>
      <c r="H940" t="s">
        <v>133</v>
      </c>
      <c r="I940">
        <v>312.27999999999997</v>
      </c>
      <c r="J940">
        <v>1</v>
      </c>
      <c r="K940" s="1">
        <v>0.05</v>
      </c>
      <c r="L940">
        <v>29.35</v>
      </c>
      <c r="M940" t="s">
        <v>44</v>
      </c>
      <c r="N940" t="s">
        <v>32</v>
      </c>
      <c r="O940" t="str">
        <f t="shared" si="84"/>
        <v>06/07/2025</v>
      </c>
      <c r="P940">
        <f t="shared" si="85"/>
        <v>2025</v>
      </c>
      <c r="Q940">
        <f t="shared" si="86"/>
        <v>7</v>
      </c>
      <c r="R940" t="str">
        <f t="shared" si="87"/>
        <v>July</v>
      </c>
      <c r="S940" t="str">
        <f t="shared" si="88"/>
        <v>High</v>
      </c>
      <c r="T940" s="1">
        <f t="shared" si="89"/>
        <v>9.398616626104779E-2</v>
      </c>
      <c r="U940">
        <f>SUM($I$2:I940)</f>
        <v>3267185.09</v>
      </c>
      <c r="V940" s="1">
        <f>Table1[[#This Row],[Running total ]]/SUM(I:I)</f>
        <v>0.94278674327982737</v>
      </c>
    </row>
    <row r="941" spans="1:22" x14ac:dyDescent="0.3">
      <c r="A941" t="s">
        <v>1757</v>
      </c>
      <c r="B941" t="s">
        <v>716</v>
      </c>
      <c r="C941" t="s">
        <v>83</v>
      </c>
      <c r="D941" t="s">
        <v>137</v>
      </c>
      <c r="E941" t="s">
        <v>242</v>
      </c>
      <c r="F941" t="s">
        <v>67</v>
      </c>
      <c r="G941" t="s">
        <v>115</v>
      </c>
      <c r="H941" t="s">
        <v>116</v>
      </c>
      <c r="I941">
        <v>3043.89</v>
      </c>
      <c r="J941">
        <v>3</v>
      </c>
      <c r="K941" s="1">
        <v>0.3</v>
      </c>
      <c r="L941">
        <v>-219.03</v>
      </c>
      <c r="M941" t="s">
        <v>31</v>
      </c>
      <c r="N941" t="s">
        <v>32</v>
      </c>
      <c r="O941" t="str">
        <f t="shared" si="84"/>
        <v>24/06/2024</v>
      </c>
      <c r="P941">
        <f t="shared" si="85"/>
        <v>2024</v>
      </c>
      <c r="Q941">
        <f t="shared" si="86"/>
        <v>6</v>
      </c>
      <c r="R941" t="str">
        <f t="shared" si="87"/>
        <v>June</v>
      </c>
      <c r="S941" t="str">
        <f t="shared" si="88"/>
        <v>Low</v>
      </c>
      <c r="T941" s="1">
        <f t="shared" si="89"/>
        <v>-7.1957265209978027E-2</v>
      </c>
      <c r="U941">
        <f>SUM($I$2:I941)</f>
        <v>3270228.98</v>
      </c>
      <c r="V941" s="1">
        <f>Table1[[#This Row],[Running total ]]/SUM(I:I)</f>
        <v>0.94366509545791055</v>
      </c>
    </row>
    <row r="942" spans="1:22" x14ac:dyDescent="0.3">
      <c r="A942" t="s">
        <v>1758</v>
      </c>
      <c r="B942" t="s">
        <v>1759</v>
      </c>
      <c r="C942" t="s">
        <v>305</v>
      </c>
      <c r="D942" t="s">
        <v>48</v>
      </c>
      <c r="E942" t="s">
        <v>84</v>
      </c>
      <c r="F942" t="s">
        <v>67</v>
      </c>
      <c r="G942" t="s">
        <v>85</v>
      </c>
      <c r="H942" t="s">
        <v>253</v>
      </c>
      <c r="I942">
        <v>289.92</v>
      </c>
      <c r="J942">
        <v>3</v>
      </c>
      <c r="K942" s="1">
        <v>0.2</v>
      </c>
      <c r="L942">
        <v>29.27</v>
      </c>
      <c r="M942" t="s">
        <v>107</v>
      </c>
      <c r="N942" t="s">
        <v>39</v>
      </c>
      <c r="O942" t="str">
        <f t="shared" si="84"/>
        <v>03/05/2024</v>
      </c>
      <c r="P942">
        <f t="shared" si="85"/>
        <v>2024</v>
      </c>
      <c r="Q942">
        <f t="shared" si="86"/>
        <v>5</v>
      </c>
      <c r="R942" t="str">
        <f t="shared" si="87"/>
        <v>May</v>
      </c>
      <c r="S942" t="str">
        <f t="shared" si="88"/>
        <v>Low</v>
      </c>
      <c r="T942" s="1">
        <f t="shared" si="89"/>
        <v>0.10095888520971302</v>
      </c>
      <c r="U942">
        <f>SUM($I$2:I942)</f>
        <v>3270518.9</v>
      </c>
      <c r="V942" s="1">
        <f>Table1[[#This Row],[Running total ]]/SUM(I:I)</f>
        <v>0.94374875546647519</v>
      </c>
    </row>
    <row r="943" spans="1:22" x14ac:dyDescent="0.3">
      <c r="A943" t="s">
        <v>1760</v>
      </c>
      <c r="B943" t="s">
        <v>1000</v>
      </c>
      <c r="C943" t="s">
        <v>439</v>
      </c>
      <c r="D943" t="s">
        <v>48</v>
      </c>
      <c r="E943" t="s">
        <v>84</v>
      </c>
      <c r="F943" t="s">
        <v>19</v>
      </c>
      <c r="G943" t="s">
        <v>29</v>
      </c>
      <c r="H943" t="s">
        <v>199</v>
      </c>
      <c r="I943">
        <v>937.66</v>
      </c>
      <c r="J943">
        <v>2</v>
      </c>
      <c r="K943" s="1">
        <v>0.2</v>
      </c>
      <c r="L943">
        <v>194.24</v>
      </c>
      <c r="M943" t="s">
        <v>44</v>
      </c>
      <c r="N943" t="s">
        <v>39</v>
      </c>
      <c r="O943" t="str">
        <f t="shared" si="84"/>
        <v>22/12/2025</v>
      </c>
      <c r="P943">
        <f t="shared" si="85"/>
        <v>2025</v>
      </c>
      <c r="Q943">
        <f t="shared" si="86"/>
        <v>12</v>
      </c>
      <c r="R943" t="str">
        <f t="shared" si="87"/>
        <v>December</v>
      </c>
      <c r="S943" t="str">
        <f t="shared" si="88"/>
        <v>Low</v>
      </c>
      <c r="T943" s="1">
        <f t="shared" si="89"/>
        <v>0.20715397905424143</v>
      </c>
      <c r="U943">
        <f>SUM($I$2:I943)</f>
        <v>3271456.56</v>
      </c>
      <c r="V943" s="1">
        <f>Table1[[#This Row],[Running total ]]/SUM(I:I)</f>
        <v>0.94401932887855688</v>
      </c>
    </row>
    <row r="944" spans="1:22" x14ac:dyDescent="0.3">
      <c r="A944" t="s">
        <v>1761</v>
      </c>
      <c r="B944" t="s">
        <v>1577</v>
      </c>
      <c r="C944" t="s">
        <v>583</v>
      </c>
      <c r="D944" t="s">
        <v>17</v>
      </c>
      <c r="E944" t="s">
        <v>80</v>
      </c>
      <c r="F944" t="s">
        <v>55</v>
      </c>
      <c r="G944" t="s">
        <v>56</v>
      </c>
      <c r="H944" t="s">
        <v>129</v>
      </c>
      <c r="I944">
        <v>2311.5500000000002</v>
      </c>
      <c r="J944">
        <v>5</v>
      </c>
      <c r="K944" s="1">
        <v>0.2</v>
      </c>
      <c r="L944">
        <v>-189.01</v>
      </c>
      <c r="M944" t="s">
        <v>87</v>
      </c>
      <c r="N944" t="s">
        <v>32</v>
      </c>
      <c r="O944" t="str">
        <f t="shared" si="84"/>
        <v>04/09/2024</v>
      </c>
      <c r="P944">
        <f t="shared" si="85"/>
        <v>2024</v>
      </c>
      <c r="Q944">
        <f t="shared" si="86"/>
        <v>9</v>
      </c>
      <c r="R944" t="str">
        <f t="shared" si="87"/>
        <v>September</v>
      </c>
      <c r="S944" t="str">
        <f t="shared" si="88"/>
        <v>Low</v>
      </c>
      <c r="T944" s="1">
        <f t="shared" si="89"/>
        <v>-8.1767645086630175E-2</v>
      </c>
      <c r="U944">
        <f>SUM($I$2:I944)</f>
        <v>3273768.11</v>
      </c>
      <c r="V944" s="1">
        <f>Table1[[#This Row],[Running total ]]/SUM(I:I)</f>
        <v>0.94468635527479583</v>
      </c>
    </row>
    <row r="945" spans="1:22" x14ac:dyDescent="0.3">
      <c r="A945" t="s">
        <v>1762</v>
      </c>
      <c r="B945" t="s">
        <v>1763</v>
      </c>
      <c r="C945" t="s">
        <v>473</v>
      </c>
      <c r="D945" t="s">
        <v>48</v>
      </c>
      <c r="E945" t="s">
        <v>73</v>
      </c>
      <c r="F945" t="s">
        <v>19</v>
      </c>
      <c r="G945" t="s">
        <v>29</v>
      </c>
      <c r="H945" t="s">
        <v>30</v>
      </c>
      <c r="I945">
        <v>1437.6</v>
      </c>
      <c r="J945">
        <v>6</v>
      </c>
      <c r="K945" s="1">
        <v>0.2</v>
      </c>
      <c r="L945">
        <v>24.03</v>
      </c>
      <c r="M945" t="s">
        <v>22</v>
      </c>
      <c r="N945" t="s">
        <v>32</v>
      </c>
      <c r="O945" t="str">
        <f t="shared" si="84"/>
        <v>27/05/2025</v>
      </c>
      <c r="P945">
        <f t="shared" si="85"/>
        <v>2025</v>
      </c>
      <c r="Q945">
        <f t="shared" si="86"/>
        <v>5</v>
      </c>
      <c r="R945" t="str">
        <f t="shared" si="87"/>
        <v>May</v>
      </c>
      <c r="S945" t="str">
        <f t="shared" si="88"/>
        <v>Low</v>
      </c>
      <c r="T945" s="1">
        <f t="shared" si="89"/>
        <v>1.6715358931552588E-2</v>
      </c>
      <c r="U945">
        <f>SUM($I$2:I945)</f>
        <v>3275205.71</v>
      </c>
      <c r="V945" s="1">
        <f>Table1[[#This Row],[Running total ]]/SUM(I:I)</f>
        <v>0.94510119256892022</v>
      </c>
    </row>
    <row r="946" spans="1:22" x14ac:dyDescent="0.3">
      <c r="A946" t="s">
        <v>1764</v>
      </c>
      <c r="B946" t="s">
        <v>1759</v>
      </c>
      <c r="C946" t="s">
        <v>818</v>
      </c>
      <c r="D946" t="s">
        <v>48</v>
      </c>
      <c r="E946" t="s">
        <v>84</v>
      </c>
      <c r="F946" t="s">
        <v>67</v>
      </c>
      <c r="G946" t="s">
        <v>85</v>
      </c>
      <c r="H946" t="s">
        <v>253</v>
      </c>
      <c r="I946">
        <v>4037.1</v>
      </c>
      <c r="J946">
        <v>5</v>
      </c>
      <c r="K946" s="1">
        <v>0.15</v>
      </c>
      <c r="L946">
        <v>247.63</v>
      </c>
      <c r="M946" t="s">
        <v>143</v>
      </c>
      <c r="N946" t="s">
        <v>23</v>
      </c>
      <c r="O946" t="str">
        <f t="shared" si="84"/>
        <v>03/05/2024</v>
      </c>
      <c r="P946">
        <f t="shared" si="85"/>
        <v>2024</v>
      </c>
      <c r="Q946">
        <f t="shared" si="86"/>
        <v>5</v>
      </c>
      <c r="R946" t="str">
        <f t="shared" si="87"/>
        <v>May</v>
      </c>
      <c r="S946" t="str">
        <f t="shared" si="88"/>
        <v>Low</v>
      </c>
      <c r="T946" s="1">
        <f t="shared" si="89"/>
        <v>6.1338584627579205E-2</v>
      </c>
      <c r="U946">
        <f>SUM($I$2:I946)</f>
        <v>3279242.81</v>
      </c>
      <c r="V946" s="1">
        <f>Table1[[#This Row],[Running total ]]/SUM(I:I)</f>
        <v>0.9462661477999369</v>
      </c>
    </row>
    <row r="947" spans="1:22" x14ac:dyDescent="0.3">
      <c r="A947" t="s">
        <v>1765</v>
      </c>
      <c r="B947" t="s">
        <v>722</v>
      </c>
      <c r="C947" t="s">
        <v>652</v>
      </c>
      <c r="D947" t="s">
        <v>27</v>
      </c>
      <c r="E947" t="s">
        <v>124</v>
      </c>
      <c r="F947" t="s">
        <v>55</v>
      </c>
      <c r="G947" t="s">
        <v>74</v>
      </c>
      <c r="H947" t="s">
        <v>133</v>
      </c>
      <c r="I947">
        <v>6641.37</v>
      </c>
      <c r="J947">
        <v>9</v>
      </c>
      <c r="K947" s="1">
        <v>0.3</v>
      </c>
      <c r="L947">
        <v>-791.36</v>
      </c>
      <c r="M947" t="s">
        <v>44</v>
      </c>
      <c r="N947" t="s">
        <v>23</v>
      </c>
      <c r="O947" t="str">
        <f t="shared" si="84"/>
        <v>12/04/2024</v>
      </c>
      <c r="P947">
        <f t="shared" si="85"/>
        <v>2024</v>
      </c>
      <c r="Q947">
        <f t="shared" si="86"/>
        <v>4</v>
      </c>
      <c r="R947" t="str">
        <f t="shared" si="87"/>
        <v>April</v>
      </c>
      <c r="S947" t="str">
        <f t="shared" si="88"/>
        <v>Low</v>
      </c>
      <c r="T947" s="1">
        <f t="shared" si="89"/>
        <v>-0.11915613796551013</v>
      </c>
      <c r="U947">
        <f>SUM($I$2:I947)</f>
        <v>3285884.18</v>
      </c>
      <c r="V947" s="1">
        <f>Table1[[#This Row],[Running total ]]/SUM(I:I)</f>
        <v>0.94818259741045352</v>
      </c>
    </row>
    <row r="948" spans="1:22" x14ac:dyDescent="0.3">
      <c r="A948" t="s">
        <v>1766</v>
      </c>
      <c r="B948" t="s">
        <v>1767</v>
      </c>
      <c r="C948" t="s">
        <v>1768</v>
      </c>
      <c r="D948" t="s">
        <v>17</v>
      </c>
      <c r="E948" t="s">
        <v>54</v>
      </c>
      <c r="F948" t="s">
        <v>67</v>
      </c>
      <c r="G948" t="s">
        <v>115</v>
      </c>
      <c r="H948" t="s">
        <v>212</v>
      </c>
      <c r="I948">
        <v>3878</v>
      </c>
      <c r="J948">
        <v>10</v>
      </c>
      <c r="K948" s="1">
        <v>0.05</v>
      </c>
      <c r="L948">
        <v>601.28</v>
      </c>
      <c r="M948" t="s">
        <v>63</v>
      </c>
      <c r="N948" t="s">
        <v>39</v>
      </c>
      <c r="O948" t="str">
        <f t="shared" si="84"/>
        <v>19/04/2025</v>
      </c>
      <c r="P948">
        <f t="shared" si="85"/>
        <v>2025</v>
      </c>
      <c r="Q948">
        <f t="shared" si="86"/>
        <v>4</v>
      </c>
      <c r="R948" t="str">
        <f t="shared" si="87"/>
        <v>April</v>
      </c>
      <c r="S948" t="str">
        <f t="shared" si="88"/>
        <v>High</v>
      </c>
      <c r="T948" s="1">
        <f t="shared" si="89"/>
        <v>0.15504899432697267</v>
      </c>
      <c r="U948">
        <f>SUM($I$2:I948)</f>
        <v>3289762.18</v>
      </c>
      <c r="V948" s="1">
        <f>Table1[[#This Row],[Running total ]]/SUM(I:I)</f>
        <v>0.94930164236497105</v>
      </c>
    </row>
    <row r="949" spans="1:22" x14ac:dyDescent="0.3">
      <c r="A949" t="s">
        <v>1769</v>
      </c>
      <c r="B949" t="s">
        <v>441</v>
      </c>
      <c r="C949" t="s">
        <v>672</v>
      </c>
      <c r="D949" t="s">
        <v>17</v>
      </c>
      <c r="E949" t="s">
        <v>54</v>
      </c>
      <c r="F949" t="s">
        <v>19</v>
      </c>
      <c r="G949" t="s">
        <v>20</v>
      </c>
      <c r="H949" t="s">
        <v>347</v>
      </c>
      <c r="I949">
        <v>10009.9</v>
      </c>
      <c r="J949">
        <v>10</v>
      </c>
      <c r="K949" s="1">
        <v>0.05</v>
      </c>
      <c r="L949">
        <v>1722.02</v>
      </c>
      <c r="M949" t="s">
        <v>44</v>
      </c>
      <c r="N949" t="s">
        <v>39</v>
      </c>
      <c r="O949" t="str">
        <f t="shared" si="84"/>
        <v>17/07/2025</v>
      </c>
      <c r="P949">
        <f t="shared" si="85"/>
        <v>2025</v>
      </c>
      <c r="Q949">
        <f t="shared" si="86"/>
        <v>7</v>
      </c>
      <c r="R949" t="str">
        <f t="shared" si="87"/>
        <v>July</v>
      </c>
      <c r="S949" t="str">
        <f t="shared" si="88"/>
        <v>High</v>
      </c>
      <c r="T949" s="1">
        <f t="shared" si="89"/>
        <v>0.17203168862825802</v>
      </c>
      <c r="U949">
        <f>SUM($I$2:I949)</f>
        <v>3299772.08</v>
      </c>
      <c r="V949" s="1">
        <f>Table1[[#This Row],[Running total ]]/SUM(I:I)</f>
        <v>0.95219012304837081</v>
      </c>
    </row>
    <row r="950" spans="1:22" x14ac:dyDescent="0.3">
      <c r="A950" t="s">
        <v>1770</v>
      </c>
      <c r="B950" t="s">
        <v>1004</v>
      </c>
      <c r="C950" t="s">
        <v>395</v>
      </c>
      <c r="D950" t="s">
        <v>27</v>
      </c>
      <c r="E950" t="s">
        <v>43</v>
      </c>
      <c r="F950" t="s">
        <v>19</v>
      </c>
      <c r="G950" t="s">
        <v>36</v>
      </c>
      <c r="H950" t="s">
        <v>111</v>
      </c>
      <c r="I950">
        <v>680.58</v>
      </c>
      <c r="J950">
        <v>6</v>
      </c>
      <c r="K950" s="1">
        <v>0</v>
      </c>
      <c r="L950">
        <v>170.33</v>
      </c>
      <c r="M950" t="s">
        <v>117</v>
      </c>
      <c r="N950" t="s">
        <v>32</v>
      </c>
      <c r="O950" t="str">
        <f t="shared" si="84"/>
        <v>22/03/2025</v>
      </c>
      <c r="P950">
        <f t="shared" si="85"/>
        <v>2025</v>
      </c>
      <c r="Q950">
        <f t="shared" si="86"/>
        <v>3</v>
      </c>
      <c r="R950" t="str">
        <f t="shared" si="87"/>
        <v>March</v>
      </c>
      <c r="S950" t="str">
        <f t="shared" si="88"/>
        <v>No Discount</v>
      </c>
      <c r="T950" s="1">
        <f t="shared" si="89"/>
        <v>0.25027182697111289</v>
      </c>
      <c r="U950">
        <f>SUM($I$2:I950)</f>
        <v>3300452.66</v>
      </c>
      <c r="V950" s="1">
        <f>Table1[[#This Row],[Running total ]]/SUM(I:I)</f>
        <v>0.95238651284082709</v>
      </c>
    </row>
    <row r="951" spans="1:22" x14ac:dyDescent="0.3">
      <c r="A951" t="s">
        <v>1771</v>
      </c>
      <c r="B951" t="s">
        <v>1446</v>
      </c>
      <c r="C951" t="s">
        <v>186</v>
      </c>
      <c r="D951" t="s">
        <v>17</v>
      </c>
      <c r="E951" t="s">
        <v>18</v>
      </c>
      <c r="F951" t="s">
        <v>67</v>
      </c>
      <c r="G951" t="s">
        <v>85</v>
      </c>
      <c r="H951" t="s">
        <v>125</v>
      </c>
      <c r="I951">
        <v>2151.58</v>
      </c>
      <c r="J951">
        <v>2</v>
      </c>
      <c r="K951" s="1">
        <v>0.1</v>
      </c>
      <c r="L951">
        <v>717.01</v>
      </c>
      <c r="M951" t="s">
        <v>31</v>
      </c>
      <c r="N951" t="s">
        <v>76</v>
      </c>
      <c r="O951" t="str">
        <f t="shared" si="84"/>
        <v>31/10/2024</v>
      </c>
      <c r="P951">
        <f t="shared" si="85"/>
        <v>2024</v>
      </c>
      <c r="Q951">
        <f t="shared" si="86"/>
        <v>10</v>
      </c>
      <c r="R951" t="str">
        <f t="shared" si="87"/>
        <v>October</v>
      </c>
      <c r="S951" t="str">
        <f t="shared" si="88"/>
        <v>Low</v>
      </c>
      <c r="T951" s="1">
        <f t="shared" si="89"/>
        <v>0.3332481246339899</v>
      </c>
      <c r="U951">
        <f>SUM($I$2:I951)</f>
        <v>3302604.24</v>
      </c>
      <c r="V951" s="1">
        <f>Table1[[#This Row],[Running total ]]/SUM(I:I)</f>
        <v>0.95300737791128631</v>
      </c>
    </row>
    <row r="952" spans="1:22" x14ac:dyDescent="0.3">
      <c r="A952" t="s">
        <v>1772</v>
      </c>
      <c r="B952" t="s">
        <v>191</v>
      </c>
      <c r="C952" t="s">
        <v>289</v>
      </c>
      <c r="D952" t="s">
        <v>17</v>
      </c>
      <c r="E952" t="s">
        <v>18</v>
      </c>
      <c r="F952" t="s">
        <v>19</v>
      </c>
      <c r="G952" t="s">
        <v>29</v>
      </c>
      <c r="H952" t="s">
        <v>50</v>
      </c>
      <c r="I952">
        <v>3975.75</v>
      </c>
      <c r="J952">
        <v>9</v>
      </c>
      <c r="K952" s="1">
        <v>0.2</v>
      </c>
      <c r="L952">
        <v>155.88999999999999</v>
      </c>
      <c r="M952" t="s">
        <v>143</v>
      </c>
      <c r="N952" t="s">
        <v>76</v>
      </c>
      <c r="O952" t="str">
        <f t="shared" si="84"/>
        <v>17/09/2025</v>
      </c>
      <c r="P952">
        <f t="shared" si="85"/>
        <v>2025</v>
      </c>
      <c r="Q952">
        <f t="shared" si="86"/>
        <v>9</v>
      </c>
      <c r="R952" t="str">
        <f t="shared" si="87"/>
        <v>September</v>
      </c>
      <c r="S952" t="str">
        <f t="shared" si="88"/>
        <v>Low</v>
      </c>
      <c r="T952" s="1">
        <f t="shared" si="89"/>
        <v>3.9210211909702565E-2</v>
      </c>
      <c r="U952">
        <f>SUM($I$2:I952)</f>
        <v>3306579.99</v>
      </c>
      <c r="V952" s="1">
        <f>Table1[[#This Row],[Running total ]]/SUM(I:I)</f>
        <v>0.95415462983957988</v>
      </c>
    </row>
    <row r="953" spans="1:22" x14ac:dyDescent="0.3">
      <c r="A953" t="s">
        <v>1773</v>
      </c>
      <c r="B953" t="s">
        <v>1774</v>
      </c>
      <c r="C953" t="s">
        <v>771</v>
      </c>
      <c r="D953" t="s">
        <v>48</v>
      </c>
      <c r="E953" t="s">
        <v>73</v>
      </c>
      <c r="F953" t="s">
        <v>19</v>
      </c>
      <c r="G953" t="s">
        <v>29</v>
      </c>
      <c r="H953" t="s">
        <v>50</v>
      </c>
      <c r="I953">
        <v>892.93</v>
      </c>
      <c r="J953">
        <v>1</v>
      </c>
      <c r="K953" s="1">
        <v>0.2</v>
      </c>
      <c r="L953">
        <v>-127.16</v>
      </c>
      <c r="M953" t="s">
        <v>63</v>
      </c>
      <c r="N953" t="s">
        <v>76</v>
      </c>
      <c r="O953" t="str">
        <f t="shared" si="84"/>
        <v>03/03/2025</v>
      </c>
      <c r="P953">
        <f t="shared" si="85"/>
        <v>2025</v>
      </c>
      <c r="Q953">
        <f t="shared" si="86"/>
        <v>3</v>
      </c>
      <c r="R953" t="str">
        <f t="shared" si="87"/>
        <v>March</v>
      </c>
      <c r="S953" t="str">
        <f t="shared" si="88"/>
        <v>Low</v>
      </c>
      <c r="T953" s="1">
        <f t="shared" si="89"/>
        <v>-0.14240757954150943</v>
      </c>
      <c r="U953">
        <f>SUM($I$2:I953)</f>
        <v>3307472.9200000004</v>
      </c>
      <c r="V953" s="1">
        <f>Table1[[#This Row],[Running total ]]/SUM(I:I)</f>
        <v>0.95441229585588661</v>
      </c>
    </row>
    <row r="954" spans="1:22" x14ac:dyDescent="0.3">
      <c r="A954" t="s">
        <v>1775</v>
      </c>
      <c r="B954" t="s">
        <v>109</v>
      </c>
      <c r="C954" t="s">
        <v>455</v>
      </c>
      <c r="D954" t="s">
        <v>137</v>
      </c>
      <c r="E954" t="s">
        <v>242</v>
      </c>
      <c r="F954" t="s">
        <v>67</v>
      </c>
      <c r="G954" t="s">
        <v>85</v>
      </c>
      <c r="H954" t="s">
        <v>86</v>
      </c>
      <c r="I954">
        <v>8385.4</v>
      </c>
      <c r="J954">
        <v>10</v>
      </c>
      <c r="K954" s="1">
        <v>0</v>
      </c>
      <c r="L954">
        <v>729.15</v>
      </c>
      <c r="M954" t="s">
        <v>117</v>
      </c>
      <c r="N954" t="s">
        <v>39</v>
      </c>
      <c r="O954" t="str">
        <f t="shared" si="84"/>
        <v>08/05/2025</v>
      </c>
      <c r="P954">
        <f t="shared" si="85"/>
        <v>2025</v>
      </c>
      <c r="Q954">
        <f t="shared" si="86"/>
        <v>5</v>
      </c>
      <c r="R954" t="str">
        <f t="shared" si="87"/>
        <v>May</v>
      </c>
      <c r="S954" t="str">
        <f t="shared" si="88"/>
        <v>No Discount</v>
      </c>
      <c r="T954" s="1">
        <f t="shared" si="89"/>
        <v>8.6954706990721969E-2</v>
      </c>
      <c r="U954">
        <f>SUM($I$2:I954)</f>
        <v>3315858.3200000003</v>
      </c>
      <c r="V954" s="1">
        <f>Table1[[#This Row],[Running total ]]/SUM(I:I)</f>
        <v>0.95683200693417714</v>
      </c>
    </row>
    <row r="955" spans="1:22" x14ac:dyDescent="0.3">
      <c r="A955" t="s">
        <v>1776</v>
      </c>
      <c r="B955" t="s">
        <v>1777</v>
      </c>
      <c r="C955" t="s">
        <v>132</v>
      </c>
      <c r="D955" t="s">
        <v>137</v>
      </c>
      <c r="E955" t="s">
        <v>160</v>
      </c>
      <c r="F955" t="s">
        <v>19</v>
      </c>
      <c r="G955" t="s">
        <v>29</v>
      </c>
      <c r="H955" t="s">
        <v>50</v>
      </c>
      <c r="I955">
        <v>38.56</v>
      </c>
      <c r="J955">
        <v>1</v>
      </c>
      <c r="K955" s="1">
        <v>0</v>
      </c>
      <c r="L955">
        <v>8.7799999999999994</v>
      </c>
      <c r="M955" t="s">
        <v>44</v>
      </c>
      <c r="N955" t="s">
        <v>39</v>
      </c>
      <c r="O955" t="str">
        <f t="shared" si="84"/>
        <v>30/06/2024</v>
      </c>
      <c r="P955">
        <f t="shared" si="85"/>
        <v>2024</v>
      </c>
      <c r="Q955">
        <f t="shared" si="86"/>
        <v>6</v>
      </c>
      <c r="R955" t="str">
        <f t="shared" si="87"/>
        <v>June</v>
      </c>
      <c r="S955" t="str">
        <f t="shared" si="88"/>
        <v>No Discount</v>
      </c>
      <c r="T955" s="1">
        <f t="shared" si="89"/>
        <v>0.22769709543568462</v>
      </c>
      <c r="U955">
        <f>SUM($I$2:I955)</f>
        <v>3315896.8800000004</v>
      </c>
      <c r="V955" s="1">
        <f>Table1[[#This Row],[Running total ]]/SUM(I:I)</f>
        <v>0.9568431338999962</v>
      </c>
    </row>
    <row r="956" spans="1:22" x14ac:dyDescent="0.3">
      <c r="A956" t="s">
        <v>1778</v>
      </c>
      <c r="B956" t="s">
        <v>1429</v>
      </c>
      <c r="C956" t="s">
        <v>83</v>
      </c>
      <c r="D956" t="s">
        <v>48</v>
      </c>
      <c r="E956" t="s">
        <v>49</v>
      </c>
      <c r="F956" t="s">
        <v>67</v>
      </c>
      <c r="G956" t="s">
        <v>85</v>
      </c>
      <c r="H956" t="s">
        <v>253</v>
      </c>
      <c r="I956">
        <v>1980.54</v>
      </c>
      <c r="J956">
        <v>6</v>
      </c>
      <c r="K956" s="1">
        <v>0.05</v>
      </c>
      <c r="L956">
        <v>73.11</v>
      </c>
      <c r="M956" t="s">
        <v>117</v>
      </c>
      <c r="N956" t="s">
        <v>39</v>
      </c>
      <c r="O956" t="str">
        <f t="shared" si="84"/>
        <v>29/08/2025</v>
      </c>
      <c r="P956">
        <f t="shared" si="85"/>
        <v>2025</v>
      </c>
      <c r="Q956">
        <f t="shared" si="86"/>
        <v>8</v>
      </c>
      <c r="R956" t="str">
        <f t="shared" si="87"/>
        <v>August</v>
      </c>
      <c r="S956" t="str">
        <f t="shared" si="88"/>
        <v>High</v>
      </c>
      <c r="T956" s="1">
        <f t="shared" si="89"/>
        <v>3.6914174921990971E-2</v>
      </c>
      <c r="U956">
        <f>SUM($I$2:I956)</f>
        <v>3317877.4200000004</v>
      </c>
      <c r="V956" s="1">
        <f>Table1[[#This Row],[Running total ]]/SUM(I:I)</f>
        <v>0.95741464325900083</v>
      </c>
    </row>
    <row r="957" spans="1:22" x14ac:dyDescent="0.3">
      <c r="A957" t="s">
        <v>1779</v>
      </c>
      <c r="B957" t="s">
        <v>985</v>
      </c>
      <c r="C957" t="s">
        <v>608</v>
      </c>
      <c r="D957" t="s">
        <v>17</v>
      </c>
      <c r="E957" t="s">
        <v>97</v>
      </c>
      <c r="F957" t="s">
        <v>55</v>
      </c>
      <c r="G957" t="s">
        <v>98</v>
      </c>
      <c r="H957" t="s">
        <v>99</v>
      </c>
      <c r="I957">
        <v>7100.6</v>
      </c>
      <c r="J957">
        <v>10</v>
      </c>
      <c r="K957" s="1">
        <v>0.15</v>
      </c>
      <c r="L957">
        <v>43.14</v>
      </c>
      <c r="M957" t="s">
        <v>143</v>
      </c>
      <c r="N957" t="s">
        <v>39</v>
      </c>
      <c r="O957" t="str">
        <f t="shared" si="84"/>
        <v>06/03/2025</v>
      </c>
      <c r="P957">
        <f t="shared" si="85"/>
        <v>2025</v>
      </c>
      <c r="Q957">
        <f t="shared" si="86"/>
        <v>3</v>
      </c>
      <c r="R957" t="str">
        <f t="shared" si="87"/>
        <v>March</v>
      </c>
      <c r="S957" t="str">
        <f t="shared" si="88"/>
        <v>Low</v>
      </c>
      <c r="T957" s="1">
        <f t="shared" si="89"/>
        <v>6.0755429118666028E-3</v>
      </c>
      <c r="U957">
        <f>SUM($I$2:I957)</f>
        <v>3324978.0200000005</v>
      </c>
      <c r="V957" s="1">
        <f>Table1[[#This Row],[Running total ]]/SUM(I:I)</f>
        <v>0.95946360937659936</v>
      </c>
    </row>
    <row r="958" spans="1:22" x14ac:dyDescent="0.3">
      <c r="A958" t="s">
        <v>1780</v>
      </c>
      <c r="B958" t="s">
        <v>315</v>
      </c>
      <c r="C958" t="s">
        <v>289</v>
      </c>
      <c r="D958" t="s">
        <v>48</v>
      </c>
      <c r="E958" t="s">
        <v>110</v>
      </c>
      <c r="F958" t="s">
        <v>67</v>
      </c>
      <c r="G958" t="s">
        <v>68</v>
      </c>
      <c r="H958" t="s">
        <v>69</v>
      </c>
      <c r="I958">
        <v>2096.9499999999998</v>
      </c>
      <c r="J958">
        <v>5</v>
      </c>
      <c r="K958" s="1">
        <v>0.2</v>
      </c>
      <c r="L958">
        <v>342.93</v>
      </c>
      <c r="M958" t="s">
        <v>117</v>
      </c>
      <c r="N958" t="s">
        <v>23</v>
      </c>
      <c r="O958" t="str">
        <f t="shared" si="84"/>
        <v>16/09/2024</v>
      </c>
      <c r="P958">
        <f t="shared" si="85"/>
        <v>2024</v>
      </c>
      <c r="Q958">
        <f t="shared" si="86"/>
        <v>9</v>
      </c>
      <c r="R958" t="str">
        <f t="shared" si="87"/>
        <v>September</v>
      </c>
      <c r="S958" t="str">
        <f t="shared" si="88"/>
        <v>Low</v>
      </c>
      <c r="T958" s="1">
        <f t="shared" si="89"/>
        <v>0.16353751877727177</v>
      </c>
      <c r="U958">
        <f>SUM($I$2:I958)</f>
        <v>3327074.9700000007</v>
      </c>
      <c r="V958" s="1">
        <f>Table1[[#This Row],[Running total ]]/SUM(I:I)</f>
        <v>0.96006871028360696</v>
      </c>
    </row>
    <row r="959" spans="1:22" x14ac:dyDescent="0.3">
      <c r="A959" t="s">
        <v>1781</v>
      </c>
      <c r="B959" t="s">
        <v>1609</v>
      </c>
      <c r="C959" t="s">
        <v>324</v>
      </c>
      <c r="D959" t="s">
        <v>27</v>
      </c>
      <c r="E959" t="s">
        <v>28</v>
      </c>
      <c r="F959" t="s">
        <v>19</v>
      </c>
      <c r="G959" t="s">
        <v>29</v>
      </c>
      <c r="H959" t="s">
        <v>50</v>
      </c>
      <c r="I959">
        <v>4721.04</v>
      </c>
      <c r="J959">
        <v>8</v>
      </c>
      <c r="K959" s="1">
        <v>0.05</v>
      </c>
      <c r="L959">
        <v>1382.34</v>
      </c>
      <c r="M959" t="s">
        <v>31</v>
      </c>
      <c r="N959" t="s">
        <v>23</v>
      </c>
      <c r="O959" t="str">
        <f t="shared" si="84"/>
        <v>11/05/2024</v>
      </c>
      <c r="P959">
        <f t="shared" si="85"/>
        <v>2024</v>
      </c>
      <c r="Q959">
        <f t="shared" si="86"/>
        <v>5</v>
      </c>
      <c r="R959" t="str">
        <f t="shared" si="87"/>
        <v>May</v>
      </c>
      <c r="S959" t="str">
        <f t="shared" si="88"/>
        <v>High</v>
      </c>
      <c r="T959" s="1">
        <f t="shared" si="89"/>
        <v>0.29280412790402111</v>
      </c>
      <c r="U959">
        <f>SUM($I$2:I959)</f>
        <v>3331796.0100000007</v>
      </c>
      <c r="V959" s="1">
        <f>Table1[[#This Row],[Running total ]]/SUM(I:I)</f>
        <v>0.9614310248767155</v>
      </c>
    </row>
    <row r="960" spans="1:22" x14ac:dyDescent="0.3">
      <c r="A960" t="s">
        <v>1782</v>
      </c>
      <c r="B960" t="s">
        <v>89</v>
      </c>
      <c r="C960" t="s">
        <v>281</v>
      </c>
      <c r="D960" t="s">
        <v>27</v>
      </c>
      <c r="E960" t="s">
        <v>43</v>
      </c>
      <c r="F960" t="s">
        <v>67</v>
      </c>
      <c r="G960" t="s">
        <v>115</v>
      </c>
      <c r="H960" t="s">
        <v>116</v>
      </c>
      <c r="I960">
        <v>8636.94</v>
      </c>
      <c r="J960">
        <v>9</v>
      </c>
      <c r="K960" s="1">
        <v>0.2</v>
      </c>
      <c r="L960">
        <v>597.38</v>
      </c>
      <c r="M960" t="s">
        <v>31</v>
      </c>
      <c r="N960" t="s">
        <v>32</v>
      </c>
      <c r="O960" t="str">
        <f t="shared" si="84"/>
        <v>16/05/2024</v>
      </c>
      <c r="P960">
        <f t="shared" si="85"/>
        <v>2024</v>
      </c>
      <c r="Q960">
        <f t="shared" si="86"/>
        <v>5</v>
      </c>
      <c r="R960" t="str">
        <f t="shared" si="87"/>
        <v>May</v>
      </c>
      <c r="S960" t="str">
        <f t="shared" si="88"/>
        <v>Low</v>
      </c>
      <c r="T960" s="1">
        <f t="shared" si="89"/>
        <v>6.9165699889081084E-2</v>
      </c>
      <c r="U960">
        <f>SUM($I$2:I960)</f>
        <v>3340432.9500000007</v>
      </c>
      <c r="V960" s="1">
        <f>Table1[[#This Row],[Running total ]]/SUM(I:I)</f>
        <v>0.96392332093898214</v>
      </c>
    </row>
    <row r="961" spans="1:22" x14ac:dyDescent="0.3">
      <c r="A961" t="s">
        <v>1783</v>
      </c>
      <c r="B961" t="s">
        <v>15</v>
      </c>
      <c r="C961" t="s">
        <v>1006</v>
      </c>
      <c r="D961" t="s">
        <v>137</v>
      </c>
      <c r="E961" t="s">
        <v>160</v>
      </c>
      <c r="F961" t="s">
        <v>55</v>
      </c>
      <c r="G961" t="s">
        <v>56</v>
      </c>
      <c r="H961" t="s">
        <v>129</v>
      </c>
      <c r="I961">
        <v>2921.52</v>
      </c>
      <c r="J961">
        <v>4</v>
      </c>
      <c r="K961" s="1">
        <v>0.25</v>
      </c>
      <c r="L961">
        <v>209.28</v>
      </c>
      <c r="M961" t="s">
        <v>44</v>
      </c>
      <c r="N961" t="s">
        <v>76</v>
      </c>
      <c r="O961" t="str">
        <f t="shared" si="84"/>
        <v>31/01/2025</v>
      </c>
      <c r="P961">
        <f t="shared" si="85"/>
        <v>2025</v>
      </c>
      <c r="Q961">
        <f t="shared" si="86"/>
        <v>1</v>
      </c>
      <c r="R961" t="str">
        <f t="shared" si="87"/>
        <v>January</v>
      </c>
      <c r="S961" t="str">
        <f t="shared" si="88"/>
        <v>Low</v>
      </c>
      <c r="T961" s="1">
        <f t="shared" si="89"/>
        <v>7.1633943974369507E-2</v>
      </c>
      <c r="U961">
        <f>SUM($I$2:I961)</f>
        <v>3343354.4700000007</v>
      </c>
      <c r="V961" s="1">
        <f>Table1[[#This Row],[Running total ]]/SUM(I:I)</f>
        <v>0.96476636173720853</v>
      </c>
    </row>
    <row r="962" spans="1:22" x14ac:dyDescent="0.3">
      <c r="A962" t="s">
        <v>1784</v>
      </c>
      <c r="B962" t="s">
        <v>1785</v>
      </c>
      <c r="C962" t="s">
        <v>211</v>
      </c>
      <c r="D962" t="s">
        <v>137</v>
      </c>
      <c r="E962" t="s">
        <v>160</v>
      </c>
      <c r="F962" t="s">
        <v>19</v>
      </c>
      <c r="G962" t="s">
        <v>29</v>
      </c>
      <c r="H962" t="s">
        <v>199</v>
      </c>
      <c r="I962">
        <v>1065.1400000000001</v>
      </c>
      <c r="J962">
        <v>1</v>
      </c>
      <c r="K962" s="1">
        <v>0.15</v>
      </c>
      <c r="L962">
        <v>216.92</v>
      </c>
      <c r="M962" t="s">
        <v>117</v>
      </c>
      <c r="N962" t="s">
        <v>39</v>
      </c>
      <c r="O962" t="str">
        <f t="shared" si="84"/>
        <v>16/07/2024</v>
      </c>
      <c r="P962">
        <f t="shared" si="85"/>
        <v>2024</v>
      </c>
      <c r="Q962">
        <f t="shared" si="86"/>
        <v>7</v>
      </c>
      <c r="R962" t="str">
        <f t="shared" si="87"/>
        <v>July</v>
      </c>
      <c r="S962" t="str">
        <f t="shared" si="88"/>
        <v>Low</v>
      </c>
      <c r="T962" s="1">
        <f t="shared" si="89"/>
        <v>0.20365397975852936</v>
      </c>
      <c r="U962">
        <f>SUM($I$2:I962)</f>
        <v>3344419.6100000008</v>
      </c>
      <c r="V962" s="1">
        <f>Table1[[#This Row],[Running total ]]/SUM(I:I)</f>
        <v>0.96507372108296796</v>
      </c>
    </row>
    <row r="963" spans="1:22" x14ac:dyDescent="0.3">
      <c r="A963" t="s">
        <v>1786</v>
      </c>
      <c r="B963" t="s">
        <v>1787</v>
      </c>
      <c r="C963" t="s">
        <v>169</v>
      </c>
      <c r="D963" t="s">
        <v>27</v>
      </c>
      <c r="E963" t="s">
        <v>124</v>
      </c>
      <c r="F963" t="s">
        <v>55</v>
      </c>
      <c r="G963" t="s">
        <v>74</v>
      </c>
      <c r="H963" t="s">
        <v>133</v>
      </c>
      <c r="I963">
        <v>3447</v>
      </c>
      <c r="J963">
        <v>3</v>
      </c>
      <c r="K963" s="1">
        <v>0.2</v>
      </c>
      <c r="L963">
        <v>686.58</v>
      </c>
      <c r="M963" t="s">
        <v>87</v>
      </c>
      <c r="N963" t="s">
        <v>32</v>
      </c>
      <c r="O963" t="str">
        <f t="shared" ref="O963:O1001" si="90">TEXT(B963,"dd/mm/yyyy")</f>
        <v>14/05/2024</v>
      </c>
      <c r="P963">
        <f t="shared" ref="P963:P1001" si="91">YEAR(O963)</f>
        <v>2024</v>
      </c>
      <c r="Q963">
        <f t="shared" ref="Q963:Q1001" si="92">MONTH(O963)</f>
        <v>5</v>
      </c>
      <c r="R963" t="str">
        <f t="shared" ref="R963:R1001" si="93">TEXT(O963,"mmmm")</f>
        <v>May</v>
      </c>
      <c r="S963" t="str">
        <f t="shared" ref="S963:S1001" si="94">IF(K963=0,"No Discount",IF(K963&gt;=0.1,"Low",IF(K963&gt;=0.2,"Medium","High")))</f>
        <v>Low</v>
      </c>
      <c r="T963" s="1">
        <f t="shared" ref="T963:T1001" si="95">SUM(L963)/SUM(I963)</f>
        <v>0.19918189730200175</v>
      </c>
      <c r="U963">
        <f>SUM($I$2:I963)</f>
        <v>3347866.6100000008</v>
      </c>
      <c r="V963" s="1">
        <f>Table1[[#This Row],[Running total ]]/SUM(I:I)</f>
        <v>0.96606839564671776</v>
      </c>
    </row>
    <row r="964" spans="1:22" x14ac:dyDescent="0.3">
      <c r="A964" t="s">
        <v>1788</v>
      </c>
      <c r="B964" t="s">
        <v>1272</v>
      </c>
      <c r="C964" t="s">
        <v>286</v>
      </c>
      <c r="D964" t="s">
        <v>27</v>
      </c>
      <c r="E964" t="s">
        <v>124</v>
      </c>
      <c r="F964" t="s">
        <v>67</v>
      </c>
      <c r="G964" t="s">
        <v>85</v>
      </c>
      <c r="H964" t="s">
        <v>125</v>
      </c>
      <c r="I964">
        <v>5534.05</v>
      </c>
      <c r="J964">
        <v>5</v>
      </c>
      <c r="K964" s="1">
        <v>0.15</v>
      </c>
      <c r="L964">
        <v>977.7</v>
      </c>
      <c r="M964" t="s">
        <v>87</v>
      </c>
      <c r="N964" t="s">
        <v>39</v>
      </c>
      <c r="O964" t="str">
        <f t="shared" si="90"/>
        <v>22/07/2024</v>
      </c>
      <c r="P964">
        <f t="shared" si="91"/>
        <v>2024</v>
      </c>
      <c r="Q964">
        <f t="shared" si="92"/>
        <v>7</v>
      </c>
      <c r="R964" t="str">
        <f t="shared" si="93"/>
        <v>July</v>
      </c>
      <c r="S964" t="str">
        <f t="shared" si="94"/>
        <v>Low</v>
      </c>
      <c r="T964" s="1">
        <f t="shared" si="95"/>
        <v>0.17666988914086429</v>
      </c>
      <c r="U964">
        <f>SUM($I$2:I964)</f>
        <v>3353400.6600000006</v>
      </c>
      <c r="V964" s="1">
        <f>Table1[[#This Row],[Running total ]]/SUM(I:I)</f>
        <v>0.96766531434979841</v>
      </c>
    </row>
    <row r="965" spans="1:22" x14ac:dyDescent="0.3">
      <c r="A965" t="s">
        <v>1789</v>
      </c>
      <c r="B965" t="s">
        <v>1389</v>
      </c>
      <c r="C965" t="s">
        <v>202</v>
      </c>
      <c r="D965" t="s">
        <v>137</v>
      </c>
      <c r="E965" t="s">
        <v>142</v>
      </c>
      <c r="F965" t="s">
        <v>55</v>
      </c>
      <c r="G965" t="s">
        <v>56</v>
      </c>
      <c r="H965" t="s">
        <v>129</v>
      </c>
      <c r="I965">
        <v>2598.7199999999998</v>
      </c>
      <c r="J965">
        <v>4</v>
      </c>
      <c r="K965" s="1">
        <v>0.1</v>
      </c>
      <c r="L965">
        <v>679.71</v>
      </c>
      <c r="M965" t="s">
        <v>117</v>
      </c>
      <c r="N965" t="s">
        <v>32</v>
      </c>
      <c r="O965" t="str">
        <f t="shared" si="90"/>
        <v>24/04/2024</v>
      </c>
      <c r="P965">
        <f t="shared" si="91"/>
        <v>2024</v>
      </c>
      <c r="Q965">
        <f t="shared" si="92"/>
        <v>4</v>
      </c>
      <c r="R965" t="str">
        <f t="shared" si="93"/>
        <v>April</v>
      </c>
      <c r="S965" t="str">
        <f t="shared" si="94"/>
        <v>Low</v>
      </c>
      <c r="T965" s="1">
        <f t="shared" si="95"/>
        <v>0.26155568895456227</v>
      </c>
      <c r="U965">
        <f>SUM($I$2:I965)</f>
        <v>3355999.3800000008</v>
      </c>
      <c r="V965" s="1">
        <f>Table1[[#This Row],[Running total ]]/SUM(I:I)</f>
        <v>0.96841520720802532</v>
      </c>
    </row>
    <row r="966" spans="1:22" x14ac:dyDescent="0.3">
      <c r="A966" t="s">
        <v>1790</v>
      </c>
      <c r="B966" t="s">
        <v>1681</v>
      </c>
      <c r="C966" t="s">
        <v>519</v>
      </c>
      <c r="D966" t="s">
        <v>48</v>
      </c>
      <c r="E966" t="s">
        <v>84</v>
      </c>
      <c r="F966" t="s">
        <v>55</v>
      </c>
      <c r="G966" t="s">
        <v>74</v>
      </c>
      <c r="H966" t="s">
        <v>272</v>
      </c>
      <c r="I966">
        <v>1545.63</v>
      </c>
      <c r="J966">
        <v>3</v>
      </c>
      <c r="K966" s="1">
        <v>0.05</v>
      </c>
      <c r="L966">
        <v>274.3</v>
      </c>
      <c r="M966" t="s">
        <v>195</v>
      </c>
      <c r="N966" t="s">
        <v>76</v>
      </c>
      <c r="O966" t="str">
        <f t="shared" si="90"/>
        <v>19/05/2024</v>
      </c>
      <c r="P966">
        <f t="shared" si="91"/>
        <v>2024</v>
      </c>
      <c r="Q966">
        <f t="shared" si="92"/>
        <v>5</v>
      </c>
      <c r="R966" t="str">
        <f t="shared" si="93"/>
        <v>May</v>
      </c>
      <c r="S966" t="str">
        <f t="shared" si="94"/>
        <v>High</v>
      </c>
      <c r="T966" s="1">
        <f t="shared" si="95"/>
        <v>0.17746808744654283</v>
      </c>
      <c r="U966">
        <f>SUM($I$2:I966)</f>
        <v>3357545.0100000007</v>
      </c>
      <c r="V966" s="1">
        <f>Table1[[#This Row],[Running total ]]/SUM(I:I)</f>
        <v>0.96886121789731128</v>
      </c>
    </row>
    <row r="967" spans="1:22" x14ac:dyDescent="0.3">
      <c r="A967" t="s">
        <v>1791</v>
      </c>
      <c r="B967" t="s">
        <v>304</v>
      </c>
      <c r="C967" t="s">
        <v>205</v>
      </c>
      <c r="D967" t="s">
        <v>48</v>
      </c>
      <c r="E967" t="s">
        <v>84</v>
      </c>
      <c r="F967" t="s">
        <v>19</v>
      </c>
      <c r="G967" t="s">
        <v>20</v>
      </c>
      <c r="H967" t="s">
        <v>239</v>
      </c>
      <c r="I967">
        <v>569.14</v>
      </c>
      <c r="J967">
        <v>2</v>
      </c>
      <c r="K967" s="1">
        <v>0.15</v>
      </c>
      <c r="L967">
        <v>105.8</v>
      </c>
      <c r="M967" t="s">
        <v>31</v>
      </c>
      <c r="N967" t="s">
        <v>32</v>
      </c>
      <c r="O967" t="str">
        <f t="shared" si="90"/>
        <v>11/01/2024</v>
      </c>
      <c r="P967">
        <f t="shared" si="91"/>
        <v>2024</v>
      </c>
      <c r="Q967">
        <f t="shared" si="92"/>
        <v>1</v>
      </c>
      <c r="R967" t="str">
        <f t="shared" si="93"/>
        <v>January</v>
      </c>
      <c r="S967" t="str">
        <f t="shared" si="94"/>
        <v>Low</v>
      </c>
      <c r="T967" s="1">
        <f t="shared" si="95"/>
        <v>0.18589450750254771</v>
      </c>
      <c r="U967">
        <f>SUM($I$2:I967)</f>
        <v>3358114.1500000008</v>
      </c>
      <c r="V967" s="1">
        <f>Table1[[#This Row],[Running total ]]/SUM(I:I)</f>
        <v>0.96902545029685072</v>
      </c>
    </row>
    <row r="968" spans="1:22" x14ac:dyDescent="0.3">
      <c r="A968" t="s">
        <v>1792</v>
      </c>
      <c r="B968" t="s">
        <v>274</v>
      </c>
      <c r="C968" t="s">
        <v>571</v>
      </c>
      <c r="D968" t="s">
        <v>137</v>
      </c>
      <c r="E968" t="s">
        <v>138</v>
      </c>
      <c r="F968" t="s">
        <v>55</v>
      </c>
      <c r="G968" t="s">
        <v>98</v>
      </c>
      <c r="H968" t="s">
        <v>154</v>
      </c>
      <c r="I968">
        <v>5968.15</v>
      </c>
      <c r="J968">
        <v>5</v>
      </c>
      <c r="K968" s="1">
        <v>0.15</v>
      </c>
      <c r="L968">
        <v>-307.77</v>
      </c>
      <c r="M968" t="s">
        <v>107</v>
      </c>
      <c r="N968" t="s">
        <v>32</v>
      </c>
      <c r="O968" t="str">
        <f t="shared" si="90"/>
        <v>09/11/2024</v>
      </c>
      <c r="P968">
        <f t="shared" si="91"/>
        <v>2024</v>
      </c>
      <c r="Q968">
        <f t="shared" si="92"/>
        <v>11</v>
      </c>
      <c r="R968" t="str">
        <f t="shared" si="93"/>
        <v>November</v>
      </c>
      <c r="S968" t="str">
        <f t="shared" si="94"/>
        <v>Low</v>
      </c>
      <c r="T968" s="1">
        <f t="shared" si="95"/>
        <v>-5.1568744083174856E-2</v>
      </c>
      <c r="U968">
        <f>SUM($I$2:I968)</f>
        <v>3364082.3000000007</v>
      </c>
      <c r="V968" s="1">
        <f>Table1[[#This Row],[Running total ]]/SUM(I:I)</f>
        <v>0.97074763393411301</v>
      </c>
    </row>
    <row r="969" spans="1:22" x14ac:dyDescent="0.3">
      <c r="A969" t="s">
        <v>1793</v>
      </c>
      <c r="B969" t="s">
        <v>1794</v>
      </c>
      <c r="C969" t="s">
        <v>355</v>
      </c>
      <c r="D969" t="s">
        <v>137</v>
      </c>
      <c r="E969" t="s">
        <v>242</v>
      </c>
      <c r="F969" t="s">
        <v>55</v>
      </c>
      <c r="G969" t="s">
        <v>98</v>
      </c>
      <c r="H969" t="s">
        <v>154</v>
      </c>
      <c r="I969">
        <v>7458.1</v>
      </c>
      <c r="J969">
        <v>10</v>
      </c>
      <c r="K969" s="1">
        <v>0.15</v>
      </c>
      <c r="L969">
        <v>1437.34</v>
      </c>
      <c r="M969" t="s">
        <v>117</v>
      </c>
      <c r="N969" t="s">
        <v>76</v>
      </c>
      <c r="O969" t="str">
        <f t="shared" si="90"/>
        <v>22/01/2025</v>
      </c>
      <c r="P969">
        <f t="shared" si="91"/>
        <v>2025</v>
      </c>
      <c r="Q969">
        <f t="shared" si="92"/>
        <v>1</v>
      </c>
      <c r="R969" t="str">
        <f t="shared" si="93"/>
        <v>January</v>
      </c>
      <c r="S969" t="str">
        <f t="shared" si="94"/>
        <v>Low</v>
      </c>
      <c r="T969" s="1">
        <f t="shared" si="95"/>
        <v>0.19272200694546868</v>
      </c>
      <c r="U969">
        <f>SUM($I$2:I969)</f>
        <v>3371540.4000000008</v>
      </c>
      <c r="V969" s="1">
        <f>Table1[[#This Row],[Running total ]]/SUM(I:I)</f>
        <v>0.97289976110669862</v>
      </c>
    </row>
    <row r="970" spans="1:22" x14ac:dyDescent="0.3">
      <c r="A970" t="s">
        <v>1795</v>
      </c>
      <c r="B970" t="s">
        <v>1796</v>
      </c>
      <c r="C970" t="s">
        <v>395</v>
      </c>
      <c r="D970" t="s">
        <v>27</v>
      </c>
      <c r="E970" t="s">
        <v>28</v>
      </c>
      <c r="F970" t="s">
        <v>55</v>
      </c>
      <c r="G970" t="s">
        <v>74</v>
      </c>
      <c r="H970" t="s">
        <v>133</v>
      </c>
      <c r="I970">
        <v>617.82000000000005</v>
      </c>
      <c r="J970">
        <v>3</v>
      </c>
      <c r="K970" s="1">
        <v>0.05</v>
      </c>
      <c r="L970">
        <v>128.08000000000001</v>
      </c>
      <c r="M970" t="s">
        <v>63</v>
      </c>
      <c r="N970" t="s">
        <v>32</v>
      </c>
      <c r="O970" t="str">
        <f t="shared" si="90"/>
        <v>22/10/2024</v>
      </c>
      <c r="P970">
        <f t="shared" si="91"/>
        <v>2024</v>
      </c>
      <c r="Q970">
        <f t="shared" si="92"/>
        <v>10</v>
      </c>
      <c r="R970" t="str">
        <f t="shared" si="93"/>
        <v>October</v>
      </c>
      <c r="S970" t="str">
        <f t="shared" si="94"/>
        <v>High</v>
      </c>
      <c r="T970" s="1">
        <f t="shared" si="95"/>
        <v>0.2073095723673562</v>
      </c>
      <c r="U970">
        <f>SUM($I$2:I970)</f>
        <v>3372158.2200000007</v>
      </c>
      <c r="V970" s="1">
        <f>Table1[[#This Row],[Running total ]]/SUM(I:I)</f>
        <v>0.97307804072345971</v>
      </c>
    </row>
    <row r="971" spans="1:22" x14ac:dyDescent="0.3">
      <c r="A971" t="s">
        <v>1797</v>
      </c>
      <c r="B971" t="s">
        <v>331</v>
      </c>
      <c r="C971" t="s">
        <v>824</v>
      </c>
      <c r="D971" t="s">
        <v>17</v>
      </c>
      <c r="E971" t="s">
        <v>97</v>
      </c>
      <c r="F971" t="s">
        <v>19</v>
      </c>
      <c r="G971" t="s">
        <v>36</v>
      </c>
      <c r="H971" t="s">
        <v>222</v>
      </c>
      <c r="I971">
        <v>942.36</v>
      </c>
      <c r="J971">
        <v>4</v>
      </c>
      <c r="K971" s="1">
        <v>0.3</v>
      </c>
      <c r="L971">
        <v>-23.18</v>
      </c>
      <c r="M971" t="s">
        <v>22</v>
      </c>
      <c r="N971" t="s">
        <v>39</v>
      </c>
      <c r="O971" t="str">
        <f t="shared" si="90"/>
        <v>20/06/2025</v>
      </c>
      <c r="P971">
        <f t="shared" si="91"/>
        <v>2025</v>
      </c>
      <c r="Q971">
        <f t="shared" si="92"/>
        <v>6</v>
      </c>
      <c r="R971" t="str">
        <f t="shared" si="93"/>
        <v>June</v>
      </c>
      <c r="S971" t="str">
        <f t="shared" si="94"/>
        <v>Low</v>
      </c>
      <c r="T971" s="1">
        <f t="shared" si="95"/>
        <v>-2.4597818243558726E-2</v>
      </c>
      <c r="U971">
        <f>SUM($I$2:I971)</f>
        <v>3373100.5800000005</v>
      </c>
      <c r="V971" s="1">
        <f>Table1[[#This Row],[Running total ]]/SUM(I:I)</f>
        <v>0.97334997037878179</v>
      </c>
    </row>
    <row r="972" spans="1:22" x14ac:dyDescent="0.3">
      <c r="A972" t="s">
        <v>1798</v>
      </c>
      <c r="B972" t="s">
        <v>1171</v>
      </c>
      <c r="C972" t="s">
        <v>551</v>
      </c>
      <c r="D972" t="s">
        <v>137</v>
      </c>
      <c r="E972" t="s">
        <v>242</v>
      </c>
      <c r="F972" t="s">
        <v>67</v>
      </c>
      <c r="G972" t="s">
        <v>85</v>
      </c>
      <c r="H972" t="s">
        <v>125</v>
      </c>
      <c r="I972">
        <v>2154.36</v>
      </c>
      <c r="J972">
        <v>3</v>
      </c>
      <c r="K972" s="1">
        <v>0.25</v>
      </c>
      <c r="L972">
        <v>-332.03</v>
      </c>
      <c r="M972" t="s">
        <v>44</v>
      </c>
      <c r="N972" t="s">
        <v>76</v>
      </c>
      <c r="O972" t="str">
        <f t="shared" si="90"/>
        <v>25/09/2024</v>
      </c>
      <c r="P972">
        <f t="shared" si="91"/>
        <v>2024</v>
      </c>
      <c r="Q972">
        <f t="shared" si="92"/>
        <v>9</v>
      </c>
      <c r="R972" t="str">
        <f t="shared" si="93"/>
        <v>September</v>
      </c>
      <c r="S972" t="str">
        <f t="shared" si="94"/>
        <v>Low</v>
      </c>
      <c r="T972" s="1">
        <f t="shared" si="95"/>
        <v>-0.15412001708163908</v>
      </c>
      <c r="U972">
        <f>SUM($I$2:I972)</f>
        <v>3375254.9400000004</v>
      </c>
      <c r="V972" s="1">
        <f>Table1[[#This Row],[Running total ]]/SUM(I:I)</f>
        <v>0.97397163765268957</v>
      </c>
    </row>
    <row r="973" spans="1:22" x14ac:dyDescent="0.3">
      <c r="A973" t="s">
        <v>1799</v>
      </c>
      <c r="B973" t="s">
        <v>839</v>
      </c>
      <c r="C973" t="s">
        <v>859</v>
      </c>
      <c r="D973" t="s">
        <v>137</v>
      </c>
      <c r="E973" t="s">
        <v>160</v>
      </c>
      <c r="F973" t="s">
        <v>55</v>
      </c>
      <c r="G973" t="s">
        <v>56</v>
      </c>
      <c r="H973" t="s">
        <v>62</v>
      </c>
      <c r="I973">
        <v>3565.6</v>
      </c>
      <c r="J973">
        <v>5</v>
      </c>
      <c r="K973" s="1">
        <v>0.3</v>
      </c>
      <c r="L973">
        <v>224.18</v>
      </c>
      <c r="M973" t="s">
        <v>117</v>
      </c>
      <c r="N973" t="s">
        <v>39</v>
      </c>
      <c r="O973" t="str">
        <f t="shared" si="90"/>
        <v>24/06/2025</v>
      </c>
      <c r="P973">
        <f t="shared" si="91"/>
        <v>2025</v>
      </c>
      <c r="Q973">
        <f t="shared" si="92"/>
        <v>6</v>
      </c>
      <c r="R973" t="str">
        <f t="shared" si="93"/>
        <v>June</v>
      </c>
      <c r="S973" t="str">
        <f t="shared" si="94"/>
        <v>Low</v>
      </c>
      <c r="T973" s="1">
        <f t="shared" si="95"/>
        <v>6.2873008750280457E-2</v>
      </c>
      <c r="U973">
        <f>SUM($I$2:I973)</f>
        <v>3378820.5400000005</v>
      </c>
      <c r="V973" s="1">
        <f>Table1[[#This Row],[Running total ]]/SUM(I:I)</f>
        <v>0.97500053571607981</v>
      </c>
    </row>
    <row r="974" spans="1:22" x14ac:dyDescent="0.3">
      <c r="A974" t="s">
        <v>1800</v>
      </c>
      <c r="B974" t="s">
        <v>529</v>
      </c>
      <c r="C974" t="s">
        <v>358</v>
      </c>
      <c r="D974" t="s">
        <v>48</v>
      </c>
      <c r="E974" t="s">
        <v>84</v>
      </c>
      <c r="F974" t="s">
        <v>67</v>
      </c>
      <c r="G974" t="s">
        <v>115</v>
      </c>
      <c r="H974" t="s">
        <v>178</v>
      </c>
      <c r="I974">
        <v>2005.83</v>
      </c>
      <c r="J974">
        <v>3</v>
      </c>
      <c r="K974" s="1">
        <v>0.1</v>
      </c>
      <c r="L974">
        <v>88.28</v>
      </c>
      <c r="M974" t="s">
        <v>38</v>
      </c>
      <c r="N974" t="s">
        <v>76</v>
      </c>
      <c r="O974" t="str">
        <f t="shared" si="90"/>
        <v>05/06/2024</v>
      </c>
      <c r="P974">
        <f t="shared" si="91"/>
        <v>2024</v>
      </c>
      <c r="Q974">
        <f t="shared" si="92"/>
        <v>6</v>
      </c>
      <c r="R974" t="str">
        <f t="shared" si="93"/>
        <v>June</v>
      </c>
      <c r="S974" t="str">
        <f t="shared" si="94"/>
        <v>Low</v>
      </c>
      <c r="T974" s="1">
        <f t="shared" si="95"/>
        <v>4.4011705877367475E-2</v>
      </c>
      <c r="U974">
        <f>SUM($I$2:I974)</f>
        <v>3380826.3700000006</v>
      </c>
      <c r="V974" s="1">
        <f>Table1[[#This Row],[Running total ]]/SUM(I:I)</f>
        <v>0.97557934281796732</v>
      </c>
    </row>
    <row r="975" spans="1:22" x14ac:dyDescent="0.3">
      <c r="A975" t="s">
        <v>1801</v>
      </c>
      <c r="B975" t="s">
        <v>1392</v>
      </c>
      <c r="C975" t="s">
        <v>275</v>
      </c>
      <c r="D975" t="s">
        <v>27</v>
      </c>
      <c r="E975" t="s">
        <v>61</v>
      </c>
      <c r="F975" t="s">
        <v>19</v>
      </c>
      <c r="G975" t="s">
        <v>20</v>
      </c>
      <c r="H975" t="s">
        <v>347</v>
      </c>
      <c r="I975">
        <v>873.64</v>
      </c>
      <c r="J975">
        <v>1</v>
      </c>
      <c r="K975" s="1">
        <v>0.3</v>
      </c>
      <c r="L975">
        <v>-37.43</v>
      </c>
      <c r="M975" t="s">
        <v>31</v>
      </c>
      <c r="N975" t="s">
        <v>32</v>
      </c>
      <c r="O975" t="str">
        <f t="shared" si="90"/>
        <v>25/02/2024</v>
      </c>
      <c r="P975">
        <f t="shared" si="91"/>
        <v>2024</v>
      </c>
      <c r="Q975">
        <f t="shared" si="92"/>
        <v>2</v>
      </c>
      <c r="R975" t="str">
        <f t="shared" si="93"/>
        <v>February</v>
      </c>
      <c r="S975" t="str">
        <f t="shared" si="94"/>
        <v>Low</v>
      </c>
      <c r="T975" s="1">
        <f t="shared" si="95"/>
        <v>-4.2843734261251772E-2</v>
      </c>
      <c r="U975">
        <f>SUM($I$2:I975)</f>
        <v>3381700.0100000007</v>
      </c>
      <c r="V975" s="1">
        <f>Table1[[#This Row],[Running total ]]/SUM(I:I)</f>
        <v>0.97583144246574061</v>
      </c>
    </row>
    <row r="976" spans="1:22" x14ac:dyDescent="0.3">
      <c r="A976" t="s">
        <v>1802</v>
      </c>
      <c r="B976" t="s">
        <v>1803</v>
      </c>
      <c r="C976" t="s">
        <v>93</v>
      </c>
      <c r="D976" t="s">
        <v>48</v>
      </c>
      <c r="E976" t="s">
        <v>110</v>
      </c>
      <c r="F976" t="s">
        <v>19</v>
      </c>
      <c r="G976" t="s">
        <v>20</v>
      </c>
      <c r="H976" t="s">
        <v>21</v>
      </c>
      <c r="I976">
        <v>876.9</v>
      </c>
      <c r="J976">
        <v>5</v>
      </c>
      <c r="K976" s="1">
        <v>0.2</v>
      </c>
      <c r="L976">
        <v>-63.97</v>
      </c>
      <c r="M976" t="s">
        <v>117</v>
      </c>
      <c r="N976" t="s">
        <v>32</v>
      </c>
      <c r="O976" t="str">
        <f t="shared" si="90"/>
        <v>08/09/2024</v>
      </c>
      <c r="P976">
        <f t="shared" si="91"/>
        <v>2024</v>
      </c>
      <c r="Q976">
        <f t="shared" si="92"/>
        <v>9</v>
      </c>
      <c r="R976" t="str">
        <f t="shared" si="93"/>
        <v>September</v>
      </c>
      <c r="S976" t="str">
        <f t="shared" si="94"/>
        <v>Low</v>
      </c>
      <c r="T976" s="1">
        <f t="shared" si="95"/>
        <v>-7.2950165355228649E-2</v>
      </c>
      <c r="U976">
        <f>SUM($I$2:I976)</f>
        <v>3382576.9100000006</v>
      </c>
      <c r="V976" s="1">
        <f>Table1[[#This Row],[Running total ]]/SUM(I:I)</f>
        <v>0.9760844828269104</v>
      </c>
    </row>
    <row r="977" spans="1:22" x14ac:dyDescent="0.3">
      <c r="A977" t="s">
        <v>1804</v>
      </c>
      <c r="B977" t="s">
        <v>1605</v>
      </c>
      <c r="C977" t="s">
        <v>418</v>
      </c>
      <c r="D977" t="s">
        <v>27</v>
      </c>
      <c r="E977" t="s">
        <v>124</v>
      </c>
      <c r="F977" t="s">
        <v>55</v>
      </c>
      <c r="G977" t="s">
        <v>98</v>
      </c>
      <c r="H977" t="s">
        <v>150</v>
      </c>
      <c r="I977">
        <v>2997.96</v>
      </c>
      <c r="J977">
        <v>4</v>
      </c>
      <c r="K977" s="1">
        <v>0.15</v>
      </c>
      <c r="L977">
        <v>-230.14</v>
      </c>
      <c r="M977" t="s">
        <v>107</v>
      </c>
      <c r="N977" t="s">
        <v>39</v>
      </c>
      <c r="O977" t="str">
        <f t="shared" si="90"/>
        <v>01/01/2024</v>
      </c>
      <c r="P977">
        <f t="shared" si="91"/>
        <v>2024</v>
      </c>
      <c r="Q977">
        <f t="shared" si="92"/>
        <v>1</v>
      </c>
      <c r="R977" t="str">
        <f t="shared" si="93"/>
        <v>January</v>
      </c>
      <c r="S977" t="str">
        <f t="shared" si="94"/>
        <v>Low</v>
      </c>
      <c r="T977" s="1">
        <f t="shared" si="95"/>
        <v>-7.6765533896382868E-2</v>
      </c>
      <c r="U977">
        <f>SUM($I$2:I977)</f>
        <v>3385574.8700000006</v>
      </c>
      <c r="V977" s="1">
        <f>Table1[[#This Row],[Running total ]]/SUM(I:I)</f>
        <v>0.9769495813343485</v>
      </c>
    </row>
    <row r="978" spans="1:22" x14ac:dyDescent="0.3">
      <c r="A978" t="s">
        <v>1805</v>
      </c>
      <c r="B978" t="s">
        <v>1639</v>
      </c>
      <c r="C978" t="s">
        <v>26</v>
      </c>
      <c r="D978" t="s">
        <v>48</v>
      </c>
      <c r="E978" t="s">
        <v>84</v>
      </c>
      <c r="F978" t="s">
        <v>67</v>
      </c>
      <c r="G978" t="s">
        <v>85</v>
      </c>
      <c r="H978" t="s">
        <v>125</v>
      </c>
      <c r="I978">
        <v>278.8</v>
      </c>
      <c r="J978">
        <v>2</v>
      </c>
      <c r="K978" s="1">
        <v>0.15</v>
      </c>
      <c r="L978">
        <v>65.040000000000006</v>
      </c>
      <c r="M978" t="s">
        <v>87</v>
      </c>
      <c r="N978" t="s">
        <v>76</v>
      </c>
      <c r="O978" t="str">
        <f t="shared" si="90"/>
        <v>22/01/2024</v>
      </c>
      <c r="P978">
        <f t="shared" si="91"/>
        <v>2024</v>
      </c>
      <c r="Q978">
        <f t="shared" si="92"/>
        <v>1</v>
      </c>
      <c r="R978" t="str">
        <f t="shared" si="93"/>
        <v>January</v>
      </c>
      <c r="S978" t="str">
        <f t="shared" si="94"/>
        <v>Low</v>
      </c>
      <c r="T978" s="1">
        <f t="shared" si="95"/>
        <v>0.23328550932568151</v>
      </c>
      <c r="U978">
        <f>SUM($I$2:I978)</f>
        <v>3385853.6700000004</v>
      </c>
      <c r="V978" s="1">
        <f>Table1[[#This Row],[Running total ]]/SUM(I:I)</f>
        <v>0.9770300325291188</v>
      </c>
    </row>
    <row r="979" spans="1:22" x14ac:dyDescent="0.3">
      <c r="A979" t="s">
        <v>1806</v>
      </c>
      <c r="B979" t="s">
        <v>1389</v>
      </c>
      <c r="C979" t="s">
        <v>841</v>
      </c>
      <c r="D979" t="s">
        <v>27</v>
      </c>
      <c r="E979" t="s">
        <v>61</v>
      </c>
      <c r="F979" t="s">
        <v>19</v>
      </c>
      <c r="G979" t="s">
        <v>36</v>
      </c>
      <c r="H979" t="s">
        <v>111</v>
      </c>
      <c r="I979">
        <v>4141.5600000000004</v>
      </c>
      <c r="J979">
        <v>4</v>
      </c>
      <c r="K979" s="1">
        <v>0.2</v>
      </c>
      <c r="L979">
        <v>45.75</v>
      </c>
      <c r="M979" t="s">
        <v>143</v>
      </c>
      <c r="N979" t="s">
        <v>32</v>
      </c>
      <c r="O979" t="str">
        <f t="shared" si="90"/>
        <v>24/04/2024</v>
      </c>
      <c r="P979">
        <f t="shared" si="91"/>
        <v>2024</v>
      </c>
      <c r="Q979">
        <f t="shared" si="92"/>
        <v>4</v>
      </c>
      <c r="R979" t="str">
        <f t="shared" si="93"/>
        <v>April</v>
      </c>
      <c r="S979" t="str">
        <f t="shared" si="94"/>
        <v>Low</v>
      </c>
      <c r="T979" s="1">
        <f t="shared" si="95"/>
        <v>1.1046562164981311E-2</v>
      </c>
      <c r="U979">
        <f>SUM($I$2:I979)</f>
        <v>3389995.2300000004</v>
      </c>
      <c r="V979" s="1">
        <f>Table1[[#This Row],[Running total ]]/SUM(I:I)</f>
        <v>0.97822513098755914</v>
      </c>
    </row>
    <row r="980" spans="1:22" x14ac:dyDescent="0.3">
      <c r="A980" t="s">
        <v>1807</v>
      </c>
      <c r="B980" t="s">
        <v>1808</v>
      </c>
      <c r="C980" t="s">
        <v>172</v>
      </c>
      <c r="D980" t="s">
        <v>27</v>
      </c>
      <c r="E980" t="s">
        <v>61</v>
      </c>
      <c r="F980" t="s">
        <v>19</v>
      </c>
      <c r="G980" t="s">
        <v>36</v>
      </c>
      <c r="H980" t="s">
        <v>222</v>
      </c>
      <c r="I980">
        <v>371.82</v>
      </c>
      <c r="J980">
        <v>1</v>
      </c>
      <c r="K980" s="1">
        <v>0</v>
      </c>
      <c r="L980">
        <v>114.27</v>
      </c>
      <c r="M980" t="s">
        <v>107</v>
      </c>
      <c r="N980" t="s">
        <v>32</v>
      </c>
      <c r="O980" t="str">
        <f t="shared" si="90"/>
        <v>25/10/2024</v>
      </c>
      <c r="P980">
        <f t="shared" si="91"/>
        <v>2024</v>
      </c>
      <c r="Q980">
        <f t="shared" si="92"/>
        <v>10</v>
      </c>
      <c r="R980" t="str">
        <f t="shared" si="93"/>
        <v>October</v>
      </c>
      <c r="S980" t="str">
        <f t="shared" si="94"/>
        <v>No Discount</v>
      </c>
      <c r="T980" s="1">
        <f t="shared" si="95"/>
        <v>0.30732612554461836</v>
      </c>
      <c r="U980">
        <f>SUM($I$2:I980)</f>
        <v>3390367.0500000003</v>
      </c>
      <c r="V980" s="1">
        <f>Table1[[#This Row],[Running total ]]/SUM(I:I)</f>
        <v>0.97833242425599343</v>
      </c>
    </row>
    <row r="981" spans="1:22" x14ac:dyDescent="0.3">
      <c r="A981" t="s">
        <v>1809</v>
      </c>
      <c r="B981" t="s">
        <v>1810</v>
      </c>
      <c r="C981" t="s">
        <v>745</v>
      </c>
      <c r="D981" t="s">
        <v>48</v>
      </c>
      <c r="E981" t="s">
        <v>49</v>
      </c>
      <c r="F981" t="s">
        <v>19</v>
      </c>
      <c r="G981" t="s">
        <v>20</v>
      </c>
      <c r="H981" t="s">
        <v>21</v>
      </c>
      <c r="I981">
        <v>1609.85</v>
      </c>
      <c r="J981">
        <v>5</v>
      </c>
      <c r="K981" s="1">
        <v>0.3</v>
      </c>
      <c r="L981">
        <v>91.25</v>
      </c>
      <c r="M981" t="s">
        <v>195</v>
      </c>
      <c r="N981" t="s">
        <v>23</v>
      </c>
      <c r="O981" t="str">
        <f t="shared" si="90"/>
        <v>31/07/2025</v>
      </c>
      <c r="P981">
        <f t="shared" si="91"/>
        <v>2025</v>
      </c>
      <c r="Q981">
        <f t="shared" si="92"/>
        <v>7</v>
      </c>
      <c r="R981" t="str">
        <f t="shared" si="93"/>
        <v>July</v>
      </c>
      <c r="S981" t="str">
        <f t="shared" si="94"/>
        <v>Low</v>
      </c>
      <c r="T981" s="1">
        <f t="shared" si="95"/>
        <v>5.6682299593129801E-2</v>
      </c>
      <c r="U981">
        <f>SUM($I$2:I981)</f>
        <v>3391976.9000000004</v>
      </c>
      <c r="V981" s="1">
        <f>Table1[[#This Row],[Running total ]]/SUM(I:I)</f>
        <v>0.97879696642206615</v>
      </c>
    </row>
    <row r="982" spans="1:22" x14ac:dyDescent="0.3">
      <c r="A982" t="s">
        <v>1811</v>
      </c>
      <c r="B982" t="s">
        <v>965</v>
      </c>
      <c r="C982" t="s">
        <v>800</v>
      </c>
      <c r="D982" t="s">
        <v>17</v>
      </c>
      <c r="E982" t="s">
        <v>54</v>
      </c>
      <c r="F982" t="s">
        <v>19</v>
      </c>
      <c r="G982" t="s">
        <v>36</v>
      </c>
      <c r="H982" t="s">
        <v>37</v>
      </c>
      <c r="I982">
        <v>2520.1999999999998</v>
      </c>
      <c r="J982">
        <v>4</v>
      </c>
      <c r="K982" s="1">
        <v>0.1</v>
      </c>
      <c r="L982">
        <v>3.39</v>
      </c>
      <c r="M982" t="s">
        <v>107</v>
      </c>
      <c r="N982" t="s">
        <v>39</v>
      </c>
      <c r="O982" t="str">
        <f t="shared" si="90"/>
        <v>06/11/2025</v>
      </c>
      <c r="P982">
        <f t="shared" si="91"/>
        <v>2025</v>
      </c>
      <c r="Q982">
        <f t="shared" si="92"/>
        <v>11</v>
      </c>
      <c r="R982" t="str">
        <f t="shared" si="93"/>
        <v>November</v>
      </c>
      <c r="S982" t="str">
        <f t="shared" si="94"/>
        <v>Low</v>
      </c>
      <c r="T982" s="1">
        <f t="shared" si="95"/>
        <v>1.3451313387826363E-3</v>
      </c>
      <c r="U982">
        <f>SUM($I$2:I982)</f>
        <v>3394497.1000000006</v>
      </c>
      <c r="V982" s="1">
        <f>Table1[[#This Row],[Running total ]]/SUM(I:I)</f>
        <v>0.9795242013613068</v>
      </c>
    </row>
    <row r="983" spans="1:22" x14ac:dyDescent="0.3">
      <c r="A983" t="s">
        <v>1812</v>
      </c>
      <c r="B983" t="s">
        <v>415</v>
      </c>
      <c r="C983" t="s">
        <v>146</v>
      </c>
      <c r="D983" t="s">
        <v>137</v>
      </c>
      <c r="E983" t="s">
        <v>160</v>
      </c>
      <c r="F983" t="s">
        <v>67</v>
      </c>
      <c r="G983" t="s">
        <v>115</v>
      </c>
      <c r="H983" t="s">
        <v>116</v>
      </c>
      <c r="I983">
        <v>2402.4699999999998</v>
      </c>
      <c r="J983">
        <v>7</v>
      </c>
      <c r="K983" s="1">
        <v>0.1</v>
      </c>
      <c r="L983">
        <v>300.33999999999997</v>
      </c>
      <c r="M983" t="s">
        <v>117</v>
      </c>
      <c r="N983" t="s">
        <v>39</v>
      </c>
      <c r="O983" t="str">
        <f t="shared" si="90"/>
        <v>10/12/2024</v>
      </c>
      <c r="P983">
        <f t="shared" si="91"/>
        <v>2024</v>
      </c>
      <c r="Q983">
        <f t="shared" si="92"/>
        <v>12</v>
      </c>
      <c r="R983" t="str">
        <f t="shared" si="93"/>
        <v>December</v>
      </c>
      <c r="S983" t="str">
        <f t="shared" si="94"/>
        <v>Low</v>
      </c>
      <c r="T983" s="1">
        <f t="shared" si="95"/>
        <v>0.12501300744650298</v>
      </c>
      <c r="U983">
        <f>SUM($I$2:I983)</f>
        <v>3396899.5700000008</v>
      </c>
      <c r="V983" s="1">
        <f>Table1[[#This Row],[Running total ]]/SUM(I:I)</f>
        <v>0.9802174638501876</v>
      </c>
    </row>
    <row r="984" spans="1:22" x14ac:dyDescent="0.3">
      <c r="A984" t="s">
        <v>1813</v>
      </c>
      <c r="B984" t="s">
        <v>1272</v>
      </c>
      <c r="C984" t="s">
        <v>275</v>
      </c>
      <c r="D984" t="s">
        <v>27</v>
      </c>
      <c r="E984" t="s">
        <v>28</v>
      </c>
      <c r="F984" t="s">
        <v>55</v>
      </c>
      <c r="G984" t="s">
        <v>56</v>
      </c>
      <c r="H984" t="s">
        <v>57</v>
      </c>
      <c r="I984">
        <v>4246.7</v>
      </c>
      <c r="J984">
        <v>10</v>
      </c>
      <c r="K984" s="1">
        <v>0.1</v>
      </c>
      <c r="L984">
        <v>1344.22</v>
      </c>
      <c r="M984" t="s">
        <v>44</v>
      </c>
      <c r="N984" t="s">
        <v>39</v>
      </c>
      <c r="O984" t="str">
        <f t="shared" si="90"/>
        <v>22/07/2024</v>
      </c>
      <c r="P984">
        <f t="shared" si="91"/>
        <v>2024</v>
      </c>
      <c r="Q984">
        <f t="shared" si="92"/>
        <v>7</v>
      </c>
      <c r="R984" t="str">
        <f t="shared" si="93"/>
        <v>July</v>
      </c>
      <c r="S984" t="str">
        <f t="shared" si="94"/>
        <v>Low</v>
      </c>
      <c r="T984" s="1">
        <f t="shared" si="95"/>
        <v>0.31653283726187392</v>
      </c>
      <c r="U984">
        <f>SUM($I$2:I984)</f>
        <v>3401146.2700000009</v>
      </c>
      <c r="V984" s="1">
        <f>Table1[[#This Row],[Running total ]]/SUM(I:I)</f>
        <v>0.98144290175847781</v>
      </c>
    </row>
    <row r="985" spans="1:22" x14ac:dyDescent="0.3">
      <c r="A985" t="s">
        <v>1814</v>
      </c>
      <c r="B985" t="s">
        <v>861</v>
      </c>
      <c r="C985" t="s">
        <v>316</v>
      </c>
      <c r="D985" t="s">
        <v>137</v>
      </c>
      <c r="E985" t="s">
        <v>160</v>
      </c>
      <c r="F985" t="s">
        <v>19</v>
      </c>
      <c r="G985" t="s">
        <v>20</v>
      </c>
      <c r="H985" t="s">
        <v>239</v>
      </c>
      <c r="I985">
        <v>2540.31</v>
      </c>
      <c r="J985">
        <v>3</v>
      </c>
      <c r="K985" s="1">
        <v>0.15</v>
      </c>
      <c r="L985">
        <v>526.41999999999996</v>
      </c>
      <c r="M985" t="s">
        <v>107</v>
      </c>
      <c r="N985" t="s">
        <v>23</v>
      </c>
      <c r="O985" t="str">
        <f t="shared" si="90"/>
        <v>18/10/2024</v>
      </c>
      <c r="P985">
        <f t="shared" si="91"/>
        <v>2024</v>
      </c>
      <c r="Q985">
        <f t="shared" si="92"/>
        <v>10</v>
      </c>
      <c r="R985" t="str">
        <f t="shared" si="93"/>
        <v>October</v>
      </c>
      <c r="S985" t="str">
        <f t="shared" si="94"/>
        <v>Low</v>
      </c>
      <c r="T985" s="1">
        <f t="shared" si="95"/>
        <v>0.20722667705909908</v>
      </c>
      <c r="U985">
        <f>SUM($I$2:I985)</f>
        <v>3403686.580000001</v>
      </c>
      <c r="V985" s="1">
        <f>Table1[[#This Row],[Running total ]]/SUM(I:I)</f>
        <v>0.9821759396874129</v>
      </c>
    </row>
    <row r="986" spans="1:22" x14ac:dyDescent="0.3">
      <c r="A986" t="s">
        <v>1815</v>
      </c>
      <c r="B986" t="s">
        <v>1816</v>
      </c>
      <c r="C986" t="s">
        <v>841</v>
      </c>
      <c r="D986" t="s">
        <v>48</v>
      </c>
      <c r="E986" t="s">
        <v>110</v>
      </c>
      <c r="F986" t="s">
        <v>55</v>
      </c>
      <c r="G986" t="s">
        <v>56</v>
      </c>
      <c r="H986" t="s">
        <v>57</v>
      </c>
      <c r="I986">
        <v>2358.15</v>
      </c>
      <c r="J986">
        <v>3</v>
      </c>
      <c r="K986" s="1">
        <v>0.25</v>
      </c>
      <c r="L986">
        <v>-342.56</v>
      </c>
      <c r="M986" t="s">
        <v>87</v>
      </c>
      <c r="N986" t="s">
        <v>32</v>
      </c>
      <c r="O986" t="str">
        <f t="shared" si="90"/>
        <v>10/01/2025</v>
      </c>
      <c r="P986">
        <f t="shared" si="91"/>
        <v>2025</v>
      </c>
      <c r="Q986">
        <f t="shared" si="92"/>
        <v>1</v>
      </c>
      <c r="R986" t="str">
        <f t="shared" si="93"/>
        <v>January</v>
      </c>
      <c r="S986" t="str">
        <f t="shared" si="94"/>
        <v>Low</v>
      </c>
      <c r="T986" s="1">
        <f t="shared" si="95"/>
        <v>-0.14526641647053834</v>
      </c>
      <c r="U986">
        <f>SUM($I$2:I986)</f>
        <v>3406044.7300000009</v>
      </c>
      <c r="V986" s="1">
        <f>Table1[[#This Row],[Running total ]]/SUM(I:I)</f>
        <v>0.98285641309109917</v>
      </c>
    </row>
    <row r="987" spans="1:22" x14ac:dyDescent="0.3">
      <c r="A987" t="s">
        <v>1817</v>
      </c>
      <c r="B987" t="s">
        <v>698</v>
      </c>
      <c r="C987" t="s">
        <v>442</v>
      </c>
      <c r="D987" t="s">
        <v>137</v>
      </c>
      <c r="E987" t="s">
        <v>242</v>
      </c>
      <c r="F987" t="s">
        <v>67</v>
      </c>
      <c r="G987" t="s">
        <v>85</v>
      </c>
      <c r="H987" t="s">
        <v>253</v>
      </c>
      <c r="I987">
        <v>1295.1600000000001</v>
      </c>
      <c r="J987">
        <v>2</v>
      </c>
      <c r="K987" s="1">
        <v>0.3</v>
      </c>
      <c r="L987">
        <v>62.67</v>
      </c>
      <c r="M987" t="s">
        <v>107</v>
      </c>
      <c r="N987" t="s">
        <v>23</v>
      </c>
      <c r="O987" t="str">
        <f t="shared" si="90"/>
        <v>14/03/2024</v>
      </c>
      <c r="P987">
        <f t="shared" si="91"/>
        <v>2024</v>
      </c>
      <c r="Q987">
        <f t="shared" si="92"/>
        <v>3</v>
      </c>
      <c r="R987" t="str">
        <f t="shared" si="93"/>
        <v>March</v>
      </c>
      <c r="S987" t="str">
        <f t="shared" si="94"/>
        <v>Low</v>
      </c>
      <c r="T987" s="1">
        <f t="shared" si="95"/>
        <v>4.8387843972945425E-2</v>
      </c>
      <c r="U987">
        <f>SUM($I$2:I987)</f>
        <v>3407339.8900000011</v>
      </c>
      <c r="V987" s="1">
        <f>Table1[[#This Row],[Running total ]]/SUM(I:I)</f>
        <v>0.98323014755816807</v>
      </c>
    </row>
    <row r="988" spans="1:22" x14ac:dyDescent="0.3">
      <c r="A988" t="s">
        <v>1818</v>
      </c>
      <c r="B988" t="s">
        <v>1571</v>
      </c>
      <c r="C988" t="s">
        <v>807</v>
      </c>
      <c r="D988" t="s">
        <v>27</v>
      </c>
      <c r="E988" t="s">
        <v>28</v>
      </c>
      <c r="F988" t="s">
        <v>55</v>
      </c>
      <c r="G988" t="s">
        <v>98</v>
      </c>
      <c r="H988" t="s">
        <v>154</v>
      </c>
      <c r="I988">
        <v>299.45999999999998</v>
      </c>
      <c r="J988">
        <v>1</v>
      </c>
      <c r="K988" s="1">
        <v>0</v>
      </c>
      <c r="L988">
        <v>120.22</v>
      </c>
      <c r="M988" t="s">
        <v>87</v>
      </c>
      <c r="N988" t="s">
        <v>23</v>
      </c>
      <c r="O988" t="str">
        <f t="shared" si="90"/>
        <v>04/06/2024</v>
      </c>
      <c r="P988">
        <f t="shared" si="91"/>
        <v>2024</v>
      </c>
      <c r="Q988">
        <f t="shared" si="92"/>
        <v>6</v>
      </c>
      <c r="R988" t="str">
        <f t="shared" si="93"/>
        <v>June</v>
      </c>
      <c r="S988" t="str">
        <f t="shared" si="94"/>
        <v>No Discount</v>
      </c>
      <c r="T988" s="1">
        <f t="shared" si="95"/>
        <v>0.40145595405062451</v>
      </c>
      <c r="U988">
        <f>SUM($I$2:I988)</f>
        <v>3407639.350000001</v>
      </c>
      <c r="V988" s="1">
        <f>Table1[[#This Row],[Running total ]]/SUM(I:I)</f>
        <v>0.98331656045194826</v>
      </c>
    </row>
    <row r="989" spans="1:22" x14ac:dyDescent="0.3">
      <c r="A989" t="s">
        <v>1819</v>
      </c>
      <c r="B989" t="s">
        <v>1136</v>
      </c>
      <c r="C989" t="s">
        <v>218</v>
      </c>
      <c r="D989" t="s">
        <v>137</v>
      </c>
      <c r="E989" t="s">
        <v>242</v>
      </c>
      <c r="F989" t="s">
        <v>19</v>
      </c>
      <c r="G989" t="s">
        <v>29</v>
      </c>
      <c r="H989" t="s">
        <v>199</v>
      </c>
      <c r="I989">
        <v>8178.66</v>
      </c>
      <c r="J989">
        <v>7</v>
      </c>
      <c r="K989" s="1">
        <v>0.05</v>
      </c>
      <c r="L989">
        <v>316.08</v>
      </c>
      <c r="M989" t="s">
        <v>63</v>
      </c>
      <c r="N989" t="s">
        <v>32</v>
      </c>
      <c r="O989" t="str">
        <f t="shared" si="90"/>
        <v>11/12/2024</v>
      </c>
      <c r="P989">
        <f t="shared" si="91"/>
        <v>2024</v>
      </c>
      <c r="Q989">
        <f t="shared" si="92"/>
        <v>12</v>
      </c>
      <c r="R989" t="str">
        <f t="shared" si="93"/>
        <v>December</v>
      </c>
      <c r="S989" t="str">
        <f t="shared" si="94"/>
        <v>High</v>
      </c>
      <c r="T989" s="1">
        <f t="shared" si="95"/>
        <v>3.8646917710236151E-2</v>
      </c>
      <c r="U989">
        <f>SUM($I$2:I989)</f>
        <v>3415818.0100000012</v>
      </c>
      <c r="V989" s="1">
        <f>Table1[[#This Row],[Running total ]]/SUM(I:I)</f>
        <v>0.98567661414140517</v>
      </c>
    </row>
    <row r="990" spans="1:22" x14ac:dyDescent="0.3">
      <c r="A990" t="s">
        <v>1820</v>
      </c>
      <c r="B990" t="s">
        <v>1659</v>
      </c>
      <c r="C990" t="s">
        <v>120</v>
      </c>
      <c r="D990" t="s">
        <v>48</v>
      </c>
      <c r="E990" t="s">
        <v>73</v>
      </c>
      <c r="F990" t="s">
        <v>67</v>
      </c>
      <c r="G990" t="s">
        <v>85</v>
      </c>
      <c r="H990" t="s">
        <v>125</v>
      </c>
      <c r="I990">
        <v>1793.54</v>
      </c>
      <c r="J990">
        <v>7</v>
      </c>
      <c r="K990" s="1">
        <v>0.25</v>
      </c>
      <c r="L990">
        <v>56.25</v>
      </c>
      <c r="M990" t="s">
        <v>87</v>
      </c>
      <c r="N990" t="s">
        <v>76</v>
      </c>
      <c r="O990" t="str">
        <f t="shared" si="90"/>
        <v>29/10/2025</v>
      </c>
      <c r="P990">
        <f t="shared" si="91"/>
        <v>2025</v>
      </c>
      <c r="Q990">
        <f t="shared" si="92"/>
        <v>10</v>
      </c>
      <c r="R990" t="str">
        <f t="shared" si="93"/>
        <v>October</v>
      </c>
      <c r="S990" t="str">
        <f t="shared" si="94"/>
        <v>Low</v>
      </c>
      <c r="T990" s="1">
        <f t="shared" si="95"/>
        <v>3.13625567313804E-2</v>
      </c>
      <c r="U990">
        <f>SUM($I$2:I990)</f>
        <v>3417611.5500000012</v>
      </c>
      <c r="V990" s="1">
        <f>Table1[[#This Row],[Running total ]]/SUM(I:I)</f>
        <v>0.9861941623331858</v>
      </c>
    </row>
    <row r="991" spans="1:22" x14ac:dyDescent="0.3">
      <c r="A991" t="s">
        <v>1821</v>
      </c>
      <c r="B991" t="s">
        <v>1722</v>
      </c>
      <c r="C991" t="s">
        <v>468</v>
      </c>
      <c r="D991" t="s">
        <v>27</v>
      </c>
      <c r="E991" t="s">
        <v>124</v>
      </c>
      <c r="F991" t="s">
        <v>67</v>
      </c>
      <c r="G991" t="s">
        <v>85</v>
      </c>
      <c r="H991" t="s">
        <v>253</v>
      </c>
      <c r="I991">
        <v>7369.3</v>
      </c>
      <c r="J991">
        <v>10</v>
      </c>
      <c r="K991" s="1">
        <v>0.1</v>
      </c>
      <c r="L991">
        <v>128.79</v>
      </c>
      <c r="M991" t="s">
        <v>63</v>
      </c>
      <c r="N991" t="s">
        <v>23</v>
      </c>
      <c r="O991" t="str">
        <f t="shared" si="90"/>
        <v>23/02/2025</v>
      </c>
      <c r="P991">
        <f t="shared" si="91"/>
        <v>2025</v>
      </c>
      <c r="Q991">
        <f t="shared" si="92"/>
        <v>2</v>
      </c>
      <c r="R991" t="str">
        <f t="shared" si="93"/>
        <v>February</v>
      </c>
      <c r="S991" t="str">
        <f t="shared" si="94"/>
        <v>Low</v>
      </c>
      <c r="T991" s="1">
        <f t="shared" si="95"/>
        <v>1.7476558153420269E-2</v>
      </c>
      <c r="U991">
        <f>SUM($I$2:I991)</f>
        <v>3424980.850000001</v>
      </c>
      <c r="V991" s="1">
        <f>Table1[[#This Row],[Running total ]]/SUM(I:I)</f>
        <v>0.98832066516539963</v>
      </c>
    </row>
    <row r="992" spans="1:22" x14ac:dyDescent="0.3">
      <c r="A992" t="s">
        <v>1822</v>
      </c>
      <c r="B992" t="s">
        <v>1270</v>
      </c>
      <c r="C992" t="s">
        <v>340</v>
      </c>
      <c r="D992" t="s">
        <v>48</v>
      </c>
      <c r="E992" t="s">
        <v>49</v>
      </c>
      <c r="F992" t="s">
        <v>19</v>
      </c>
      <c r="G992" t="s">
        <v>20</v>
      </c>
      <c r="H992" t="s">
        <v>239</v>
      </c>
      <c r="I992">
        <v>7309.68</v>
      </c>
      <c r="J992">
        <v>8</v>
      </c>
      <c r="K992" s="1">
        <v>0</v>
      </c>
      <c r="L992">
        <v>2359.42</v>
      </c>
      <c r="M992" t="s">
        <v>44</v>
      </c>
      <c r="N992" t="s">
        <v>23</v>
      </c>
      <c r="O992" t="str">
        <f t="shared" si="90"/>
        <v>19/03/2024</v>
      </c>
      <c r="P992">
        <f t="shared" si="91"/>
        <v>2024</v>
      </c>
      <c r="Q992">
        <f t="shared" si="92"/>
        <v>3</v>
      </c>
      <c r="R992" t="str">
        <f t="shared" si="93"/>
        <v>March</v>
      </c>
      <c r="S992" t="str">
        <f t="shared" si="94"/>
        <v>No Discount</v>
      </c>
      <c r="T992" s="1">
        <f t="shared" si="95"/>
        <v>0.32278020378457062</v>
      </c>
      <c r="U992">
        <f>SUM($I$2:I992)</f>
        <v>3432290.5300000012</v>
      </c>
      <c r="V992" s="1">
        <f>Table1[[#This Row],[Running total ]]/SUM(I:I)</f>
        <v>0.99042996390782811</v>
      </c>
    </row>
    <row r="993" spans="1:22" x14ac:dyDescent="0.3">
      <c r="A993" t="s">
        <v>1823</v>
      </c>
      <c r="B993" t="s">
        <v>1541</v>
      </c>
      <c r="C993" t="s">
        <v>1646</v>
      </c>
      <c r="D993" t="s">
        <v>137</v>
      </c>
      <c r="E993" t="s">
        <v>160</v>
      </c>
      <c r="F993" t="s">
        <v>19</v>
      </c>
      <c r="G993" t="s">
        <v>36</v>
      </c>
      <c r="H993" t="s">
        <v>37</v>
      </c>
      <c r="I993">
        <v>1539.21</v>
      </c>
      <c r="J993">
        <v>3</v>
      </c>
      <c r="K993" s="1">
        <v>0.15</v>
      </c>
      <c r="L993">
        <v>431.45</v>
      </c>
      <c r="M993" t="s">
        <v>22</v>
      </c>
      <c r="N993" t="s">
        <v>39</v>
      </c>
      <c r="O993" t="str">
        <f t="shared" si="90"/>
        <v>07/12/2025</v>
      </c>
      <c r="P993">
        <f t="shared" si="91"/>
        <v>2025</v>
      </c>
      <c r="Q993">
        <f t="shared" si="92"/>
        <v>12</v>
      </c>
      <c r="R993" t="str">
        <f t="shared" si="93"/>
        <v>December</v>
      </c>
      <c r="S993" t="str">
        <f t="shared" si="94"/>
        <v>Low</v>
      </c>
      <c r="T993" s="1">
        <f t="shared" si="95"/>
        <v>0.28030613106723579</v>
      </c>
      <c r="U993">
        <f>SUM($I$2:I993)</f>
        <v>3433829.7400000012</v>
      </c>
      <c r="V993" s="1">
        <f>Table1[[#This Row],[Running total ]]/SUM(I:I)</f>
        <v>0.99087412202656011</v>
      </c>
    </row>
    <row r="994" spans="1:22" x14ac:dyDescent="0.3">
      <c r="A994" t="s">
        <v>1824</v>
      </c>
      <c r="B994" t="s">
        <v>397</v>
      </c>
      <c r="C994" t="s">
        <v>439</v>
      </c>
      <c r="D994" t="s">
        <v>48</v>
      </c>
      <c r="E994" t="s">
        <v>49</v>
      </c>
      <c r="F994" t="s">
        <v>55</v>
      </c>
      <c r="G994" t="s">
        <v>56</v>
      </c>
      <c r="H994" t="s">
        <v>57</v>
      </c>
      <c r="I994">
        <v>2703.12</v>
      </c>
      <c r="J994">
        <v>7</v>
      </c>
      <c r="K994" s="1">
        <v>0</v>
      </c>
      <c r="L994">
        <v>940.01</v>
      </c>
      <c r="M994" t="s">
        <v>44</v>
      </c>
      <c r="N994" t="s">
        <v>76</v>
      </c>
      <c r="O994" t="str">
        <f t="shared" si="90"/>
        <v>28/07/2025</v>
      </c>
      <c r="P994">
        <f t="shared" si="91"/>
        <v>2025</v>
      </c>
      <c r="Q994">
        <f t="shared" si="92"/>
        <v>7</v>
      </c>
      <c r="R994" t="str">
        <f t="shared" si="93"/>
        <v>July</v>
      </c>
      <c r="S994" t="str">
        <f t="shared" si="94"/>
        <v>No Discount</v>
      </c>
      <c r="T994" s="1">
        <f t="shared" si="95"/>
        <v>0.34775000739885764</v>
      </c>
      <c r="U994">
        <f>SUM($I$2:I994)</f>
        <v>3436532.8600000013</v>
      </c>
      <c r="V994" s="1">
        <f>Table1[[#This Row],[Running total ]]/SUM(I:I)</f>
        <v>0.99165414079846714</v>
      </c>
    </row>
    <row r="995" spans="1:22" x14ac:dyDescent="0.3">
      <c r="A995" t="s">
        <v>1825</v>
      </c>
      <c r="B995" t="s">
        <v>884</v>
      </c>
      <c r="C995" t="s">
        <v>327</v>
      </c>
      <c r="D995" t="s">
        <v>48</v>
      </c>
      <c r="E995" t="s">
        <v>110</v>
      </c>
      <c r="F995" t="s">
        <v>55</v>
      </c>
      <c r="G995" t="s">
        <v>56</v>
      </c>
      <c r="H995" t="s">
        <v>129</v>
      </c>
      <c r="I995">
        <v>5973.3</v>
      </c>
      <c r="J995">
        <v>9</v>
      </c>
      <c r="K995" s="1">
        <v>0.1</v>
      </c>
      <c r="L995">
        <v>867.98</v>
      </c>
      <c r="M995" t="s">
        <v>63</v>
      </c>
      <c r="N995" t="s">
        <v>76</v>
      </c>
      <c r="O995" t="str">
        <f t="shared" si="90"/>
        <v>19/01/2024</v>
      </c>
      <c r="P995">
        <f t="shared" si="91"/>
        <v>2024</v>
      </c>
      <c r="Q995">
        <f t="shared" si="92"/>
        <v>1</v>
      </c>
      <c r="R995" t="str">
        <f t="shared" si="93"/>
        <v>January</v>
      </c>
      <c r="S995" t="str">
        <f t="shared" si="94"/>
        <v>Low</v>
      </c>
      <c r="T995" s="1">
        <f t="shared" si="95"/>
        <v>0.14530996266720239</v>
      </c>
      <c r="U995">
        <f>SUM($I$2:I995)</f>
        <v>3442506.1600000011</v>
      </c>
      <c r="V995" s="1">
        <f>Table1[[#This Row],[Running total ]]/SUM(I:I)</f>
        <v>0.99337781053204599</v>
      </c>
    </row>
    <row r="996" spans="1:22" x14ac:dyDescent="0.3">
      <c r="A996" t="s">
        <v>1826</v>
      </c>
      <c r="B996" t="s">
        <v>441</v>
      </c>
      <c r="C996" t="s">
        <v>418</v>
      </c>
      <c r="D996" t="s">
        <v>17</v>
      </c>
      <c r="E996" t="s">
        <v>80</v>
      </c>
      <c r="F996" t="s">
        <v>67</v>
      </c>
      <c r="G996" t="s">
        <v>115</v>
      </c>
      <c r="H996" t="s">
        <v>116</v>
      </c>
      <c r="I996">
        <v>5162.08</v>
      </c>
      <c r="J996">
        <v>7</v>
      </c>
      <c r="K996" s="1">
        <v>0.15</v>
      </c>
      <c r="L996">
        <v>-74.239999999999995</v>
      </c>
      <c r="M996" t="s">
        <v>22</v>
      </c>
      <c r="N996" t="s">
        <v>76</v>
      </c>
      <c r="O996" t="str">
        <f t="shared" si="90"/>
        <v>17/07/2025</v>
      </c>
      <c r="P996">
        <f t="shared" si="91"/>
        <v>2025</v>
      </c>
      <c r="Q996">
        <f t="shared" si="92"/>
        <v>7</v>
      </c>
      <c r="R996" t="str">
        <f t="shared" si="93"/>
        <v>July</v>
      </c>
      <c r="S996" t="str">
        <f t="shared" si="94"/>
        <v>Low</v>
      </c>
      <c r="T996" s="1">
        <f t="shared" si="95"/>
        <v>-1.4381799584663546E-2</v>
      </c>
      <c r="U996">
        <f>SUM($I$2:I996)</f>
        <v>3447668.2400000012</v>
      </c>
      <c r="V996" s="1">
        <f>Table1[[#This Row],[Running total ]]/SUM(I:I)</f>
        <v>0.99486739268233371</v>
      </c>
    </row>
    <row r="997" spans="1:22" x14ac:dyDescent="0.3">
      <c r="A997" t="s">
        <v>1827</v>
      </c>
      <c r="B997" t="s">
        <v>46</v>
      </c>
      <c r="C997" t="s">
        <v>90</v>
      </c>
      <c r="D997" t="s">
        <v>27</v>
      </c>
      <c r="E997" t="s">
        <v>43</v>
      </c>
      <c r="F997" t="s">
        <v>19</v>
      </c>
      <c r="G997" t="s">
        <v>36</v>
      </c>
      <c r="H997" t="s">
        <v>111</v>
      </c>
      <c r="I997">
        <v>1363.59</v>
      </c>
      <c r="J997">
        <v>3</v>
      </c>
      <c r="K997" s="1">
        <v>0.1</v>
      </c>
      <c r="L997">
        <v>470.13</v>
      </c>
      <c r="M997" t="s">
        <v>38</v>
      </c>
      <c r="N997" t="s">
        <v>39</v>
      </c>
      <c r="O997" t="str">
        <f t="shared" si="90"/>
        <v>10/02/2025</v>
      </c>
      <c r="P997">
        <f t="shared" si="91"/>
        <v>2025</v>
      </c>
      <c r="Q997">
        <f t="shared" si="92"/>
        <v>2</v>
      </c>
      <c r="R997" t="str">
        <f t="shared" si="93"/>
        <v>February</v>
      </c>
      <c r="S997" t="str">
        <f t="shared" si="94"/>
        <v>Low</v>
      </c>
      <c r="T997" s="1">
        <f t="shared" si="95"/>
        <v>0.34477372230655845</v>
      </c>
      <c r="U997">
        <f>SUM($I$2:I997)</f>
        <v>3449031.830000001</v>
      </c>
      <c r="V997" s="1">
        <f>Table1[[#This Row],[Running total ]]/SUM(I:I)</f>
        <v>0.99526087347385772</v>
      </c>
    </row>
    <row r="998" spans="1:22" x14ac:dyDescent="0.3">
      <c r="A998" t="s">
        <v>1828</v>
      </c>
      <c r="B998" t="s">
        <v>823</v>
      </c>
      <c r="C998" t="s">
        <v>1062</v>
      </c>
      <c r="D998" t="s">
        <v>48</v>
      </c>
      <c r="E998" t="s">
        <v>73</v>
      </c>
      <c r="F998" t="s">
        <v>67</v>
      </c>
      <c r="G998" t="s">
        <v>115</v>
      </c>
      <c r="H998" t="s">
        <v>116</v>
      </c>
      <c r="I998">
        <v>4257.6099999999997</v>
      </c>
      <c r="J998">
        <v>7</v>
      </c>
      <c r="K998" s="1">
        <v>0.2</v>
      </c>
      <c r="L998">
        <v>885.3</v>
      </c>
      <c r="M998" t="s">
        <v>117</v>
      </c>
      <c r="N998" t="s">
        <v>23</v>
      </c>
      <c r="O998" t="str">
        <f t="shared" si="90"/>
        <v>06/05/2024</v>
      </c>
      <c r="P998">
        <f t="shared" si="91"/>
        <v>2024</v>
      </c>
      <c r="Q998">
        <f t="shared" si="92"/>
        <v>5</v>
      </c>
      <c r="R998" t="str">
        <f t="shared" si="93"/>
        <v>May</v>
      </c>
      <c r="S998" t="str">
        <f t="shared" si="94"/>
        <v>Low</v>
      </c>
      <c r="T998" s="1">
        <f t="shared" si="95"/>
        <v>0.2079335589685293</v>
      </c>
      <c r="U998">
        <f>SUM($I$2:I998)</f>
        <v>3453289.4400000009</v>
      </c>
      <c r="V998" s="1">
        <f>Table1[[#This Row],[Running total ]]/SUM(I:I)</f>
        <v>0.99648945959783997</v>
      </c>
    </row>
    <row r="999" spans="1:22" x14ac:dyDescent="0.3">
      <c r="A999" t="s">
        <v>1829</v>
      </c>
      <c r="B999" t="s">
        <v>390</v>
      </c>
      <c r="C999" t="s">
        <v>378</v>
      </c>
      <c r="D999" t="s">
        <v>27</v>
      </c>
      <c r="E999" t="s">
        <v>28</v>
      </c>
      <c r="F999" t="s">
        <v>55</v>
      </c>
      <c r="G999" t="s">
        <v>56</v>
      </c>
      <c r="H999" t="s">
        <v>129</v>
      </c>
      <c r="I999">
        <v>2930.27</v>
      </c>
      <c r="J999">
        <v>7</v>
      </c>
      <c r="K999" s="1">
        <v>0</v>
      </c>
      <c r="L999">
        <v>1168.75</v>
      </c>
      <c r="M999" t="s">
        <v>87</v>
      </c>
      <c r="N999" t="s">
        <v>76</v>
      </c>
      <c r="O999" t="str">
        <f t="shared" si="90"/>
        <v>21/01/2024</v>
      </c>
      <c r="P999">
        <f t="shared" si="91"/>
        <v>2024</v>
      </c>
      <c r="Q999">
        <f t="shared" si="92"/>
        <v>1</v>
      </c>
      <c r="R999" t="str">
        <f t="shared" si="93"/>
        <v>January</v>
      </c>
      <c r="S999" t="str">
        <f t="shared" si="94"/>
        <v>No Discount</v>
      </c>
      <c r="T999" s="1">
        <f t="shared" si="95"/>
        <v>0.3988540305159593</v>
      </c>
      <c r="U999">
        <f>SUM($I$2:I999)</f>
        <v>3456219.7100000009</v>
      </c>
      <c r="V999" s="1">
        <f>Table1[[#This Row],[Running total ]]/SUM(I:I)</f>
        <v>0.99733502531699258</v>
      </c>
    </row>
    <row r="1000" spans="1:22" x14ac:dyDescent="0.3">
      <c r="A1000" t="s">
        <v>1830</v>
      </c>
      <c r="B1000" t="s">
        <v>1831</v>
      </c>
      <c r="C1000" t="s">
        <v>202</v>
      </c>
      <c r="D1000" t="s">
        <v>48</v>
      </c>
      <c r="E1000" t="s">
        <v>84</v>
      </c>
      <c r="F1000" t="s">
        <v>55</v>
      </c>
      <c r="G1000" t="s">
        <v>56</v>
      </c>
      <c r="H1000" t="s">
        <v>129</v>
      </c>
      <c r="I1000">
        <v>3425.5</v>
      </c>
      <c r="J1000">
        <v>10</v>
      </c>
      <c r="K1000" s="1">
        <v>0.2</v>
      </c>
      <c r="L1000">
        <v>657.03</v>
      </c>
      <c r="M1000" t="s">
        <v>143</v>
      </c>
      <c r="N1000" t="s">
        <v>23</v>
      </c>
      <c r="O1000" t="str">
        <f t="shared" si="90"/>
        <v>31/08/2025</v>
      </c>
      <c r="P1000">
        <f t="shared" si="91"/>
        <v>2025</v>
      </c>
      <c r="Q1000">
        <f t="shared" si="92"/>
        <v>8</v>
      </c>
      <c r="R1000" t="str">
        <f t="shared" si="93"/>
        <v>August</v>
      </c>
      <c r="S1000" t="str">
        <f t="shared" si="94"/>
        <v>Low</v>
      </c>
      <c r="T1000" s="1">
        <f t="shared" si="95"/>
        <v>0.19180557582834623</v>
      </c>
      <c r="U1000">
        <f>SUM($I$2:I1000)</f>
        <v>3459645.2100000009</v>
      </c>
      <c r="V1000" s="1">
        <f>Table1[[#This Row],[Running total ]]/SUM(I:I)</f>
        <v>0.99832349578932356</v>
      </c>
    </row>
    <row r="1001" spans="1:22" x14ac:dyDescent="0.3">
      <c r="A1001" t="s">
        <v>1832</v>
      </c>
      <c r="B1001" t="s">
        <v>436</v>
      </c>
      <c r="C1001" t="s">
        <v>238</v>
      </c>
      <c r="D1001" t="s">
        <v>27</v>
      </c>
      <c r="E1001" t="s">
        <v>43</v>
      </c>
      <c r="F1001" t="s">
        <v>55</v>
      </c>
      <c r="G1001" t="s">
        <v>98</v>
      </c>
      <c r="H1001" t="s">
        <v>154</v>
      </c>
      <c r="I1001">
        <v>5809.85</v>
      </c>
      <c r="J1001">
        <v>5</v>
      </c>
      <c r="K1001" s="1">
        <v>0.15</v>
      </c>
      <c r="L1001">
        <v>1528.75</v>
      </c>
      <c r="M1001" t="s">
        <v>63</v>
      </c>
      <c r="N1001" t="s">
        <v>23</v>
      </c>
      <c r="O1001" t="str">
        <f t="shared" si="90"/>
        <v>15/11/2024</v>
      </c>
      <c r="P1001">
        <f t="shared" si="91"/>
        <v>2024</v>
      </c>
      <c r="Q1001">
        <f t="shared" si="92"/>
        <v>11</v>
      </c>
      <c r="R1001" t="str">
        <f t="shared" si="93"/>
        <v>November</v>
      </c>
      <c r="S1001" t="str">
        <f t="shared" si="94"/>
        <v>Low</v>
      </c>
      <c r="T1001" s="1">
        <f t="shared" si="95"/>
        <v>0.26313071766052476</v>
      </c>
      <c r="U1001">
        <f>SUM($I$2:I1001)</f>
        <v>3465455.060000001</v>
      </c>
      <c r="V1001" s="1">
        <f>Table1[[#This Row],[Running total ]]/SUM(I:I)</f>
        <v>1</v>
      </c>
    </row>
  </sheetData>
  <pageMargins left="0.75" right="0.75" top="1" bottom="1" header="0.5" footer="0.5"/>
  <ignoredErrors>
    <ignoredError sqref="U3:U1001" formulaRange="1"/>
  </ignoredErrors>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42A3E-BAD6-4124-9FCC-E3E79D87EF73}">
  <dimension ref="A1:M111"/>
  <sheetViews>
    <sheetView topLeftCell="A91" workbookViewId="0">
      <selection activeCell="A108" sqref="A108"/>
    </sheetView>
  </sheetViews>
  <sheetFormatPr defaultRowHeight="14.4" x14ac:dyDescent="0.3"/>
  <cols>
    <col min="1" max="1" width="12.5546875" bestFit="1" customWidth="1"/>
    <col min="2" max="2" width="11.6640625" bestFit="1" customWidth="1"/>
    <col min="3" max="3" width="12.109375" bestFit="1" customWidth="1"/>
    <col min="4" max="4" width="23.33203125" bestFit="1" customWidth="1"/>
    <col min="5" max="5" width="20.88671875" bestFit="1" customWidth="1"/>
  </cols>
  <sheetData>
    <row r="1" spans="1:13" x14ac:dyDescent="0.3">
      <c r="I1" s="13" t="s">
        <v>1839</v>
      </c>
      <c r="J1" s="14"/>
      <c r="K1" s="14"/>
      <c r="L1" s="14"/>
      <c r="M1" s="14"/>
    </row>
    <row r="2" spans="1:13" x14ac:dyDescent="0.3">
      <c r="I2" s="14"/>
      <c r="J2" s="14"/>
      <c r="K2" s="14"/>
      <c r="L2" s="14"/>
      <c r="M2" s="14"/>
    </row>
    <row r="3" spans="1:13" x14ac:dyDescent="0.3">
      <c r="A3" s="14" t="s">
        <v>1857</v>
      </c>
      <c r="B3" s="14"/>
      <c r="C3" s="14"/>
      <c r="D3" s="14"/>
      <c r="E3" s="14"/>
      <c r="I3" s="14"/>
      <c r="J3" s="14"/>
      <c r="K3" s="14"/>
      <c r="L3" s="14"/>
      <c r="M3" s="14"/>
    </row>
    <row r="4" spans="1:13" x14ac:dyDescent="0.3">
      <c r="I4" s="14"/>
      <c r="J4" s="14"/>
      <c r="K4" s="14"/>
      <c r="L4" s="14"/>
      <c r="M4" s="14"/>
    </row>
    <row r="5" spans="1:13" x14ac:dyDescent="0.3">
      <c r="I5" s="14"/>
      <c r="J5" s="14"/>
      <c r="K5" s="14"/>
      <c r="L5" s="14"/>
      <c r="M5" s="14"/>
    </row>
    <row r="6" spans="1:13" ht="15" x14ac:dyDescent="0.3">
      <c r="A6" t="s">
        <v>1840</v>
      </c>
      <c r="B6" t="s">
        <v>1841</v>
      </c>
      <c r="C6" t="s">
        <v>1842</v>
      </c>
      <c r="D6" t="s">
        <v>1843</v>
      </c>
      <c r="E6" s="4" t="s">
        <v>1856</v>
      </c>
      <c r="I6" s="14"/>
      <c r="J6" s="14"/>
      <c r="K6" s="14"/>
      <c r="L6" s="14"/>
      <c r="M6" s="14"/>
    </row>
    <row r="7" spans="1:13" x14ac:dyDescent="0.3">
      <c r="A7">
        <v>329513.49999999994</v>
      </c>
      <c r="B7">
        <v>102</v>
      </c>
      <c r="C7">
        <v>546</v>
      </c>
      <c r="D7" s="3">
        <v>0.11714047583314001</v>
      </c>
      <c r="E7">
        <f>GETPIVOTDATA("Sum of Sales",$A$6)/GETPIVOTDATA("Count of Order ID",$A$6)</f>
        <v>3230.5245098039209</v>
      </c>
      <c r="I7" s="14"/>
      <c r="J7" s="14"/>
      <c r="K7" s="14"/>
      <c r="L7" s="14"/>
      <c r="M7" s="14"/>
    </row>
    <row r="8" spans="1:13" x14ac:dyDescent="0.3">
      <c r="I8" s="14"/>
      <c r="J8" s="14"/>
      <c r="K8" s="14"/>
      <c r="L8" s="14"/>
      <c r="M8" s="14"/>
    </row>
    <row r="9" spans="1:13" x14ac:dyDescent="0.3">
      <c r="I9" s="14"/>
      <c r="J9" s="14"/>
      <c r="K9" s="14"/>
      <c r="L9" s="14"/>
      <c r="M9" s="14"/>
    </row>
    <row r="13" spans="1:13" x14ac:dyDescent="0.3">
      <c r="I13" s="15" t="s">
        <v>1858</v>
      </c>
      <c r="J13" s="16"/>
      <c r="K13" s="16"/>
      <c r="L13" s="16"/>
      <c r="M13" s="16"/>
    </row>
    <row r="14" spans="1:13" x14ac:dyDescent="0.3">
      <c r="I14" s="16"/>
      <c r="J14" s="16"/>
      <c r="K14" s="16"/>
      <c r="L14" s="16"/>
      <c r="M14" s="16"/>
    </row>
    <row r="15" spans="1:13" x14ac:dyDescent="0.3">
      <c r="I15" s="16"/>
      <c r="J15" s="16"/>
      <c r="K15" s="16"/>
      <c r="L15" s="16"/>
      <c r="M15" s="16"/>
    </row>
    <row r="16" spans="1:13" x14ac:dyDescent="0.3">
      <c r="A16" s="5" t="s">
        <v>1859</v>
      </c>
      <c r="B16" t="s">
        <v>1840</v>
      </c>
      <c r="C16" t="s">
        <v>1861</v>
      </c>
      <c r="I16" s="16"/>
      <c r="J16" s="16"/>
      <c r="K16" s="16"/>
      <c r="L16" s="16"/>
      <c r="M16" s="16"/>
    </row>
    <row r="17" spans="1:13" x14ac:dyDescent="0.3">
      <c r="A17" s="6" t="s">
        <v>1847</v>
      </c>
      <c r="B17">
        <v>74572.570000000007</v>
      </c>
      <c r="C17">
        <v>11122.750000000002</v>
      </c>
      <c r="I17" s="16"/>
      <c r="J17" s="16"/>
      <c r="K17" s="16"/>
      <c r="L17" s="16"/>
      <c r="M17" s="16"/>
    </row>
    <row r="18" spans="1:13" x14ac:dyDescent="0.3">
      <c r="A18" s="6" t="s">
        <v>1844</v>
      </c>
      <c r="B18">
        <v>38708.35</v>
      </c>
      <c r="C18">
        <v>5955.5300000000007</v>
      </c>
      <c r="I18" s="16"/>
      <c r="J18" s="16"/>
      <c r="K18" s="16"/>
      <c r="L18" s="16"/>
      <c r="M18" s="16"/>
    </row>
    <row r="19" spans="1:13" x14ac:dyDescent="0.3">
      <c r="A19" s="6" t="s">
        <v>1850</v>
      </c>
      <c r="B19">
        <v>37760.219999999994</v>
      </c>
      <c r="C19">
        <v>4396.3500000000004</v>
      </c>
      <c r="I19" s="16"/>
      <c r="J19" s="16"/>
      <c r="K19" s="16"/>
      <c r="L19" s="16"/>
      <c r="M19" s="16"/>
    </row>
    <row r="20" spans="1:13" x14ac:dyDescent="0.3">
      <c r="A20" s="6" t="s">
        <v>1849</v>
      </c>
      <c r="B20">
        <v>35293.360000000001</v>
      </c>
      <c r="C20">
        <v>4047.7499999999991</v>
      </c>
      <c r="I20" s="16"/>
      <c r="J20" s="16"/>
      <c r="K20" s="16"/>
      <c r="L20" s="16"/>
      <c r="M20" s="16"/>
    </row>
    <row r="21" spans="1:13" x14ac:dyDescent="0.3">
      <c r="A21" s="6" t="s">
        <v>1855</v>
      </c>
      <c r="B21">
        <v>29950.800000000003</v>
      </c>
      <c r="C21">
        <v>3758.2</v>
      </c>
      <c r="I21" s="16"/>
      <c r="J21" s="16"/>
      <c r="K21" s="16"/>
      <c r="L21" s="16"/>
      <c r="M21" s="16"/>
    </row>
    <row r="22" spans="1:13" x14ac:dyDescent="0.3">
      <c r="A22" s="6" t="s">
        <v>1852</v>
      </c>
      <c r="B22">
        <v>27424.12</v>
      </c>
      <c r="C22">
        <v>2854.6699999999996</v>
      </c>
      <c r="I22" s="16"/>
      <c r="J22" s="16"/>
      <c r="K22" s="16"/>
      <c r="L22" s="16"/>
      <c r="M22" s="16"/>
    </row>
    <row r="23" spans="1:13" x14ac:dyDescent="0.3">
      <c r="A23" s="6" t="s">
        <v>1848</v>
      </c>
      <c r="B23">
        <v>19015.849999999999</v>
      </c>
      <c r="C23">
        <v>1445.02</v>
      </c>
      <c r="I23" s="16"/>
      <c r="J23" s="16"/>
      <c r="K23" s="16"/>
      <c r="L23" s="16"/>
      <c r="M23" s="16"/>
    </row>
    <row r="24" spans="1:13" x14ac:dyDescent="0.3">
      <c r="A24" s="6" t="s">
        <v>1846</v>
      </c>
      <c r="B24">
        <v>15954.68</v>
      </c>
      <c r="C24">
        <v>2817.24</v>
      </c>
      <c r="I24" s="16"/>
      <c r="J24" s="16"/>
      <c r="K24" s="16"/>
      <c r="L24" s="16"/>
      <c r="M24" s="16"/>
    </row>
    <row r="25" spans="1:13" x14ac:dyDescent="0.3">
      <c r="A25" s="6" t="s">
        <v>1851</v>
      </c>
      <c r="B25">
        <v>15478.75</v>
      </c>
      <c r="C25">
        <v>390.38</v>
      </c>
      <c r="I25" s="16"/>
      <c r="J25" s="16"/>
      <c r="K25" s="16"/>
      <c r="L25" s="16"/>
      <c r="M25" s="16"/>
    </row>
    <row r="26" spans="1:13" x14ac:dyDescent="0.3">
      <c r="A26" s="6" t="s">
        <v>1854</v>
      </c>
      <c r="B26">
        <v>12968.55</v>
      </c>
      <c r="C26">
        <v>1157.0999999999999</v>
      </c>
      <c r="I26" s="16"/>
      <c r="J26" s="16"/>
      <c r="K26" s="16"/>
      <c r="L26" s="16"/>
      <c r="M26" s="16"/>
    </row>
    <row r="27" spans="1:13" x14ac:dyDescent="0.3">
      <c r="A27" s="6" t="s">
        <v>1853</v>
      </c>
      <c r="B27">
        <v>12168.48</v>
      </c>
      <c r="C27">
        <v>3981.5</v>
      </c>
      <c r="I27" s="16"/>
      <c r="J27" s="16"/>
      <c r="K27" s="16"/>
      <c r="L27" s="16"/>
      <c r="M27" s="16"/>
    </row>
    <row r="28" spans="1:13" x14ac:dyDescent="0.3">
      <c r="A28" s="6" t="s">
        <v>1845</v>
      </c>
      <c r="B28">
        <v>10217.77</v>
      </c>
      <c r="C28">
        <v>1591.6899999999998</v>
      </c>
      <c r="I28" s="16"/>
      <c r="J28" s="16"/>
      <c r="K28" s="16"/>
      <c r="L28" s="16"/>
      <c r="M28" s="16"/>
    </row>
    <row r="29" spans="1:13" x14ac:dyDescent="0.3">
      <c r="A29" s="6" t="s">
        <v>1860</v>
      </c>
      <c r="B29">
        <v>329513.49999999994</v>
      </c>
      <c r="C29">
        <v>43518.179999999993</v>
      </c>
      <c r="I29" s="16"/>
      <c r="J29" s="16"/>
      <c r="K29" s="16"/>
      <c r="L29" s="16"/>
      <c r="M29" s="16"/>
    </row>
    <row r="30" spans="1:13" x14ac:dyDescent="0.3">
      <c r="I30" s="16"/>
      <c r="J30" s="16"/>
      <c r="K30" s="16"/>
      <c r="L30" s="16"/>
      <c r="M30" s="16"/>
    </row>
    <row r="31" spans="1:13" x14ac:dyDescent="0.3">
      <c r="I31" s="16"/>
      <c r="J31" s="16"/>
      <c r="K31" s="16"/>
      <c r="L31" s="16"/>
      <c r="M31" s="16"/>
    </row>
    <row r="32" spans="1:13" x14ac:dyDescent="0.3">
      <c r="I32" s="16"/>
      <c r="J32" s="16"/>
      <c r="K32" s="16"/>
      <c r="L32" s="16"/>
      <c r="M32" s="16"/>
    </row>
    <row r="33" spans="1:13" x14ac:dyDescent="0.3">
      <c r="I33" s="16"/>
      <c r="J33" s="16"/>
      <c r="K33" s="16"/>
      <c r="L33" s="16"/>
      <c r="M33" s="16"/>
    </row>
    <row r="34" spans="1:13" x14ac:dyDescent="0.3">
      <c r="I34" s="16"/>
      <c r="J34" s="16"/>
      <c r="K34" s="16"/>
      <c r="L34" s="16"/>
      <c r="M34" s="16"/>
    </row>
    <row r="35" spans="1:13" x14ac:dyDescent="0.3">
      <c r="A35" t="s">
        <v>1861</v>
      </c>
    </row>
    <row r="36" spans="1:13" x14ac:dyDescent="0.3">
      <c r="A36">
        <v>43518.180000000008</v>
      </c>
    </row>
    <row r="41" spans="1:13" x14ac:dyDescent="0.3">
      <c r="A41" s="5" t="s">
        <v>1859</v>
      </c>
      <c r="B41" t="s">
        <v>1840</v>
      </c>
    </row>
    <row r="42" spans="1:13" x14ac:dyDescent="0.3">
      <c r="A42" s="6" t="s">
        <v>27</v>
      </c>
      <c r="B42">
        <v>118999.80000000002</v>
      </c>
    </row>
    <row r="43" spans="1:13" x14ac:dyDescent="0.3">
      <c r="A43" s="6" t="s">
        <v>48</v>
      </c>
      <c r="B43">
        <v>112921.44</v>
      </c>
    </row>
    <row r="44" spans="1:13" x14ac:dyDescent="0.3">
      <c r="A44" s="6" t="s">
        <v>137</v>
      </c>
      <c r="B44">
        <v>97592.25999999998</v>
      </c>
    </row>
    <row r="45" spans="1:13" x14ac:dyDescent="0.3">
      <c r="A45" s="6" t="s">
        <v>1860</v>
      </c>
      <c r="B45">
        <v>329513.5</v>
      </c>
    </row>
    <row r="50" spans="1:2" x14ac:dyDescent="0.3">
      <c r="A50" s="5" t="s">
        <v>1859</v>
      </c>
      <c r="B50" t="s">
        <v>1861</v>
      </c>
    </row>
    <row r="51" spans="1:2" x14ac:dyDescent="0.3">
      <c r="A51" s="6" t="s">
        <v>67</v>
      </c>
      <c r="B51">
        <v>17955.629999999997</v>
      </c>
    </row>
    <row r="52" spans="1:2" x14ac:dyDescent="0.3">
      <c r="A52" s="6" t="s">
        <v>55</v>
      </c>
      <c r="B52">
        <v>13106.809999999998</v>
      </c>
    </row>
    <row r="53" spans="1:2" x14ac:dyDescent="0.3">
      <c r="A53" s="6" t="s">
        <v>19</v>
      </c>
      <c r="B53">
        <v>12455.74</v>
      </c>
    </row>
    <row r="54" spans="1:2" x14ac:dyDescent="0.3">
      <c r="A54" s="6" t="s">
        <v>1860</v>
      </c>
      <c r="B54">
        <v>43518.179999999993</v>
      </c>
    </row>
    <row r="59" spans="1:2" x14ac:dyDescent="0.3">
      <c r="A59" s="5" t="s">
        <v>1859</v>
      </c>
      <c r="B59" t="s">
        <v>1840</v>
      </c>
    </row>
    <row r="60" spans="1:2" x14ac:dyDescent="0.3">
      <c r="A60" s="6" t="s">
        <v>32</v>
      </c>
      <c r="B60">
        <v>106760.29999999999</v>
      </c>
    </row>
    <row r="61" spans="1:2" x14ac:dyDescent="0.3">
      <c r="A61" s="6" t="s">
        <v>76</v>
      </c>
      <c r="B61">
        <v>97646.810000000027</v>
      </c>
    </row>
    <row r="62" spans="1:2" x14ac:dyDescent="0.3">
      <c r="A62" s="6" t="s">
        <v>23</v>
      </c>
      <c r="B62">
        <v>62873.429999999993</v>
      </c>
    </row>
    <row r="63" spans="1:2" x14ac:dyDescent="0.3">
      <c r="A63" s="6" t="s">
        <v>39</v>
      </c>
      <c r="B63">
        <v>62232.959999999999</v>
      </c>
    </row>
    <row r="64" spans="1:2" x14ac:dyDescent="0.3">
      <c r="A64" s="6" t="s">
        <v>1860</v>
      </c>
      <c r="B64">
        <v>329513.50000000006</v>
      </c>
    </row>
    <row r="70" spans="1:2" x14ac:dyDescent="0.3">
      <c r="A70" s="5" t="s">
        <v>1859</v>
      </c>
      <c r="B70" t="s">
        <v>1840</v>
      </c>
    </row>
    <row r="71" spans="1:2" x14ac:dyDescent="0.3">
      <c r="A71" s="6" t="s">
        <v>222</v>
      </c>
      <c r="B71">
        <v>22356.15</v>
      </c>
    </row>
    <row r="72" spans="1:2" x14ac:dyDescent="0.3">
      <c r="A72" s="6" t="s">
        <v>125</v>
      </c>
      <c r="B72">
        <v>21802.05</v>
      </c>
    </row>
    <row r="73" spans="1:2" x14ac:dyDescent="0.3">
      <c r="A73" s="6" t="s">
        <v>129</v>
      </c>
      <c r="B73">
        <v>21407.589999999997</v>
      </c>
    </row>
    <row r="74" spans="1:2" x14ac:dyDescent="0.3">
      <c r="A74" s="6" t="s">
        <v>253</v>
      </c>
      <c r="B74">
        <v>19727.68</v>
      </c>
    </row>
    <row r="75" spans="1:2" x14ac:dyDescent="0.3">
      <c r="A75" s="6" t="s">
        <v>50</v>
      </c>
      <c r="B75">
        <v>19338.38</v>
      </c>
    </row>
    <row r="76" spans="1:2" x14ac:dyDescent="0.3">
      <c r="A76" s="6" t="s">
        <v>154</v>
      </c>
      <c r="B76">
        <v>19327.849999999999</v>
      </c>
    </row>
    <row r="77" spans="1:2" x14ac:dyDescent="0.3">
      <c r="A77" s="6" t="s">
        <v>212</v>
      </c>
      <c r="B77">
        <v>18470.510000000002</v>
      </c>
    </row>
    <row r="78" spans="1:2" x14ac:dyDescent="0.3">
      <c r="A78" s="6" t="s">
        <v>199</v>
      </c>
      <c r="B78">
        <v>18150.07</v>
      </c>
    </row>
    <row r="79" spans="1:2" x14ac:dyDescent="0.3">
      <c r="A79" s="6" t="s">
        <v>133</v>
      </c>
      <c r="B79">
        <v>17379.910000000003</v>
      </c>
    </row>
    <row r="80" spans="1:2" x14ac:dyDescent="0.3">
      <c r="A80" s="6" t="s">
        <v>103</v>
      </c>
      <c r="B80">
        <v>15685.53</v>
      </c>
    </row>
    <row r="81" spans="1:2" x14ac:dyDescent="0.3">
      <c r="A81" s="6" t="s">
        <v>1860</v>
      </c>
      <c r="B81">
        <v>193645.72</v>
      </c>
    </row>
    <row r="86" spans="1:2" x14ac:dyDescent="0.3">
      <c r="A86" s="5" t="s">
        <v>1859</v>
      </c>
      <c r="B86" t="s">
        <v>1840</v>
      </c>
    </row>
    <row r="87" spans="1:2" x14ac:dyDescent="0.3">
      <c r="A87" s="6" t="s">
        <v>640</v>
      </c>
      <c r="B87">
        <v>14125.939999999999</v>
      </c>
    </row>
    <row r="88" spans="1:2" x14ac:dyDescent="0.3">
      <c r="A88" s="6" t="s">
        <v>530</v>
      </c>
      <c r="B88">
        <v>13708.99</v>
      </c>
    </row>
    <row r="89" spans="1:2" x14ac:dyDescent="0.3">
      <c r="A89" s="6" t="s">
        <v>218</v>
      </c>
      <c r="B89">
        <v>13291.46</v>
      </c>
    </row>
    <row r="90" spans="1:2" x14ac:dyDescent="0.3">
      <c r="A90" s="6" t="s">
        <v>1234</v>
      </c>
      <c r="B90">
        <v>12517.07</v>
      </c>
    </row>
    <row r="91" spans="1:2" x14ac:dyDescent="0.3">
      <c r="A91" s="6" t="s">
        <v>491</v>
      </c>
      <c r="B91">
        <v>11943.3</v>
      </c>
    </row>
    <row r="92" spans="1:2" x14ac:dyDescent="0.3">
      <c r="A92" s="6" t="s">
        <v>271</v>
      </c>
      <c r="B92">
        <v>11554.6</v>
      </c>
    </row>
    <row r="93" spans="1:2" x14ac:dyDescent="0.3">
      <c r="A93" s="6" t="s">
        <v>672</v>
      </c>
      <c r="B93">
        <v>10359.74</v>
      </c>
    </row>
    <row r="94" spans="1:2" x14ac:dyDescent="0.3">
      <c r="A94" s="6" t="s">
        <v>1101</v>
      </c>
      <c r="B94">
        <v>10217.5</v>
      </c>
    </row>
    <row r="95" spans="1:2" x14ac:dyDescent="0.3">
      <c r="A95" s="6" t="s">
        <v>175</v>
      </c>
      <c r="B95">
        <v>10145.290000000001</v>
      </c>
    </row>
    <row r="96" spans="1:2" x14ac:dyDescent="0.3">
      <c r="A96" s="6" t="s">
        <v>583</v>
      </c>
      <c r="B96">
        <v>7943.11</v>
      </c>
    </row>
    <row r="97" spans="1:2" x14ac:dyDescent="0.3">
      <c r="A97" s="6" t="s">
        <v>1860</v>
      </c>
      <c r="B97">
        <v>115807</v>
      </c>
    </row>
    <row r="105" spans="1:2" x14ac:dyDescent="0.3">
      <c r="A105" s="5" t="s">
        <v>1859</v>
      </c>
      <c r="B105" t="s">
        <v>1840</v>
      </c>
    </row>
    <row r="106" spans="1:2" x14ac:dyDescent="0.3">
      <c r="A106" s="6" t="s">
        <v>44</v>
      </c>
      <c r="B106">
        <v>100529.95</v>
      </c>
    </row>
    <row r="107" spans="1:2" x14ac:dyDescent="0.3">
      <c r="A107" s="6" t="s">
        <v>143</v>
      </c>
      <c r="B107">
        <v>73412.27</v>
      </c>
    </row>
    <row r="108" spans="1:2" x14ac:dyDescent="0.3">
      <c r="A108" s="6" t="s">
        <v>22</v>
      </c>
      <c r="B108">
        <v>53205.530000000006</v>
      </c>
    </row>
    <row r="109" spans="1:2" x14ac:dyDescent="0.3">
      <c r="A109" s="6" t="s">
        <v>117</v>
      </c>
      <c r="B109">
        <v>52913.66</v>
      </c>
    </row>
    <row r="110" spans="1:2" x14ac:dyDescent="0.3">
      <c r="A110" s="6" t="s">
        <v>63</v>
      </c>
      <c r="B110">
        <v>49452.09</v>
      </c>
    </row>
    <row r="111" spans="1:2" x14ac:dyDescent="0.3">
      <c r="A111" s="6" t="s">
        <v>1860</v>
      </c>
      <c r="B111">
        <v>329513.5</v>
      </c>
    </row>
  </sheetData>
  <mergeCells count="3">
    <mergeCell ref="I1:M9"/>
    <mergeCell ref="A3:E3"/>
    <mergeCell ref="I13:M34"/>
  </mergeCells>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627FF-9B05-47CC-92FF-DEA7E9E1D370}">
  <dimension ref="A1:W5"/>
  <sheetViews>
    <sheetView showGridLines="0" showRowColHeaders="0" tabSelected="1" zoomScale="58" zoomScaleNormal="71" workbookViewId="0">
      <selection activeCell="AK12" sqref="AK12"/>
    </sheetView>
  </sheetViews>
  <sheetFormatPr defaultRowHeight="14.4" x14ac:dyDescent="0.3"/>
  <cols>
    <col min="1" max="16384" width="8.88671875" style="2"/>
  </cols>
  <sheetData>
    <row r="1" spans="1:23" x14ac:dyDescent="0.3">
      <c r="A1" s="9">
        <f>GETPIVOTDATA("Sum of Sales",Sheet1!$A$6)</f>
        <v>329513.49999999994</v>
      </c>
      <c r="B1" s="9"/>
      <c r="C1" s="9"/>
      <c r="E1" s="8">
        <f>GETPIVOTDATA("Profit",Sheet1!$A$35)</f>
        <v>43518.180000000008</v>
      </c>
      <c r="F1" s="8"/>
      <c r="G1" s="8"/>
      <c r="I1" s="10">
        <f>Sheet1!E7</f>
        <v>3230.5245098039209</v>
      </c>
      <c r="J1" s="10"/>
      <c r="K1" s="10"/>
      <c r="M1" s="11">
        <f>GETPIVOTDATA("Count of Order ID",Sheet1!$A$6)</f>
        <v>102</v>
      </c>
      <c r="N1" s="11"/>
      <c r="O1" s="11"/>
      <c r="Q1" s="12">
        <f>GETPIVOTDATA("Sum of Quantity",Sheet1!$A$6)</f>
        <v>546</v>
      </c>
      <c r="R1" s="12"/>
      <c r="S1" s="12"/>
      <c r="U1" s="7">
        <f>GETPIVOTDATA("Average of Profit margin%",Sheet1!$A$6)</f>
        <v>0.11714047583314001</v>
      </c>
      <c r="V1" s="7"/>
      <c r="W1" s="7"/>
    </row>
    <row r="2" spans="1:23" x14ac:dyDescent="0.3">
      <c r="A2" s="9"/>
      <c r="B2" s="9"/>
      <c r="C2" s="9"/>
      <c r="E2" s="8"/>
      <c r="F2" s="8"/>
      <c r="G2" s="8"/>
      <c r="I2" s="10"/>
      <c r="J2" s="10"/>
      <c r="K2" s="10"/>
      <c r="M2" s="11"/>
      <c r="N2" s="11"/>
      <c r="O2" s="11"/>
      <c r="Q2" s="12"/>
      <c r="R2" s="12"/>
      <c r="S2" s="12"/>
      <c r="U2" s="7"/>
      <c r="V2" s="7"/>
      <c r="W2" s="7"/>
    </row>
    <row r="3" spans="1:23" x14ac:dyDescent="0.3">
      <c r="A3" s="9"/>
      <c r="B3" s="9"/>
      <c r="C3" s="9"/>
      <c r="E3" s="8"/>
      <c r="F3" s="8"/>
      <c r="G3" s="8"/>
      <c r="I3" s="10"/>
      <c r="J3" s="10"/>
      <c r="K3" s="10"/>
      <c r="M3" s="11"/>
      <c r="N3" s="11"/>
      <c r="O3" s="11"/>
      <c r="Q3" s="12"/>
      <c r="R3" s="12"/>
      <c r="S3" s="12"/>
      <c r="U3" s="7"/>
      <c r="V3" s="7"/>
      <c r="W3" s="7"/>
    </row>
    <row r="4" spans="1:23" x14ac:dyDescent="0.3">
      <c r="A4" s="9"/>
      <c r="B4" s="9"/>
      <c r="C4" s="9"/>
      <c r="E4" s="8"/>
      <c r="F4" s="8"/>
      <c r="G4" s="8"/>
      <c r="I4" s="10"/>
      <c r="J4" s="10"/>
      <c r="K4" s="10"/>
      <c r="M4" s="11"/>
      <c r="N4" s="11"/>
      <c r="O4" s="11"/>
      <c r="Q4" s="12"/>
      <c r="R4" s="12"/>
      <c r="S4" s="12"/>
      <c r="U4" s="7"/>
      <c r="V4" s="7"/>
      <c r="W4" s="7"/>
    </row>
    <row r="5" spans="1:23" x14ac:dyDescent="0.3">
      <c r="A5" s="9"/>
      <c r="B5" s="9"/>
      <c r="C5" s="9"/>
      <c r="E5" s="8"/>
      <c r="F5" s="8"/>
      <c r="G5" s="8"/>
      <c r="I5" s="10"/>
      <c r="J5" s="10"/>
      <c r="K5" s="10"/>
      <c r="M5" s="11"/>
      <c r="N5" s="11"/>
      <c r="O5" s="11"/>
      <c r="Q5" s="12"/>
      <c r="R5" s="12"/>
      <c r="S5" s="12"/>
      <c r="U5" s="7"/>
      <c r="V5" s="7"/>
      <c r="W5" s="7"/>
    </row>
  </sheetData>
  <mergeCells count="6">
    <mergeCell ref="U1:W5"/>
    <mergeCell ref="E1:G5"/>
    <mergeCell ref="A1:C5"/>
    <mergeCell ref="I1:K5"/>
    <mergeCell ref="M1:O5"/>
    <mergeCell ref="Q1:S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SalesData</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Akansha Shrivastava</cp:lastModifiedBy>
  <dcterms:created xsi:type="dcterms:W3CDTF">2026-07-18T08:06:12Z</dcterms:created>
  <dcterms:modified xsi:type="dcterms:W3CDTF">2026-07-24T10:42:27Z</dcterms:modified>
</cp:coreProperties>
</file>